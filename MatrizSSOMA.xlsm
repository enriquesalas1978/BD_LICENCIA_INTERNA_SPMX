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0490" windowHeight="6900" tabRatio="620"/>
  </bookViews>
  <sheets>
    <sheet name="Base de datos" sheetId="2" r:id="rId1"/>
    <sheet name="fotochek" sheetId="46" r:id="rId2"/>
  </sheets>
  <definedNames>
    <definedName name="_xlnm._FilterDatabase" localSheetId="0" hidden="1">'Base de datos'!$M$1212:$N$1326</definedName>
    <definedName name="_xlnm._FilterDatabase" localSheetId="1" hidden="1">fotochek!$W$25:$AD$26</definedName>
    <definedName name="_xlnm.Print_Area" localSheetId="0">'Base de datos'!$A$1:$X$1330</definedName>
    <definedName name="_xlnm.Print_Area" localSheetId="1">fotochek!$A$1:$AI$76</definedName>
  </definedNames>
  <calcPr calcId="162913"/>
</workbook>
</file>

<file path=xl/calcChain.xml><?xml version="1.0" encoding="utf-8"?>
<calcChain xmlns="http://schemas.openxmlformats.org/spreadsheetml/2006/main">
  <c r="D1300" i="2" l="1"/>
  <c r="N1300" i="2"/>
  <c r="O1300" i="2" s="1"/>
  <c r="D1225" i="2" l="1"/>
  <c r="N1225" i="2"/>
  <c r="O1225" i="2" s="1"/>
  <c r="N1218" i="2"/>
  <c r="O1218" i="2" s="1"/>
  <c r="D1221" i="2"/>
  <c r="D1222" i="2"/>
  <c r="D1223" i="2"/>
  <c r="D1224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213" i="2" l="1"/>
  <c r="D1214" i="2"/>
  <c r="D1215" i="2"/>
  <c r="D1216" i="2"/>
  <c r="D1217" i="2"/>
  <c r="D1218" i="2"/>
  <c r="D1219" i="2"/>
  <c r="D1220" i="2"/>
  <c r="D1212" i="2"/>
  <c r="D1211" i="2"/>
  <c r="B4" i="46" l="1"/>
  <c r="B19" i="46"/>
  <c r="N1214" i="2" l="1"/>
  <c r="O1214" i="2" s="1"/>
  <c r="D1210" i="2" l="1"/>
  <c r="N1210" i="2"/>
  <c r="O1210" i="2" s="1"/>
  <c r="D1209" i="2"/>
  <c r="N1209" i="2"/>
  <c r="O1209" i="2" s="1"/>
  <c r="D1208" i="2" l="1"/>
  <c r="N1208" i="2"/>
  <c r="O1208" i="2" s="1"/>
  <c r="D1207" i="2" l="1"/>
  <c r="N1207" i="2"/>
  <c r="O1207" i="2" s="1"/>
  <c r="D1206" i="2" l="1"/>
  <c r="N1206" i="2"/>
  <c r="O1206" i="2" s="1"/>
  <c r="D1205" i="2"/>
  <c r="N1205" i="2"/>
  <c r="O1205" i="2" s="1"/>
  <c r="D1204" i="2"/>
  <c r="N1204" i="2"/>
  <c r="O1204" i="2" s="1"/>
  <c r="D1203" i="2" l="1"/>
  <c r="N1203" i="2"/>
  <c r="O1203" i="2" s="1"/>
  <c r="D1202" i="2" l="1"/>
  <c r="N1202" i="2"/>
  <c r="O1202" i="2" s="1"/>
  <c r="D1201" i="2" l="1"/>
  <c r="N1201" i="2"/>
  <c r="O1201" i="2" s="1"/>
  <c r="N1200" i="2" l="1"/>
  <c r="O1200" i="2" s="1"/>
  <c r="D1200" i="2"/>
  <c r="D1198" i="2" l="1"/>
  <c r="D1199" i="2"/>
  <c r="N1198" i="2"/>
  <c r="O1198" i="2" s="1"/>
  <c r="N1199" i="2"/>
  <c r="O1199" i="2" s="1"/>
  <c r="D1197" i="2"/>
  <c r="N1197" i="2"/>
  <c r="O1197" i="2" s="1"/>
  <c r="D1195" i="2" l="1"/>
  <c r="D1196" i="2"/>
  <c r="N1195" i="2"/>
  <c r="O1195" i="2" s="1"/>
  <c r="N1196" i="2"/>
  <c r="O1196" i="2" s="1"/>
  <c r="D1194" i="2" l="1"/>
  <c r="N1194" i="2"/>
  <c r="O1194" i="2" s="1"/>
  <c r="D1193" i="2"/>
  <c r="N1193" i="2"/>
  <c r="O1193" i="2" s="1"/>
  <c r="D1192" i="2" l="1"/>
  <c r="N1192" i="2"/>
  <c r="O1192" i="2" s="1"/>
  <c r="D1191" i="2"/>
  <c r="N1191" i="2"/>
  <c r="O1191" i="2" s="1"/>
  <c r="D1190" i="2"/>
  <c r="N1190" i="2"/>
  <c r="O1190" i="2" s="1"/>
  <c r="D1189" i="2"/>
  <c r="N1189" i="2"/>
  <c r="O1189" i="2" s="1"/>
  <c r="D1188" i="2" l="1"/>
  <c r="N1188" i="2"/>
  <c r="O1188" i="2" s="1"/>
  <c r="D1187" i="2"/>
  <c r="N1187" i="2"/>
  <c r="O1187" i="2" s="1"/>
  <c r="D1186" i="2" l="1"/>
  <c r="N1186" i="2"/>
  <c r="O1186" i="2" s="1"/>
  <c r="D1185" i="2" l="1"/>
  <c r="N1185" i="2"/>
  <c r="O1185" i="2" s="1"/>
  <c r="D1184" i="2" l="1"/>
  <c r="N1184" i="2"/>
  <c r="O1184" i="2" s="1"/>
  <c r="D1183" i="2"/>
  <c r="N1183" i="2"/>
  <c r="O1183" i="2" s="1"/>
  <c r="G89" i="46" l="1"/>
  <c r="I88" i="46"/>
  <c r="H88" i="46"/>
  <c r="I87" i="46"/>
  <c r="H87" i="46"/>
  <c r="B79" i="46"/>
  <c r="K89" i="46" s="1"/>
  <c r="G74" i="46"/>
  <c r="I73" i="46"/>
  <c r="H73" i="46"/>
  <c r="I72" i="46"/>
  <c r="H72" i="46"/>
  <c r="M65" i="46"/>
  <c r="L65" i="46"/>
  <c r="K65" i="46"/>
  <c r="J65" i="46"/>
  <c r="I65" i="46"/>
  <c r="H65" i="46"/>
  <c r="B64" i="46"/>
  <c r="G67" i="46" s="1"/>
  <c r="G59" i="46"/>
  <c r="I58" i="46"/>
  <c r="H58" i="46"/>
  <c r="M50" i="46"/>
  <c r="L50" i="46"/>
  <c r="K50" i="46"/>
  <c r="J50" i="46"/>
  <c r="I50" i="46"/>
  <c r="H50" i="46"/>
  <c r="B49" i="46"/>
  <c r="G44" i="46"/>
  <c r="I43" i="46"/>
  <c r="H43" i="46"/>
  <c r="I42" i="46"/>
  <c r="H42" i="46"/>
  <c r="M35" i="46"/>
  <c r="L35" i="46"/>
  <c r="K35" i="46"/>
  <c r="J35" i="46"/>
  <c r="I35" i="46"/>
  <c r="H35" i="46"/>
  <c r="B34" i="46"/>
  <c r="G37" i="46" s="1"/>
  <c r="G29" i="46"/>
  <c r="I28" i="46"/>
  <c r="H28" i="46"/>
  <c r="I27" i="46"/>
  <c r="H27" i="46"/>
  <c r="M20" i="46"/>
  <c r="L20" i="46"/>
  <c r="K20" i="46"/>
  <c r="J20" i="46"/>
  <c r="I20" i="46"/>
  <c r="H20" i="46"/>
  <c r="G26" i="46"/>
  <c r="G14" i="46"/>
  <c r="I13" i="46"/>
  <c r="H13" i="46"/>
  <c r="I12" i="46"/>
  <c r="H12" i="46"/>
  <c r="M5" i="46"/>
  <c r="L5" i="46"/>
  <c r="K5" i="46"/>
  <c r="J5" i="46"/>
  <c r="I5" i="46"/>
  <c r="H5" i="46"/>
  <c r="S2" i="46"/>
  <c r="N1326" i="2"/>
  <c r="N1325" i="2"/>
  <c r="N1324" i="2"/>
  <c r="N1323" i="2"/>
  <c r="N1322" i="2"/>
  <c r="N1321" i="2"/>
  <c r="N1320" i="2"/>
  <c r="N1319" i="2"/>
  <c r="N1318" i="2"/>
  <c r="N1317" i="2"/>
  <c r="N1316" i="2"/>
  <c r="N1315" i="2"/>
  <c r="N1314" i="2"/>
  <c r="N1313" i="2"/>
  <c r="N1312" i="2"/>
  <c r="N1311" i="2"/>
  <c r="N1310" i="2"/>
  <c r="N1309" i="2"/>
  <c r="N1308" i="2"/>
  <c r="N1307" i="2"/>
  <c r="N1306" i="2"/>
  <c r="N1305" i="2"/>
  <c r="N1304" i="2"/>
  <c r="N1303" i="2"/>
  <c r="N1302" i="2"/>
  <c r="N1301" i="2"/>
  <c r="N1299" i="2"/>
  <c r="O1299" i="2" s="1"/>
  <c r="N1298" i="2"/>
  <c r="O1298" i="2" s="1"/>
  <c r="N1297" i="2"/>
  <c r="O1297" i="2" s="1"/>
  <c r="N1296" i="2"/>
  <c r="O1296" i="2" s="1"/>
  <c r="N1295" i="2"/>
  <c r="O1295" i="2" s="1"/>
  <c r="N1294" i="2"/>
  <c r="O1294" i="2" s="1"/>
  <c r="N1293" i="2"/>
  <c r="O1293" i="2" s="1"/>
  <c r="N1292" i="2"/>
  <c r="O1292" i="2" s="1"/>
  <c r="N1291" i="2"/>
  <c r="O1291" i="2" s="1"/>
  <c r="N1290" i="2"/>
  <c r="O1290" i="2" s="1"/>
  <c r="N1289" i="2"/>
  <c r="O1289" i="2" s="1"/>
  <c r="N1288" i="2"/>
  <c r="O1288" i="2" s="1"/>
  <c r="N1287" i="2"/>
  <c r="O1287" i="2" s="1"/>
  <c r="N1286" i="2"/>
  <c r="O1286" i="2" s="1"/>
  <c r="N1285" i="2"/>
  <c r="O1285" i="2" s="1"/>
  <c r="N1284" i="2"/>
  <c r="O1284" i="2" s="1"/>
  <c r="N1283" i="2"/>
  <c r="O1283" i="2" s="1"/>
  <c r="N1282" i="2"/>
  <c r="O1282" i="2" s="1"/>
  <c r="N1281" i="2"/>
  <c r="O1281" i="2" s="1"/>
  <c r="N1280" i="2"/>
  <c r="O1280" i="2" s="1"/>
  <c r="N1279" i="2"/>
  <c r="O1279" i="2" s="1"/>
  <c r="N1278" i="2"/>
  <c r="O1278" i="2" s="1"/>
  <c r="N1277" i="2"/>
  <c r="O1277" i="2" s="1"/>
  <c r="N1276" i="2"/>
  <c r="O1276" i="2" s="1"/>
  <c r="N1275" i="2"/>
  <c r="O1275" i="2" s="1"/>
  <c r="N1274" i="2"/>
  <c r="O1274" i="2" s="1"/>
  <c r="N1273" i="2"/>
  <c r="O1273" i="2" s="1"/>
  <c r="N1272" i="2"/>
  <c r="O1272" i="2" s="1"/>
  <c r="N1271" i="2"/>
  <c r="O1271" i="2" s="1"/>
  <c r="N1270" i="2"/>
  <c r="O1270" i="2" s="1"/>
  <c r="N1269" i="2"/>
  <c r="O1269" i="2" s="1"/>
  <c r="N1268" i="2"/>
  <c r="O1268" i="2" s="1"/>
  <c r="N1267" i="2"/>
  <c r="O1267" i="2" s="1"/>
  <c r="N1266" i="2"/>
  <c r="O1266" i="2" s="1"/>
  <c r="N1265" i="2"/>
  <c r="O1265" i="2" s="1"/>
  <c r="N1264" i="2"/>
  <c r="O1264" i="2" s="1"/>
  <c r="N1263" i="2"/>
  <c r="O1263" i="2" s="1"/>
  <c r="N1262" i="2"/>
  <c r="O1262" i="2" s="1"/>
  <c r="N1261" i="2"/>
  <c r="O1261" i="2" s="1"/>
  <c r="N1260" i="2"/>
  <c r="O1260" i="2" s="1"/>
  <c r="N1259" i="2"/>
  <c r="O1259" i="2" s="1"/>
  <c r="N1258" i="2"/>
  <c r="O1258" i="2" s="1"/>
  <c r="N1257" i="2"/>
  <c r="O1257" i="2" s="1"/>
  <c r="N1256" i="2"/>
  <c r="O1256" i="2" s="1"/>
  <c r="N1255" i="2"/>
  <c r="O1255" i="2" s="1"/>
  <c r="N1254" i="2"/>
  <c r="O1254" i="2" s="1"/>
  <c r="N1253" i="2"/>
  <c r="O1253" i="2" s="1"/>
  <c r="N1252" i="2"/>
  <c r="O1252" i="2" s="1"/>
  <c r="N1251" i="2"/>
  <c r="O1251" i="2" s="1"/>
  <c r="N1250" i="2"/>
  <c r="O1250" i="2" s="1"/>
  <c r="N1249" i="2"/>
  <c r="O1249" i="2" s="1"/>
  <c r="N1248" i="2"/>
  <c r="O1248" i="2" s="1"/>
  <c r="N1247" i="2"/>
  <c r="O1247" i="2" s="1"/>
  <c r="N1246" i="2"/>
  <c r="O1246" i="2" s="1"/>
  <c r="N1245" i="2"/>
  <c r="O1245" i="2" s="1"/>
  <c r="N1244" i="2"/>
  <c r="O1244" i="2" s="1"/>
  <c r="N1243" i="2"/>
  <c r="O1243" i="2" s="1"/>
  <c r="N1242" i="2"/>
  <c r="O1242" i="2" s="1"/>
  <c r="N1241" i="2"/>
  <c r="O1241" i="2" s="1"/>
  <c r="N1240" i="2"/>
  <c r="O1240" i="2" s="1"/>
  <c r="N1239" i="2"/>
  <c r="O1239" i="2" s="1"/>
  <c r="N1238" i="2"/>
  <c r="O1238" i="2" s="1"/>
  <c r="N1237" i="2"/>
  <c r="O1237" i="2" s="1"/>
  <c r="N1236" i="2"/>
  <c r="O1236" i="2" s="1"/>
  <c r="N1235" i="2"/>
  <c r="O1235" i="2" s="1"/>
  <c r="N1234" i="2"/>
  <c r="O1234" i="2" s="1"/>
  <c r="N1233" i="2"/>
  <c r="O1233" i="2" s="1"/>
  <c r="N1232" i="2"/>
  <c r="O1232" i="2" s="1"/>
  <c r="N1231" i="2"/>
  <c r="O1231" i="2" s="1"/>
  <c r="N1230" i="2"/>
  <c r="O1230" i="2" s="1"/>
  <c r="N1229" i="2"/>
  <c r="O1229" i="2" s="1"/>
  <c r="N1228" i="2"/>
  <c r="O1228" i="2" s="1"/>
  <c r="N1227" i="2"/>
  <c r="O1227" i="2" s="1"/>
  <c r="N1226" i="2"/>
  <c r="O1226" i="2" s="1"/>
  <c r="N1224" i="2"/>
  <c r="O1224" i="2" s="1"/>
  <c r="N1223" i="2"/>
  <c r="O1223" i="2" s="1"/>
  <c r="N1222" i="2"/>
  <c r="O1222" i="2" s="1"/>
  <c r="N1221" i="2"/>
  <c r="O1221" i="2" s="1"/>
  <c r="N1220" i="2"/>
  <c r="O1220" i="2" s="1"/>
  <c r="N1219" i="2"/>
  <c r="O1219" i="2" s="1"/>
  <c r="N1217" i="2"/>
  <c r="O1217" i="2" s="1"/>
  <c r="N1216" i="2"/>
  <c r="O1216" i="2" s="1"/>
  <c r="N1215" i="2"/>
  <c r="O1215" i="2" s="1"/>
  <c r="N1213" i="2"/>
  <c r="O1213" i="2" s="1"/>
  <c r="N1212" i="2"/>
  <c r="O1212" i="2" s="1"/>
  <c r="N1211" i="2"/>
  <c r="O1211" i="2" s="1"/>
  <c r="N1182" i="2"/>
  <c r="O1182" i="2" s="1"/>
  <c r="D1182" i="2"/>
  <c r="N1181" i="2"/>
  <c r="O1181" i="2" s="1"/>
  <c r="D1181" i="2"/>
  <c r="N1180" i="2"/>
  <c r="O1180" i="2" s="1"/>
  <c r="D1180" i="2"/>
  <c r="N1179" i="2"/>
  <c r="O1179" i="2" s="1"/>
  <c r="D1179" i="2"/>
  <c r="N1178" i="2"/>
  <c r="O1178" i="2" s="1"/>
  <c r="D1178" i="2"/>
  <c r="N1177" i="2"/>
  <c r="O1177" i="2" s="1"/>
  <c r="D1177" i="2"/>
  <c r="N1176" i="2"/>
  <c r="O1176" i="2" s="1"/>
  <c r="D1176" i="2"/>
  <c r="N1175" i="2"/>
  <c r="O1175" i="2" s="1"/>
  <c r="D1175" i="2"/>
  <c r="N1174" i="2"/>
  <c r="O1174" i="2" s="1"/>
  <c r="D1174" i="2"/>
  <c r="N1173" i="2"/>
  <c r="O1173" i="2" s="1"/>
  <c r="D1173" i="2"/>
  <c r="N1172" i="2"/>
  <c r="O1172" i="2" s="1"/>
  <c r="D1172" i="2"/>
  <c r="N1171" i="2"/>
  <c r="O1171" i="2" s="1"/>
  <c r="D1171" i="2"/>
  <c r="N1170" i="2"/>
  <c r="O1170" i="2" s="1"/>
  <c r="D1170" i="2"/>
  <c r="N1169" i="2"/>
  <c r="O1169" i="2" s="1"/>
  <c r="D1169" i="2"/>
  <c r="N1168" i="2"/>
  <c r="O1168" i="2" s="1"/>
  <c r="D1168" i="2"/>
  <c r="N1167" i="2"/>
  <c r="O1167" i="2" s="1"/>
  <c r="D1167" i="2"/>
  <c r="N1166" i="2"/>
  <c r="O1166" i="2" s="1"/>
  <c r="D1166" i="2"/>
  <c r="N1165" i="2"/>
  <c r="O1165" i="2" s="1"/>
  <c r="D1165" i="2"/>
  <c r="N1164" i="2"/>
  <c r="O1164" i="2" s="1"/>
  <c r="D1164" i="2"/>
  <c r="N1163" i="2"/>
  <c r="O1163" i="2" s="1"/>
  <c r="D1163" i="2"/>
  <c r="N1162" i="2"/>
  <c r="O1162" i="2" s="1"/>
  <c r="D1162" i="2"/>
  <c r="N1161" i="2"/>
  <c r="O1161" i="2" s="1"/>
  <c r="D1161" i="2"/>
  <c r="N1160" i="2"/>
  <c r="O1160" i="2" s="1"/>
  <c r="D1160" i="2"/>
  <c r="N1159" i="2"/>
  <c r="O1159" i="2" s="1"/>
  <c r="D1159" i="2"/>
  <c r="N1158" i="2"/>
  <c r="O1158" i="2" s="1"/>
  <c r="D1158" i="2"/>
  <c r="N1157" i="2"/>
  <c r="O1157" i="2" s="1"/>
  <c r="D1157" i="2"/>
  <c r="N1156" i="2"/>
  <c r="O1156" i="2" s="1"/>
  <c r="D1156" i="2"/>
  <c r="N1155" i="2"/>
  <c r="O1155" i="2" s="1"/>
  <c r="D1155" i="2"/>
  <c r="N1154" i="2"/>
  <c r="O1154" i="2" s="1"/>
  <c r="D1154" i="2"/>
  <c r="N1153" i="2"/>
  <c r="O1153" i="2" s="1"/>
  <c r="D1153" i="2"/>
  <c r="N1152" i="2"/>
  <c r="O1152" i="2" s="1"/>
  <c r="D1152" i="2"/>
  <c r="N1151" i="2"/>
  <c r="O1151" i="2" s="1"/>
  <c r="D1151" i="2"/>
  <c r="N1150" i="2"/>
  <c r="O1150" i="2" s="1"/>
  <c r="D1150" i="2"/>
  <c r="N1149" i="2"/>
  <c r="O1149" i="2" s="1"/>
  <c r="D1149" i="2"/>
  <c r="N1148" i="2"/>
  <c r="O1148" i="2" s="1"/>
  <c r="D1148" i="2"/>
  <c r="N1147" i="2"/>
  <c r="O1147" i="2" s="1"/>
  <c r="D1147" i="2"/>
  <c r="N1146" i="2"/>
  <c r="O1146" i="2" s="1"/>
  <c r="D1146" i="2"/>
  <c r="N1145" i="2"/>
  <c r="O1145" i="2" s="1"/>
  <c r="D1145" i="2"/>
  <c r="N1144" i="2"/>
  <c r="O1144" i="2" s="1"/>
  <c r="D1144" i="2"/>
  <c r="N1143" i="2"/>
  <c r="O1143" i="2" s="1"/>
  <c r="D1143" i="2"/>
  <c r="N1142" i="2"/>
  <c r="O1142" i="2" s="1"/>
  <c r="D1142" i="2"/>
  <c r="N1141" i="2"/>
  <c r="O1141" i="2" s="1"/>
  <c r="D1141" i="2"/>
  <c r="N1140" i="2"/>
  <c r="O1140" i="2" s="1"/>
  <c r="D1140" i="2"/>
  <c r="N1139" i="2"/>
  <c r="O1139" i="2" s="1"/>
  <c r="D1139" i="2"/>
  <c r="N1138" i="2"/>
  <c r="O1138" i="2" s="1"/>
  <c r="D1138" i="2"/>
  <c r="N1137" i="2"/>
  <c r="O1137" i="2" s="1"/>
  <c r="D1137" i="2"/>
  <c r="N1136" i="2"/>
  <c r="O1136" i="2" s="1"/>
  <c r="D1136" i="2"/>
  <c r="N1135" i="2"/>
  <c r="O1135" i="2" s="1"/>
  <c r="D1135" i="2"/>
  <c r="N1134" i="2"/>
  <c r="O1134" i="2" s="1"/>
  <c r="D1134" i="2"/>
  <c r="N1133" i="2"/>
  <c r="O1133" i="2" s="1"/>
  <c r="D1133" i="2"/>
  <c r="N1132" i="2"/>
  <c r="O1132" i="2" s="1"/>
  <c r="D1132" i="2"/>
  <c r="N1131" i="2"/>
  <c r="O1131" i="2" s="1"/>
  <c r="D1131" i="2"/>
  <c r="N1130" i="2"/>
  <c r="O1130" i="2" s="1"/>
  <c r="D1130" i="2"/>
  <c r="N1129" i="2"/>
  <c r="O1129" i="2" s="1"/>
  <c r="D1129" i="2"/>
  <c r="N1128" i="2"/>
  <c r="O1128" i="2" s="1"/>
  <c r="D1128" i="2"/>
  <c r="N1127" i="2"/>
  <c r="O1127" i="2" s="1"/>
  <c r="D1127" i="2"/>
  <c r="N1126" i="2"/>
  <c r="O1126" i="2" s="1"/>
  <c r="D1126" i="2"/>
  <c r="N1125" i="2"/>
  <c r="O1125" i="2" s="1"/>
  <c r="D1125" i="2"/>
  <c r="N1124" i="2"/>
  <c r="O1124" i="2" s="1"/>
  <c r="D1124" i="2"/>
  <c r="N1123" i="2"/>
  <c r="O1123" i="2" s="1"/>
  <c r="D1123" i="2"/>
  <c r="N1122" i="2"/>
  <c r="O1122" i="2" s="1"/>
  <c r="D1122" i="2"/>
  <c r="N1121" i="2"/>
  <c r="O1121" i="2" s="1"/>
  <c r="D1121" i="2"/>
  <c r="N1120" i="2"/>
  <c r="O1120" i="2" s="1"/>
  <c r="D1120" i="2"/>
  <c r="N1119" i="2"/>
  <c r="O1119" i="2" s="1"/>
  <c r="D1119" i="2"/>
  <c r="N1118" i="2"/>
  <c r="O1118" i="2" s="1"/>
  <c r="D1118" i="2"/>
  <c r="N1117" i="2"/>
  <c r="O1117" i="2" s="1"/>
  <c r="D1117" i="2"/>
  <c r="N1116" i="2"/>
  <c r="O1116" i="2" s="1"/>
  <c r="D1116" i="2"/>
  <c r="N1115" i="2"/>
  <c r="O1115" i="2" s="1"/>
  <c r="D1115" i="2"/>
  <c r="N1114" i="2"/>
  <c r="D1114" i="2"/>
  <c r="N1113" i="2"/>
  <c r="O1113" i="2" s="1"/>
  <c r="D1113" i="2"/>
  <c r="N1112" i="2"/>
  <c r="O1112" i="2" s="1"/>
  <c r="D1112" i="2"/>
  <c r="N1111" i="2"/>
  <c r="O1111" i="2" s="1"/>
  <c r="D1111" i="2"/>
  <c r="N1110" i="2"/>
  <c r="O1110" i="2" s="1"/>
  <c r="D1110" i="2"/>
  <c r="N1109" i="2"/>
  <c r="O1109" i="2" s="1"/>
  <c r="D1109" i="2"/>
  <c r="N1108" i="2"/>
  <c r="O1108" i="2" s="1"/>
  <c r="D1108" i="2"/>
  <c r="N1107" i="2"/>
  <c r="O1107" i="2" s="1"/>
  <c r="D1107" i="2"/>
  <c r="N1106" i="2"/>
  <c r="O1106" i="2" s="1"/>
  <c r="D1106" i="2"/>
  <c r="N1105" i="2"/>
  <c r="O1105" i="2" s="1"/>
  <c r="D1105" i="2"/>
  <c r="N1104" i="2"/>
  <c r="O1104" i="2" s="1"/>
  <c r="D1104" i="2"/>
  <c r="N1103" i="2"/>
  <c r="O1103" i="2" s="1"/>
  <c r="D1103" i="2"/>
  <c r="N1102" i="2"/>
  <c r="O1102" i="2" s="1"/>
  <c r="D1102" i="2"/>
  <c r="N1101" i="2"/>
  <c r="O1101" i="2" s="1"/>
  <c r="D1101" i="2"/>
  <c r="N1100" i="2"/>
  <c r="O1100" i="2" s="1"/>
  <c r="D1100" i="2"/>
  <c r="N1099" i="2"/>
  <c r="O1099" i="2" s="1"/>
  <c r="D1099" i="2"/>
  <c r="N1098" i="2"/>
  <c r="O1098" i="2" s="1"/>
  <c r="D1098" i="2"/>
  <c r="N1097" i="2"/>
  <c r="O1097" i="2" s="1"/>
  <c r="D1097" i="2"/>
  <c r="N1096" i="2"/>
  <c r="O1096" i="2" s="1"/>
  <c r="D1096" i="2"/>
  <c r="N1095" i="2"/>
  <c r="O1095" i="2" s="1"/>
  <c r="N1094" i="2"/>
  <c r="O1094" i="2" s="1"/>
  <c r="D1094" i="2"/>
  <c r="N1093" i="2"/>
  <c r="O1093" i="2" s="1"/>
  <c r="D1093" i="2"/>
  <c r="N1092" i="2"/>
  <c r="O1092" i="2" s="1"/>
  <c r="D1092" i="2"/>
  <c r="N1091" i="2"/>
  <c r="O1091" i="2" s="1"/>
  <c r="D1091" i="2"/>
  <c r="N1090" i="2"/>
  <c r="D1090" i="2"/>
  <c r="N1089" i="2"/>
  <c r="D1089" i="2"/>
  <c r="N1088" i="2"/>
  <c r="D1088" i="2"/>
  <c r="N1087" i="2"/>
  <c r="D1087" i="2"/>
  <c r="N1086" i="2"/>
  <c r="D1086" i="2"/>
  <c r="N1085" i="2"/>
  <c r="D1085" i="2"/>
  <c r="N1084" i="2"/>
  <c r="D1084" i="2"/>
  <c r="N1083" i="2"/>
  <c r="D1083" i="2"/>
  <c r="N1082" i="2"/>
  <c r="D1082" i="2"/>
  <c r="N1081" i="2"/>
  <c r="D1081" i="2"/>
  <c r="N1080" i="2"/>
  <c r="D1080" i="2"/>
  <c r="N1079" i="2"/>
  <c r="D1079" i="2"/>
  <c r="N1078" i="2"/>
  <c r="D1078" i="2"/>
  <c r="N1077" i="2"/>
  <c r="D1077" i="2"/>
  <c r="N1076" i="2"/>
  <c r="D1076" i="2"/>
  <c r="N1075" i="2"/>
  <c r="D1075" i="2"/>
  <c r="N1074" i="2"/>
  <c r="D1074" i="2"/>
  <c r="N1073" i="2"/>
  <c r="D1073" i="2"/>
  <c r="N1072" i="2"/>
  <c r="D1072" i="2"/>
  <c r="N1071" i="2"/>
  <c r="D1071" i="2"/>
  <c r="N1070" i="2"/>
  <c r="D1070" i="2"/>
  <c r="N1069" i="2"/>
  <c r="D1069" i="2"/>
  <c r="N1068" i="2"/>
  <c r="D1068" i="2"/>
  <c r="N1067" i="2"/>
  <c r="D1067" i="2"/>
  <c r="N1066" i="2"/>
  <c r="D1066" i="2"/>
  <c r="N1065" i="2"/>
  <c r="D1065" i="2"/>
  <c r="N1064" i="2"/>
  <c r="D1064" i="2"/>
  <c r="N1063" i="2"/>
  <c r="D1063" i="2"/>
  <c r="N1062" i="2"/>
  <c r="D1062" i="2"/>
  <c r="N1061" i="2"/>
  <c r="D1061" i="2"/>
  <c r="N1060" i="2"/>
  <c r="D1060" i="2"/>
  <c r="N1059" i="2"/>
  <c r="D1059" i="2"/>
  <c r="N1058" i="2"/>
  <c r="D1058" i="2"/>
  <c r="N1057" i="2"/>
  <c r="D1057" i="2"/>
  <c r="N1056" i="2"/>
  <c r="D1056" i="2"/>
  <c r="N1055" i="2"/>
  <c r="D1055" i="2"/>
  <c r="N1054" i="2"/>
  <c r="D1054" i="2"/>
  <c r="N1053" i="2"/>
  <c r="D1053" i="2"/>
  <c r="N1052" i="2"/>
  <c r="D1052" i="2"/>
  <c r="N1051" i="2"/>
  <c r="D1051" i="2"/>
  <c r="N1050" i="2"/>
  <c r="D1050" i="2"/>
  <c r="N1049" i="2"/>
  <c r="D1049" i="2"/>
  <c r="N1048" i="2"/>
  <c r="D1048" i="2"/>
  <c r="N1047" i="2"/>
  <c r="D1047" i="2"/>
  <c r="N1046" i="2"/>
  <c r="D1046" i="2"/>
  <c r="N1045" i="2"/>
  <c r="D1045" i="2"/>
  <c r="N1044" i="2"/>
  <c r="D1044" i="2"/>
  <c r="N1043" i="2"/>
  <c r="D1043" i="2"/>
  <c r="N1042" i="2"/>
  <c r="D1042" i="2"/>
  <c r="N1041" i="2"/>
  <c r="D1041" i="2"/>
  <c r="N1040" i="2"/>
  <c r="D1040" i="2"/>
  <c r="N1039" i="2"/>
  <c r="D1039" i="2"/>
  <c r="N1038" i="2"/>
  <c r="D1038" i="2"/>
  <c r="N1037" i="2"/>
  <c r="D1037" i="2"/>
  <c r="N1036" i="2"/>
  <c r="D1036" i="2"/>
  <c r="N1035" i="2"/>
  <c r="D1035" i="2"/>
  <c r="N1034" i="2"/>
  <c r="D1034" i="2"/>
  <c r="N1033" i="2"/>
  <c r="D1033" i="2"/>
  <c r="N1032" i="2"/>
  <c r="D1032" i="2"/>
  <c r="N1031" i="2"/>
  <c r="D1031" i="2"/>
  <c r="N1030" i="2"/>
  <c r="D1030" i="2"/>
  <c r="N1029" i="2"/>
  <c r="D1029" i="2"/>
  <c r="N1028" i="2"/>
  <c r="D1028" i="2"/>
  <c r="N1027" i="2"/>
  <c r="D1027" i="2"/>
  <c r="N1026" i="2"/>
  <c r="D1026" i="2"/>
  <c r="N1025" i="2"/>
  <c r="D1025" i="2"/>
  <c r="N1024" i="2"/>
  <c r="D1024" i="2"/>
  <c r="N1023" i="2"/>
  <c r="D1023" i="2"/>
  <c r="N1022" i="2"/>
  <c r="D1022" i="2"/>
  <c r="N1021" i="2"/>
  <c r="D1021" i="2"/>
  <c r="N1020" i="2"/>
  <c r="D1020" i="2"/>
  <c r="N1019" i="2"/>
  <c r="D1019" i="2"/>
  <c r="N1018" i="2"/>
  <c r="D1018" i="2"/>
  <c r="N1017" i="2"/>
  <c r="D1017" i="2"/>
  <c r="N1016" i="2"/>
  <c r="D1016" i="2"/>
  <c r="N1015" i="2"/>
  <c r="D1015" i="2"/>
  <c r="N1014" i="2"/>
  <c r="D1014" i="2"/>
  <c r="N1013" i="2"/>
  <c r="D1013" i="2"/>
  <c r="N1012" i="2"/>
  <c r="D1012" i="2"/>
  <c r="N1011" i="2"/>
  <c r="D1011" i="2"/>
  <c r="N1010" i="2"/>
  <c r="D1010" i="2"/>
  <c r="N1009" i="2"/>
  <c r="D1009" i="2"/>
  <c r="N1008" i="2"/>
  <c r="D1008" i="2"/>
  <c r="N1007" i="2"/>
  <c r="D1007" i="2"/>
  <c r="N1006" i="2"/>
  <c r="D1006" i="2"/>
  <c r="N1005" i="2"/>
  <c r="D1005" i="2"/>
  <c r="N1004" i="2"/>
  <c r="D1004" i="2"/>
  <c r="N1003" i="2"/>
  <c r="D1003" i="2"/>
  <c r="N1002" i="2"/>
  <c r="D1002" i="2"/>
  <c r="N1001" i="2"/>
  <c r="D1001" i="2"/>
  <c r="N1000" i="2"/>
  <c r="D1000" i="2"/>
  <c r="N999" i="2"/>
  <c r="D999" i="2"/>
  <c r="N998" i="2"/>
  <c r="D998" i="2"/>
  <c r="N997" i="2"/>
  <c r="D997" i="2"/>
  <c r="N996" i="2"/>
  <c r="D996" i="2"/>
  <c r="N995" i="2"/>
  <c r="D995" i="2"/>
  <c r="N994" i="2"/>
  <c r="D994" i="2"/>
  <c r="N993" i="2"/>
  <c r="D993" i="2"/>
  <c r="N992" i="2"/>
  <c r="D992" i="2"/>
  <c r="N991" i="2"/>
  <c r="D991" i="2"/>
  <c r="N990" i="2"/>
  <c r="D990" i="2"/>
  <c r="N989" i="2"/>
  <c r="D989" i="2"/>
  <c r="N988" i="2"/>
  <c r="D988" i="2"/>
  <c r="N987" i="2"/>
  <c r="D987" i="2"/>
  <c r="N986" i="2"/>
  <c r="D986" i="2"/>
  <c r="N985" i="2"/>
  <c r="D985" i="2"/>
  <c r="N984" i="2"/>
  <c r="D984" i="2"/>
  <c r="N983" i="2"/>
  <c r="D983" i="2"/>
  <c r="N982" i="2"/>
  <c r="D982" i="2"/>
  <c r="N981" i="2"/>
  <c r="D981" i="2"/>
  <c r="N980" i="2"/>
  <c r="D980" i="2"/>
  <c r="N979" i="2"/>
  <c r="D979" i="2"/>
  <c r="N978" i="2"/>
  <c r="D978" i="2"/>
  <c r="N977" i="2"/>
  <c r="D977" i="2"/>
  <c r="N976" i="2"/>
  <c r="D976" i="2"/>
  <c r="N975" i="2"/>
  <c r="D975" i="2"/>
  <c r="N974" i="2"/>
  <c r="D974" i="2"/>
  <c r="N973" i="2"/>
  <c r="D973" i="2"/>
  <c r="N972" i="2"/>
  <c r="D972" i="2"/>
  <c r="N971" i="2"/>
  <c r="D971" i="2"/>
  <c r="N970" i="2"/>
  <c r="D970" i="2"/>
  <c r="N969" i="2"/>
  <c r="D969" i="2"/>
  <c r="N968" i="2"/>
  <c r="D968" i="2"/>
  <c r="N967" i="2"/>
  <c r="D967" i="2"/>
  <c r="N966" i="2"/>
  <c r="D966" i="2"/>
  <c r="N965" i="2"/>
  <c r="D965" i="2"/>
  <c r="N964" i="2"/>
  <c r="D964" i="2"/>
  <c r="N963" i="2"/>
  <c r="D963" i="2"/>
  <c r="N962" i="2"/>
  <c r="D962" i="2"/>
  <c r="N961" i="2"/>
  <c r="D961" i="2"/>
  <c r="N960" i="2"/>
  <c r="D960" i="2"/>
  <c r="N959" i="2"/>
  <c r="D959" i="2"/>
  <c r="N958" i="2"/>
  <c r="D958" i="2"/>
  <c r="N957" i="2"/>
  <c r="D957" i="2"/>
  <c r="N956" i="2"/>
  <c r="O956" i="2" s="1"/>
  <c r="D956" i="2"/>
  <c r="N955" i="2"/>
  <c r="D955" i="2"/>
  <c r="N954" i="2"/>
  <c r="D954" i="2"/>
  <c r="N953" i="2"/>
  <c r="D953" i="2"/>
  <c r="N952" i="2"/>
  <c r="D952" i="2"/>
  <c r="N951" i="2"/>
  <c r="D951" i="2"/>
  <c r="N950" i="2"/>
  <c r="D950" i="2"/>
  <c r="N949" i="2"/>
  <c r="D949" i="2"/>
  <c r="N948" i="2"/>
  <c r="D948" i="2"/>
  <c r="N947" i="2"/>
  <c r="D947" i="2"/>
  <c r="N946" i="2"/>
  <c r="D946" i="2"/>
  <c r="N945" i="2"/>
  <c r="D945" i="2"/>
  <c r="N944" i="2"/>
  <c r="D944" i="2"/>
  <c r="N943" i="2"/>
  <c r="D943" i="2"/>
  <c r="N942" i="2"/>
  <c r="D942" i="2"/>
  <c r="N941" i="2"/>
  <c r="D941" i="2"/>
  <c r="N940" i="2"/>
  <c r="D940" i="2"/>
  <c r="N939" i="2"/>
  <c r="D939" i="2"/>
  <c r="N938" i="2"/>
  <c r="D938" i="2"/>
  <c r="N937" i="2"/>
  <c r="D937" i="2"/>
  <c r="N936" i="2"/>
  <c r="D936" i="2"/>
  <c r="N935" i="2"/>
  <c r="D935" i="2"/>
  <c r="N934" i="2"/>
  <c r="D934" i="2"/>
  <c r="N933" i="2"/>
  <c r="D933" i="2"/>
  <c r="N932" i="2"/>
  <c r="D932" i="2"/>
  <c r="N931" i="2"/>
  <c r="D931" i="2"/>
  <c r="N930" i="2"/>
  <c r="D930" i="2"/>
  <c r="N929" i="2"/>
  <c r="D929" i="2"/>
  <c r="N928" i="2"/>
  <c r="D928" i="2"/>
  <c r="N927" i="2"/>
  <c r="D927" i="2"/>
  <c r="N926" i="2"/>
  <c r="D926" i="2"/>
  <c r="N925" i="2"/>
  <c r="D925" i="2"/>
  <c r="N924" i="2"/>
  <c r="D924" i="2"/>
  <c r="N923" i="2"/>
  <c r="D923" i="2"/>
  <c r="N922" i="2"/>
  <c r="D922" i="2"/>
  <c r="N921" i="2"/>
  <c r="D921" i="2"/>
  <c r="N920" i="2"/>
  <c r="D920" i="2"/>
  <c r="N919" i="2"/>
  <c r="D919" i="2"/>
  <c r="N918" i="2"/>
  <c r="D918" i="2"/>
  <c r="N917" i="2"/>
  <c r="D917" i="2"/>
  <c r="N916" i="2"/>
  <c r="D916" i="2"/>
  <c r="N915" i="2"/>
  <c r="D915" i="2"/>
  <c r="N914" i="2"/>
  <c r="D914" i="2"/>
  <c r="N913" i="2"/>
  <c r="D913" i="2"/>
  <c r="N912" i="2"/>
  <c r="D912" i="2"/>
  <c r="N911" i="2"/>
  <c r="D911" i="2"/>
  <c r="N910" i="2"/>
  <c r="D910" i="2"/>
  <c r="N909" i="2"/>
  <c r="D909" i="2"/>
  <c r="N908" i="2"/>
  <c r="D908" i="2"/>
  <c r="N907" i="2"/>
  <c r="D907" i="2"/>
  <c r="N906" i="2"/>
  <c r="D906" i="2"/>
  <c r="N905" i="2"/>
  <c r="D905" i="2"/>
  <c r="N904" i="2"/>
  <c r="D904" i="2"/>
  <c r="N903" i="2"/>
  <c r="D903" i="2"/>
  <c r="N902" i="2"/>
  <c r="D902" i="2"/>
  <c r="N901" i="2"/>
  <c r="D901" i="2"/>
  <c r="N900" i="2"/>
  <c r="D900" i="2"/>
  <c r="N899" i="2"/>
  <c r="D899" i="2"/>
  <c r="N898" i="2"/>
  <c r="D898" i="2"/>
  <c r="N897" i="2"/>
  <c r="D897" i="2"/>
  <c r="N896" i="2"/>
  <c r="D896" i="2"/>
  <c r="N895" i="2"/>
  <c r="D895" i="2"/>
  <c r="N894" i="2"/>
  <c r="D894" i="2"/>
  <c r="N893" i="2"/>
  <c r="D893" i="2"/>
  <c r="N892" i="2"/>
  <c r="D892" i="2"/>
  <c r="N891" i="2"/>
  <c r="D891" i="2"/>
  <c r="N890" i="2"/>
  <c r="D890" i="2"/>
  <c r="N889" i="2"/>
  <c r="D889" i="2"/>
  <c r="N888" i="2"/>
  <c r="D888" i="2"/>
  <c r="N887" i="2"/>
  <c r="D887" i="2"/>
  <c r="N886" i="2"/>
  <c r="D886" i="2"/>
  <c r="N885" i="2"/>
  <c r="D885" i="2"/>
  <c r="N884" i="2"/>
  <c r="D884" i="2"/>
  <c r="N883" i="2"/>
  <c r="D883" i="2"/>
  <c r="N882" i="2"/>
  <c r="D882" i="2"/>
  <c r="N881" i="2"/>
  <c r="D881" i="2"/>
  <c r="N880" i="2"/>
  <c r="D880" i="2"/>
  <c r="N879" i="2"/>
  <c r="D879" i="2"/>
  <c r="N878" i="2"/>
  <c r="D878" i="2"/>
  <c r="N877" i="2"/>
  <c r="D877" i="2"/>
  <c r="N876" i="2"/>
  <c r="D876" i="2"/>
  <c r="N875" i="2"/>
  <c r="D875" i="2"/>
  <c r="N874" i="2"/>
  <c r="D874" i="2"/>
  <c r="N873" i="2"/>
  <c r="D873" i="2"/>
  <c r="N872" i="2"/>
  <c r="D872" i="2"/>
  <c r="N871" i="2"/>
  <c r="D871" i="2"/>
  <c r="N870" i="2"/>
  <c r="D870" i="2"/>
  <c r="N869" i="2"/>
  <c r="D869" i="2"/>
  <c r="N868" i="2"/>
  <c r="D868" i="2"/>
  <c r="N867" i="2"/>
  <c r="D867" i="2"/>
  <c r="N866" i="2"/>
  <c r="D866" i="2"/>
  <c r="N865" i="2"/>
  <c r="D865" i="2"/>
  <c r="N864" i="2"/>
  <c r="D864" i="2"/>
  <c r="N863" i="2"/>
  <c r="D863" i="2"/>
  <c r="N862" i="2"/>
  <c r="D862" i="2"/>
  <c r="N861" i="2"/>
  <c r="D861" i="2"/>
  <c r="N860" i="2"/>
  <c r="D860" i="2"/>
  <c r="N859" i="2"/>
  <c r="D859" i="2"/>
  <c r="N858" i="2"/>
  <c r="D858" i="2"/>
  <c r="N857" i="2"/>
  <c r="D857" i="2"/>
  <c r="N856" i="2"/>
  <c r="D856" i="2"/>
  <c r="N855" i="2"/>
  <c r="D855" i="2"/>
  <c r="N854" i="2"/>
  <c r="D854" i="2"/>
  <c r="N853" i="2"/>
  <c r="D853" i="2"/>
  <c r="N852" i="2"/>
  <c r="D852" i="2"/>
  <c r="N851" i="2"/>
  <c r="D851" i="2"/>
  <c r="N850" i="2"/>
  <c r="D850" i="2"/>
  <c r="N849" i="2"/>
  <c r="D849" i="2"/>
  <c r="N848" i="2"/>
  <c r="D848" i="2"/>
  <c r="N847" i="2"/>
  <c r="D847" i="2"/>
  <c r="N846" i="2"/>
  <c r="D846" i="2"/>
  <c r="N845" i="2"/>
  <c r="D845" i="2"/>
  <c r="N844" i="2"/>
  <c r="D844" i="2"/>
  <c r="N843" i="2"/>
  <c r="D843" i="2"/>
  <c r="N842" i="2"/>
  <c r="D842" i="2"/>
  <c r="N841" i="2"/>
  <c r="D841" i="2"/>
  <c r="N840" i="2"/>
  <c r="D840" i="2"/>
  <c r="N839" i="2"/>
  <c r="D839" i="2"/>
  <c r="N838" i="2"/>
  <c r="D838" i="2"/>
  <c r="N837" i="2"/>
  <c r="D837" i="2"/>
  <c r="N836" i="2"/>
  <c r="D836" i="2"/>
  <c r="N835" i="2"/>
  <c r="D835" i="2"/>
  <c r="N834" i="2"/>
  <c r="D834" i="2"/>
  <c r="N833" i="2"/>
  <c r="D833" i="2"/>
  <c r="N832" i="2"/>
  <c r="D832" i="2"/>
  <c r="N831" i="2"/>
  <c r="D831" i="2"/>
  <c r="N830" i="2"/>
  <c r="D830" i="2"/>
  <c r="N829" i="2"/>
  <c r="D829" i="2"/>
  <c r="N828" i="2"/>
  <c r="D828" i="2"/>
  <c r="N827" i="2"/>
  <c r="D827" i="2"/>
  <c r="N826" i="2"/>
  <c r="D826" i="2"/>
  <c r="N825" i="2"/>
  <c r="D825" i="2"/>
  <c r="N824" i="2"/>
  <c r="D824" i="2"/>
  <c r="N823" i="2"/>
  <c r="D823" i="2"/>
  <c r="N822" i="2"/>
  <c r="D822" i="2"/>
  <c r="N821" i="2"/>
  <c r="D821" i="2"/>
  <c r="N820" i="2"/>
  <c r="D820" i="2"/>
  <c r="N819" i="2"/>
  <c r="D819" i="2"/>
  <c r="N818" i="2"/>
  <c r="D818" i="2"/>
  <c r="N817" i="2"/>
  <c r="D817" i="2"/>
  <c r="N816" i="2"/>
  <c r="D816" i="2"/>
  <c r="N815" i="2"/>
  <c r="D815" i="2"/>
  <c r="N814" i="2"/>
  <c r="D814" i="2"/>
  <c r="N813" i="2"/>
  <c r="D813" i="2"/>
  <c r="N812" i="2"/>
  <c r="D812" i="2"/>
  <c r="N811" i="2"/>
  <c r="D811" i="2"/>
  <c r="N810" i="2"/>
  <c r="D810" i="2"/>
  <c r="N809" i="2"/>
  <c r="D809" i="2"/>
  <c r="N808" i="2"/>
  <c r="D808" i="2"/>
  <c r="N807" i="2"/>
  <c r="D807" i="2"/>
  <c r="N806" i="2"/>
  <c r="D806" i="2"/>
  <c r="N805" i="2"/>
  <c r="D805" i="2"/>
  <c r="N804" i="2"/>
  <c r="D804" i="2"/>
  <c r="N803" i="2"/>
  <c r="D803" i="2"/>
  <c r="N802" i="2"/>
  <c r="D802" i="2"/>
  <c r="N801" i="2"/>
  <c r="D801" i="2"/>
  <c r="N800" i="2"/>
  <c r="D800" i="2"/>
  <c r="N799" i="2"/>
  <c r="D799" i="2"/>
  <c r="N798" i="2"/>
  <c r="D798" i="2"/>
  <c r="N797" i="2"/>
  <c r="D797" i="2"/>
  <c r="N796" i="2"/>
  <c r="D796" i="2"/>
  <c r="N795" i="2"/>
  <c r="D795" i="2"/>
  <c r="N794" i="2"/>
  <c r="D794" i="2"/>
  <c r="N793" i="2"/>
  <c r="D793" i="2"/>
  <c r="N792" i="2"/>
  <c r="D792" i="2"/>
  <c r="N791" i="2"/>
  <c r="D791" i="2"/>
  <c r="N790" i="2"/>
  <c r="D790" i="2"/>
  <c r="N789" i="2"/>
  <c r="D789" i="2"/>
  <c r="N788" i="2"/>
  <c r="D788" i="2"/>
  <c r="N787" i="2"/>
  <c r="D787" i="2"/>
  <c r="N786" i="2"/>
  <c r="D786" i="2"/>
  <c r="N785" i="2"/>
  <c r="D785" i="2"/>
  <c r="N784" i="2"/>
  <c r="D784" i="2"/>
  <c r="N783" i="2"/>
  <c r="D783" i="2"/>
  <c r="N782" i="2"/>
  <c r="D782" i="2"/>
  <c r="N781" i="2"/>
  <c r="D781" i="2"/>
  <c r="N780" i="2"/>
  <c r="D780" i="2"/>
  <c r="N779" i="2"/>
  <c r="D779" i="2"/>
  <c r="N778" i="2"/>
  <c r="D778" i="2"/>
  <c r="N777" i="2"/>
  <c r="D777" i="2"/>
  <c r="N776" i="2"/>
  <c r="D776" i="2"/>
  <c r="N775" i="2"/>
  <c r="D775" i="2"/>
  <c r="N774" i="2"/>
  <c r="D774" i="2"/>
  <c r="N773" i="2"/>
  <c r="D773" i="2"/>
  <c r="N772" i="2"/>
  <c r="D772" i="2"/>
  <c r="N771" i="2"/>
  <c r="D771" i="2"/>
  <c r="N770" i="2"/>
  <c r="D770" i="2"/>
  <c r="N769" i="2"/>
  <c r="D769" i="2"/>
  <c r="N768" i="2"/>
  <c r="D768" i="2"/>
  <c r="N767" i="2"/>
  <c r="D767" i="2"/>
  <c r="N766" i="2"/>
  <c r="D766" i="2"/>
  <c r="N765" i="2"/>
  <c r="D765" i="2"/>
  <c r="N764" i="2"/>
  <c r="D764" i="2"/>
  <c r="N763" i="2"/>
  <c r="D763" i="2"/>
  <c r="N762" i="2"/>
  <c r="D762" i="2"/>
  <c r="N761" i="2"/>
  <c r="D761" i="2"/>
  <c r="N760" i="2"/>
  <c r="D760" i="2"/>
  <c r="N759" i="2"/>
  <c r="D759" i="2"/>
  <c r="N758" i="2"/>
  <c r="D758" i="2"/>
  <c r="N757" i="2"/>
  <c r="D757" i="2"/>
  <c r="N756" i="2"/>
  <c r="D756" i="2"/>
  <c r="N755" i="2"/>
  <c r="D755" i="2"/>
  <c r="N754" i="2"/>
  <c r="D754" i="2"/>
  <c r="N753" i="2"/>
  <c r="D753" i="2"/>
  <c r="N752" i="2"/>
  <c r="D752" i="2"/>
  <c r="N751" i="2"/>
  <c r="D751" i="2"/>
  <c r="N750" i="2"/>
  <c r="D750" i="2"/>
  <c r="N749" i="2"/>
  <c r="D749" i="2"/>
  <c r="N748" i="2"/>
  <c r="D748" i="2"/>
  <c r="N747" i="2"/>
  <c r="D747" i="2"/>
  <c r="N746" i="2"/>
  <c r="D746" i="2"/>
  <c r="N745" i="2"/>
  <c r="D745" i="2"/>
  <c r="N744" i="2"/>
  <c r="D744" i="2"/>
  <c r="N743" i="2"/>
  <c r="D743" i="2"/>
  <c r="N742" i="2"/>
  <c r="D742" i="2"/>
  <c r="N741" i="2"/>
  <c r="D741" i="2"/>
  <c r="N740" i="2"/>
  <c r="D740" i="2"/>
  <c r="N739" i="2"/>
  <c r="D739" i="2"/>
  <c r="N738" i="2"/>
  <c r="D738" i="2"/>
  <c r="N737" i="2"/>
  <c r="D737" i="2"/>
  <c r="N736" i="2"/>
  <c r="D736" i="2"/>
  <c r="N735" i="2"/>
  <c r="D735" i="2"/>
  <c r="N734" i="2"/>
  <c r="D734" i="2"/>
  <c r="N733" i="2"/>
  <c r="D733" i="2"/>
  <c r="N732" i="2"/>
  <c r="D732" i="2"/>
  <c r="N731" i="2"/>
  <c r="D731" i="2"/>
  <c r="N730" i="2"/>
  <c r="D730" i="2"/>
  <c r="N729" i="2"/>
  <c r="D729" i="2"/>
  <c r="N728" i="2"/>
  <c r="D728" i="2"/>
  <c r="N727" i="2"/>
  <c r="D727" i="2"/>
  <c r="N726" i="2"/>
  <c r="D726" i="2"/>
  <c r="N725" i="2"/>
  <c r="D725" i="2"/>
  <c r="N724" i="2"/>
  <c r="D724" i="2"/>
  <c r="N723" i="2"/>
  <c r="D723" i="2"/>
  <c r="N722" i="2"/>
  <c r="D722" i="2"/>
  <c r="N721" i="2"/>
  <c r="D721" i="2"/>
  <c r="N720" i="2"/>
  <c r="D720" i="2"/>
  <c r="N719" i="2"/>
  <c r="D719" i="2"/>
  <c r="N718" i="2"/>
  <c r="D718" i="2"/>
  <c r="N717" i="2"/>
  <c r="D717" i="2"/>
  <c r="N716" i="2"/>
  <c r="D716" i="2"/>
  <c r="N715" i="2"/>
  <c r="D715" i="2"/>
  <c r="N714" i="2"/>
  <c r="D714" i="2"/>
  <c r="N713" i="2"/>
  <c r="D713" i="2"/>
  <c r="N712" i="2"/>
  <c r="D712" i="2"/>
  <c r="N711" i="2"/>
  <c r="D711" i="2"/>
  <c r="N710" i="2"/>
  <c r="D710" i="2"/>
  <c r="N709" i="2"/>
  <c r="D709" i="2"/>
  <c r="N708" i="2"/>
  <c r="D708" i="2"/>
  <c r="N707" i="2"/>
  <c r="D707" i="2"/>
  <c r="N706" i="2"/>
  <c r="D706" i="2"/>
  <c r="N705" i="2"/>
  <c r="D705" i="2"/>
  <c r="N704" i="2"/>
  <c r="D704" i="2"/>
  <c r="N703" i="2"/>
  <c r="D703" i="2"/>
  <c r="N702" i="2"/>
  <c r="D702" i="2"/>
  <c r="N701" i="2"/>
  <c r="D701" i="2"/>
  <c r="N700" i="2"/>
  <c r="D700" i="2"/>
  <c r="N699" i="2"/>
  <c r="D699" i="2"/>
  <c r="N698" i="2"/>
  <c r="D698" i="2"/>
  <c r="N697" i="2"/>
  <c r="D697" i="2"/>
  <c r="N696" i="2"/>
  <c r="D696" i="2"/>
  <c r="N695" i="2"/>
  <c r="D695" i="2"/>
  <c r="N694" i="2"/>
  <c r="D694" i="2"/>
  <c r="N693" i="2"/>
  <c r="D693" i="2"/>
  <c r="N692" i="2"/>
  <c r="D692" i="2"/>
  <c r="N691" i="2"/>
  <c r="D691" i="2"/>
  <c r="N690" i="2"/>
  <c r="D690" i="2"/>
  <c r="N689" i="2"/>
  <c r="D689" i="2"/>
  <c r="N688" i="2"/>
  <c r="D688" i="2"/>
  <c r="N687" i="2"/>
  <c r="D687" i="2"/>
  <c r="N686" i="2"/>
  <c r="D686" i="2"/>
  <c r="N685" i="2"/>
  <c r="D685" i="2"/>
  <c r="N684" i="2"/>
  <c r="D684" i="2"/>
  <c r="N683" i="2"/>
  <c r="D683" i="2"/>
  <c r="N682" i="2"/>
  <c r="D682" i="2"/>
  <c r="N681" i="2"/>
  <c r="D681" i="2"/>
  <c r="N680" i="2"/>
  <c r="D680" i="2"/>
  <c r="N679" i="2"/>
  <c r="D679" i="2"/>
  <c r="N678" i="2"/>
  <c r="D678" i="2"/>
  <c r="N677" i="2"/>
  <c r="D677" i="2"/>
  <c r="N676" i="2"/>
  <c r="D676" i="2"/>
  <c r="N675" i="2"/>
  <c r="D675" i="2"/>
  <c r="N674" i="2"/>
  <c r="D674" i="2"/>
  <c r="N673" i="2"/>
  <c r="D673" i="2"/>
  <c r="N672" i="2"/>
  <c r="D672" i="2"/>
  <c r="N671" i="2"/>
  <c r="D671" i="2"/>
  <c r="N670" i="2"/>
  <c r="D670" i="2"/>
  <c r="N669" i="2"/>
  <c r="D669" i="2"/>
  <c r="N668" i="2"/>
  <c r="D668" i="2"/>
  <c r="N667" i="2"/>
  <c r="D667" i="2"/>
  <c r="N666" i="2"/>
  <c r="D666" i="2"/>
  <c r="N665" i="2"/>
  <c r="D665" i="2"/>
  <c r="N664" i="2"/>
  <c r="D664" i="2"/>
  <c r="N663" i="2"/>
  <c r="D663" i="2"/>
  <c r="N662" i="2"/>
  <c r="D662" i="2"/>
  <c r="N661" i="2"/>
  <c r="D661" i="2"/>
  <c r="N660" i="2"/>
  <c r="D660" i="2"/>
  <c r="N659" i="2"/>
  <c r="D659" i="2"/>
  <c r="N658" i="2"/>
  <c r="D658" i="2"/>
  <c r="N657" i="2"/>
  <c r="D657" i="2"/>
  <c r="N656" i="2"/>
  <c r="D656" i="2"/>
  <c r="N655" i="2"/>
  <c r="D655" i="2"/>
  <c r="N654" i="2"/>
  <c r="D654" i="2"/>
  <c r="N653" i="2"/>
  <c r="D653" i="2"/>
  <c r="N652" i="2"/>
  <c r="D652" i="2"/>
  <c r="N651" i="2"/>
  <c r="D651" i="2"/>
  <c r="N650" i="2"/>
  <c r="D650" i="2"/>
  <c r="N649" i="2"/>
  <c r="D649" i="2"/>
  <c r="N648" i="2"/>
  <c r="D648" i="2"/>
  <c r="N647" i="2"/>
  <c r="D647" i="2"/>
  <c r="N646" i="2"/>
  <c r="D646" i="2"/>
  <c r="N645" i="2"/>
  <c r="D645" i="2"/>
  <c r="N644" i="2"/>
  <c r="D644" i="2"/>
  <c r="N643" i="2"/>
  <c r="D643" i="2"/>
  <c r="N642" i="2"/>
  <c r="D642" i="2"/>
  <c r="N641" i="2"/>
  <c r="D641" i="2"/>
  <c r="N640" i="2"/>
  <c r="D640" i="2"/>
  <c r="N639" i="2"/>
  <c r="D639" i="2"/>
  <c r="N638" i="2"/>
  <c r="D638" i="2"/>
  <c r="N637" i="2"/>
  <c r="D637" i="2"/>
  <c r="N636" i="2"/>
  <c r="D636" i="2"/>
  <c r="N635" i="2"/>
  <c r="D635" i="2"/>
  <c r="N634" i="2"/>
  <c r="D634" i="2"/>
  <c r="N633" i="2"/>
  <c r="D633" i="2"/>
  <c r="N632" i="2"/>
  <c r="D632" i="2"/>
  <c r="N631" i="2"/>
  <c r="D631" i="2"/>
  <c r="N630" i="2"/>
  <c r="D630" i="2"/>
  <c r="N629" i="2"/>
  <c r="D629" i="2"/>
  <c r="N628" i="2"/>
  <c r="D628" i="2"/>
  <c r="N627" i="2"/>
  <c r="D627" i="2"/>
  <c r="N626" i="2"/>
  <c r="D626" i="2"/>
  <c r="N625" i="2"/>
  <c r="D625" i="2"/>
  <c r="N624" i="2"/>
  <c r="D624" i="2"/>
  <c r="N623" i="2"/>
  <c r="D623" i="2"/>
  <c r="N622" i="2"/>
  <c r="D622" i="2"/>
  <c r="N621" i="2"/>
  <c r="D621" i="2"/>
  <c r="N620" i="2"/>
  <c r="D620" i="2"/>
  <c r="N619" i="2"/>
  <c r="D619" i="2"/>
  <c r="N618" i="2"/>
  <c r="D618" i="2"/>
  <c r="N617" i="2"/>
  <c r="D617" i="2"/>
  <c r="N616" i="2"/>
  <c r="D616" i="2"/>
  <c r="N615" i="2"/>
  <c r="O615" i="2" s="1"/>
  <c r="D615" i="2"/>
  <c r="N614" i="2"/>
  <c r="D614" i="2"/>
  <c r="N613" i="2"/>
  <c r="D613" i="2"/>
  <c r="N612" i="2"/>
  <c r="D612" i="2"/>
  <c r="N611" i="2"/>
  <c r="D611" i="2"/>
  <c r="N610" i="2"/>
  <c r="D610" i="2"/>
  <c r="N609" i="2"/>
  <c r="D609" i="2"/>
  <c r="N608" i="2"/>
  <c r="D608" i="2"/>
  <c r="N607" i="2"/>
  <c r="D607" i="2"/>
  <c r="N606" i="2"/>
  <c r="D606" i="2"/>
  <c r="N605" i="2"/>
  <c r="D605" i="2"/>
  <c r="N604" i="2"/>
  <c r="D604" i="2"/>
  <c r="N603" i="2"/>
  <c r="D603" i="2"/>
  <c r="N602" i="2"/>
  <c r="D602" i="2"/>
  <c r="N601" i="2"/>
  <c r="D601" i="2"/>
  <c r="N600" i="2"/>
  <c r="D600" i="2"/>
  <c r="N599" i="2"/>
  <c r="D599" i="2"/>
  <c r="N598" i="2"/>
  <c r="D598" i="2"/>
  <c r="N597" i="2"/>
  <c r="D597" i="2"/>
  <c r="N596" i="2"/>
  <c r="D596" i="2"/>
  <c r="N595" i="2"/>
  <c r="D595" i="2"/>
  <c r="N594" i="2"/>
  <c r="D594" i="2"/>
  <c r="N593" i="2"/>
  <c r="D593" i="2"/>
  <c r="N592" i="2"/>
  <c r="D592" i="2"/>
  <c r="N591" i="2"/>
  <c r="D591" i="2"/>
  <c r="N590" i="2"/>
  <c r="D590" i="2"/>
  <c r="N589" i="2"/>
  <c r="D589" i="2"/>
  <c r="N588" i="2"/>
  <c r="D588" i="2"/>
  <c r="N587" i="2"/>
  <c r="D587" i="2"/>
  <c r="N586" i="2"/>
  <c r="D586" i="2"/>
  <c r="N585" i="2"/>
  <c r="D585" i="2"/>
  <c r="N584" i="2"/>
  <c r="D584" i="2"/>
  <c r="N583" i="2"/>
  <c r="D583" i="2"/>
  <c r="N582" i="2"/>
  <c r="D582" i="2"/>
  <c r="N581" i="2"/>
  <c r="D581" i="2"/>
  <c r="N580" i="2"/>
  <c r="D580" i="2"/>
  <c r="N579" i="2"/>
  <c r="D579" i="2"/>
  <c r="N578" i="2"/>
  <c r="D578" i="2"/>
  <c r="N577" i="2"/>
  <c r="D577" i="2"/>
  <c r="N576" i="2"/>
  <c r="D576" i="2"/>
  <c r="N575" i="2"/>
  <c r="D575" i="2"/>
  <c r="N574" i="2"/>
  <c r="D574" i="2"/>
  <c r="N573" i="2"/>
  <c r="D573" i="2"/>
  <c r="N572" i="2"/>
  <c r="D572" i="2"/>
  <c r="N571" i="2"/>
  <c r="D571" i="2"/>
  <c r="N570" i="2"/>
  <c r="D570" i="2"/>
  <c r="N569" i="2"/>
  <c r="D569" i="2"/>
  <c r="N568" i="2"/>
  <c r="D568" i="2"/>
  <c r="N567" i="2"/>
  <c r="D567" i="2"/>
  <c r="N566" i="2"/>
  <c r="D566" i="2"/>
  <c r="N565" i="2"/>
  <c r="D565" i="2"/>
  <c r="N564" i="2"/>
  <c r="D564" i="2"/>
  <c r="N563" i="2"/>
  <c r="D563" i="2"/>
  <c r="N562" i="2"/>
  <c r="D562" i="2"/>
  <c r="N561" i="2"/>
  <c r="D561" i="2"/>
  <c r="N560" i="2"/>
  <c r="D560" i="2"/>
  <c r="N559" i="2"/>
  <c r="D559" i="2"/>
  <c r="N558" i="2"/>
  <c r="D558" i="2"/>
  <c r="N557" i="2"/>
  <c r="D557" i="2"/>
  <c r="N556" i="2"/>
  <c r="D556" i="2"/>
  <c r="N555" i="2"/>
  <c r="D555" i="2"/>
  <c r="N554" i="2"/>
  <c r="D554" i="2"/>
  <c r="N553" i="2"/>
  <c r="D553" i="2"/>
  <c r="N552" i="2"/>
  <c r="D552" i="2"/>
  <c r="N551" i="2"/>
  <c r="D551" i="2"/>
  <c r="N550" i="2"/>
  <c r="D550" i="2"/>
  <c r="N549" i="2"/>
  <c r="D549" i="2"/>
  <c r="N548" i="2"/>
  <c r="D548" i="2"/>
  <c r="N547" i="2"/>
  <c r="D547" i="2"/>
  <c r="N546" i="2"/>
  <c r="D546" i="2"/>
  <c r="N545" i="2"/>
  <c r="D545" i="2"/>
  <c r="N544" i="2"/>
  <c r="D544" i="2"/>
  <c r="N543" i="2"/>
  <c r="D543" i="2"/>
  <c r="N542" i="2"/>
  <c r="D542" i="2"/>
  <c r="N541" i="2"/>
  <c r="D541" i="2"/>
  <c r="N540" i="2"/>
  <c r="D540" i="2"/>
  <c r="N539" i="2"/>
  <c r="D539" i="2"/>
  <c r="N538" i="2"/>
  <c r="D538" i="2"/>
  <c r="N537" i="2"/>
  <c r="D537" i="2"/>
  <c r="N536" i="2"/>
  <c r="D536" i="2"/>
  <c r="N535" i="2"/>
  <c r="D535" i="2"/>
  <c r="N534" i="2"/>
  <c r="D534" i="2"/>
  <c r="N533" i="2"/>
  <c r="D533" i="2"/>
  <c r="N532" i="2"/>
  <c r="D532" i="2"/>
  <c r="N531" i="2"/>
  <c r="D531" i="2"/>
  <c r="N530" i="2"/>
  <c r="D530" i="2"/>
  <c r="N529" i="2"/>
  <c r="D529" i="2"/>
  <c r="N528" i="2"/>
  <c r="D528" i="2"/>
  <c r="N527" i="2"/>
  <c r="D527" i="2"/>
  <c r="N526" i="2"/>
  <c r="D526" i="2"/>
  <c r="N525" i="2"/>
  <c r="D525" i="2"/>
  <c r="N524" i="2"/>
  <c r="D524" i="2"/>
  <c r="N523" i="2"/>
  <c r="D523" i="2"/>
  <c r="N522" i="2"/>
  <c r="D522" i="2"/>
  <c r="N521" i="2"/>
  <c r="D521" i="2"/>
  <c r="N520" i="2"/>
  <c r="D520" i="2"/>
  <c r="N519" i="2"/>
  <c r="D519" i="2"/>
  <c r="N518" i="2"/>
  <c r="D518" i="2"/>
  <c r="N517" i="2"/>
  <c r="D517" i="2"/>
  <c r="N516" i="2"/>
  <c r="D516" i="2"/>
  <c r="N515" i="2"/>
  <c r="D515" i="2"/>
  <c r="N514" i="2"/>
  <c r="D514" i="2"/>
  <c r="N513" i="2"/>
  <c r="D513" i="2"/>
  <c r="N512" i="2"/>
  <c r="D512" i="2"/>
  <c r="N511" i="2"/>
  <c r="D511" i="2"/>
  <c r="N510" i="2"/>
  <c r="D510" i="2"/>
  <c r="N509" i="2"/>
  <c r="D509" i="2"/>
  <c r="N508" i="2"/>
  <c r="D508" i="2"/>
  <c r="N507" i="2"/>
  <c r="D507" i="2"/>
  <c r="N506" i="2"/>
  <c r="D506" i="2"/>
  <c r="N505" i="2"/>
  <c r="D505" i="2"/>
  <c r="N504" i="2"/>
  <c r="D504" i="2"/>
  <c r="N503" i="2"/>
  <c r="D503" i="2"/>
  <c r="N502" i="2"/>
  <c r="D502" i="2"/>
  <c r="N501" i="2"/>
  <c r="D501" i="2"/>
  <c r="N500" i="2"/>
  <c r="D500" i="2"/>
  <c r="N499" i="2"/>
  <c r="D499" i="2"/>
  <c r="N498" i="2"/>
  <c r="D498" i="2"/>
  <c r="N497" i="2"/>
  <c r="D497" i="2"/>
  <c r="N496" i="2"/>
  <c r="D496" i="2"/>
  <c r="N495" i="2"/>
  <c r="D495" i="2"/>
  <c r="N494" i="2"/>
  <c r="D494" i="2"/>
  <c r="N493" i="2"/>
  <c r="D493" i="2"/>
  <c r="N492" i="2"/>
  <c r="D492" i="2"/>
  <c r="N491" i="2"/>
  <c r="D491" i="2"/>
  <c r="N490" i="2"/>
  <c r="D490" i="2"/>
  <c r="N489" i="2"/>
  <c r="D489" i="2"/>
  <c r="N488" i="2"/>
  <c r="D488" i="2"/>
  <c r="N487" i="2"/>
  <c r="D487" i="2"/>
  <c r="N486" i="2"/>
  <c r="D486" i="2"/>
  <c r="N485" i="2"/>
  <c r="D485" i="2"/>
  <c r="N484" i="2"/>
  <c r="D484" i="2"/>
  <c r="N483" i="2"/>
  <c r="D483" i="2"/>
  <c r="N482" i="2"/>
  <c r="D482" i="2"/>
  <c r="N481" i="2"/>
  <c r="D481" i="2"/>
  <c r="N480" i="2"/>
  <c r="D480" i="2"/>
  <c r="N479" i="2"/>
  <c r="D479" i="2"/>
  <c r="N478" i="2"/>
  <c r="D478" i="2"/>
  <c r="N477" i="2"/>
  <c r="D477" i="2"/>
  <c r="N476" i="2"/>
  <c r="D476" i="2"/>
  <c r="N475" i="2"/>
  <c r="D475" i="2"/>
  <c r="N474" i="2"/>
  <c r="D474" i="2"/>
  <c r="N473" i="2"/>
  <c r="D473" i="2"/>
  <c r="N472" i="2"/>
  <c r="D472" i="2"/>
  <c r="N471" i="2"/>
  <c r="D471" i="2"/>
  <c r="N470" i="2"/>
  <c r="D470" i="2"/>
  <c r="N469" i="2"/>
  <c r="D469" i="2"/>
  <c r="N468" i="2"/>
  <c r="D468" i="2"/>
  <c r="N467" i="2"/>
  <c r="D467" i="2"/>
  <c r="N466" i="2"/>
  <c r="D466" i="2"/>
  <c r="N465" i="2"/>
  <c r="D465" i="2"/>
  <c r="N464" i="2"/>
  <c r="D464" i="2"/>
  <c r="N463" i="2"/>
  <c r="D463" i="2"/>
  <c r="N462" i="2"/>
  <c r="D462" i="2"/>
  <c r="N461" i="2"/>
  <c r="D461" i="2"/>
  <c r="N460" i="2"/>
  <c r="D460" i="2"/>
  <c r="N459" i="2"/>
  <c r="D459" i="2"/>
  <c r="N458" i="2"/>
  <c r="D458" i="2"/>
  <c r="N457" i="2"/>
  <c r="D457" i="2"/>
  <c r="N456" i="2"/>
  <c r="D456" i="2"/>
  <c r="N455" i="2"/>
  <c r="D455" i="2"/>
  <c r="N454" i="2"/>
  <c r="D454" i="2"/>
  <c r="N453" i="2"/>
  <c r="D453" i="2"/>
  <c r="N452" i="2"/>
  <c r="D452" i="2"/>
  <c r="N451" i="2"/>
  <c r="D451" i="2"/>
  <c r="N450" i="2"/>
  <c r="D450" i="2"/>
  <c r="N449" i="2"/>
  <c r="D449" i="2"/>
  <c r="N448" i="2"/>
  <c r="D448" i="2"/>
  <c r="N447" i="2"/>
  <c r="D447" i="2"/>
  <c r="N446" i="2"/>
  <c r="D446" i="2"/>
  <c r="N445" i="2"/>
  <c r="D445" i="2"/>
  <c r="N444" i="2"/>
  <c r="D444" i="2"/>
  <c r="N443" i="2"/>
  <c r="D443" i="2"/>
  <c r="N442" i="2"/>
  <c r="D442" i="2"/>
  <c r="N441" i="2"/>
  <c r="D441" i="2"/>
  <c r="N440" i="2"/>
  <c r="D440" i="2"/>
  <c r="N439" i="2"/>
  <c r="D439" i="2"/>
  <c r="N438" i="2"/>
  <c r="D438" i="2"/>
  <c r="N437" i="2"/>
  <c r="D437" i="2"/>
  <c r="N436" i="2"/>
  <c r="D436" i="2"/>
  <c r="N435" i="2"/>
  <c r="D435" i="2"/>
  <c r="N434" i="2"/>
  <c r="D434" i="2"/>
  <c r="N433" i="2"/>
  <c r="D433" i="2"/>
  <c r="N432" i="2"/>
  <c r="D432" i="2"/>
  <c r="N431" i="2"/>
  <c r="D431" i="2"/>
  <c r="N430" i="2"/>
  <c r="D430" i="2"/>
  <c r="N429" i="2"/>
  <c r="D429" i="2"/>
  <c r="N428" i="2"/>
  <c r="D428" i="2"/>
  <c r="N427" i="2"/>
  <c r="D427" i="2"/>
  <c r="N426" i="2"/>
  <c r="D426" i="2"/>
  <c r="N425" i="2"/>
  <c r="D425" i="2"/>
  <c r="N424" i="2"/>
  <c r="D424" i="2"/>
  <c r="N423" i="2"/>
  <c r="D423" i="2"/>
  <c r="N422" i="2"/>
  <c r="D422" i="2"/>
  <c r="N421" i="2"/>
  <c r="D421" i="2"/>
  <c r="N420" i="2"/>
  <c r="D420" i="2"/>
  <c r="N419" i="2"/>
  <c r="D419" i="2"/>
  <c r="N418" i="2"/>
  <c r="D418" i="2"/>
  <c r="N417" i="2"/>
  <c r="D417" i="2"/>
  <c r="N416" i="2"/>
  <c r="D416" i="2"/>
  <c r="N415" i="2"/>
  <c r="D415" i="2"/>
  <c r="N414" i="2"/>
  <c r="D414" i="2"/>
  <c r="N413" i="2"/>
  <c r="D413" i="2"/>
  <c r="N412" i="2"/>
  <c r="D412" i="2"/>
  <c r="N411" i="2"/>
  <c r="D411" i="2"/>
  <c r="N410" i="2"/>
  <c r="D410" i="2"/>
  <c r="N409" i="2"/>
  <c r="D409" i="2"/>
  <c r="N408" i="2"/>
  <c r="D408" i="2"/>
  <c r="N407" i="2"/>
  <c r="D407" i="2"/>
  <c r="N406" i="2"/>
  <c r="D406" i="2"/>
  <c r="N405" i="2"/>
  <c r="D405" i="2"/>
  <c r="N404" i="2"/>
  <c r="D404" i="2"/>
  <c r="N403" i="2"/>
  <c r="D403" i="2"/>
  <c r="N402" i="2"/>
  <c r="D402" i="2"/>
  <c r="N401" i="2"/>
  <c r="D401" i="2"/>
  <c r="N400" i="2"/>
  <c r="D400" i="2"/>
  <c r="N399" i="2"/>
  <c r="D399" i="2"/>
  <c r="N398" i="2"/>
  <c r="D398" i="2"/>
  <c r="N397" i="2"/>
  <c r="D397" i="2"/>
  <c r="N396" i="2"/>
  <c r="D396" i="2"/>
  <c r="N395" i="2"/>
  <c r="D395" i="2"/>
  <c r="N394" i="2"/>
  <c r="D394" i="2"/>
  <c r="N393" i="2"/>
  <c r="D393" i="2"/>
  <c r="N392" i="2"/>
  <c r="D392" i="2"/>
  <c r="N391" i="2"/>
  <c r="D391" i="2"/>
  <c r="N390" i="2"/>
  <c r="D390" i="2"/>
  <c r="N389" i="2"/>
  <c r="D389" i="2"/>
  <c r="N388" i="2"/>
  <c r="D388" i="2"/>
  <c r="N387" i="2"/>
  <c r="D387" i="2"/>
  <c r="N386" i="2"/>
  <c r="D386" i="2"/>
  <c r="N385" i="2"/>
  <c r="D385" i="2"/>
  <c r="N384" i="2"/>
  <c r="D384" i="2"/>
  <c r="N383" i="2"/>
  <c r="D383" i="2"/>
  <c r="N382" i="2"/>
  <c r="D382" i="2"/>
  <c r="N381" i="2"/>
  <c r="D381" i="2"/>
  <c r="N380" i="2"/>
  <c r="D380" i="2"/>
  <c r="N379" i="2"/>
  <c r="D379" i="2"/>
  <c r="N378" i="2"/>
  <c r="D378" i="2"/>
  <c r="N377" i="2"/>
  <c r="D377" i="2"/>
  <c r="N376" i="2"/>
  <c r="D376" i="2"/>
  <c r="N375" i="2"/>
  <c r="D375" i="2"/>
  <c r="N374" i="2"/>
  <c r="D374" i="2"/>
  <c r="N373" i="2"/>
  <c r="D373" i="2"/>
  <c r="N372" i="2"/>
  <c r="D372" i="2"/>
  <c r="N371" i="2"/>
  <c r="D371" i="2"/>
  <c r="N370" i="2"/>
  <c r="D370" i="2"/>
  <c r="N369" i="2"/>
  <c r="D369" i="2"/>
  <c r="N368" i="2"/>
  <c r="D368" i="2"/>
  <c r="N367" i="2"/>
  <c r="D367" i="2"/>
  <c r="N366" i="2"/>
  <c r="D366" i="2"/>
  <c r="N365" i="2"/>
  <c r="D365" i="2"/>
  <c r="N364" i="2"/>
  <c r="D364" i="2"/>
  <c r="N363" i="2"/>
  <c r="D363" i="2"/>
  <c r="N362" i="2"/>
  <c r="D362" i="2"/>
  <c r="N361" i="2"/>
  <c r="D361" i="2"/>
  <c r="N360" i="2"/>
  <c r="D360" i="2"/>
  <c r="N359" i="2"/>
  <c r="D359" i="2"/>
  <c r="N358" i="2"/>
  <c r="D358" i="2"/>
  <c r="N357" i="2"/>
  <c r="D357" i="2"/>
  <c r="N356" i="2"/>
  <c r="D356" i="2"/>
  <c r="N355" i="2"/>
  <c r="D355" i="2"/>
  <c r="N354" i="2"/>
  <c r="D354" i="2"/>
  <c r="N353" i="2"/>
  <c r="D353" i="2"/>
  <c r="N352" i="2"/>
  <c r="D352" i="2"/>
  <c r="N351" i="2"/>
  <c r="D351" i="2"/>
  <c r="N350" i="2"/>
  <c r="D350" i="2"/>
  <c r="N349" i="2"/>
  <c r="D349" i="2"/>
  <c r="N348" i="2"/>
  <c r="D348" i="2"/>
  <c r="N347" i="2"/>
  <c r="D347" i="2"/>
  <c r="N346" i="2"/>
  <c r="D346" i="2"/>
  <c r="N345" i="2"/>
  <c r="D345" i="2"/>
  <c r="N344" i="2"/>
  <c r="D344" i="2"/>
  <c r="N343" i="2"/>
  <c r="D343" i="2"/>
  <c r="N342" i="2"/>
  <c r="D342" i="2"/>
  <c r="N341" i="2"/>
  <c r="D341" i="2"/>
  <c r="N340" i="2"/>
  <c r="D340" i="2"/>
  <c r="N339" i="2"/>
  <c r="D339" i="2"/>
  <c r="N338" i="2"/>
  <c r="D338" i="2"/>
  <c r="N337" i="2"/>
  <c r="D337" i="2"/>
  <c r="N336" i="2"/>
  <c r="D336" i="2"/>
  <c r="N335" i="2"/>
  <c r="D335" i="2"/>
  <c r="N334" i="2"/>
  <c r="D334" i="2"/>
  <c r="N333" i="2"/>
  <c r="D333" i="2"/>
  <c r="N332" i="2"/>
  <c r="D332" i="2"/>
  <c r="N331" i="2"/>
  <c r="D331" i="2"/>
  <c r="N330" i="2"/>
  <c r="D330" i="2"/>
  <c r="N329" i="2"/>
  <c r="D329" i="2"/>
  <c r="N328" i="2"/>
  <c r="D328" i="2"/>
  <c r="N327" i="2"/>
  <c r="D327" i="2"/>
  <c r="N326" i="2"/>
  <c r="D326" i="2"/>
  <c r="N325" i="2"/>
  <c r="D325" i="2"/>
  <c r="N324" i="2"/>
  <c r="D324" i="2"/>
  <c r="N323" i="2"/>
  <c r="D323" i="2"/>
  <c r="N322" i="2"/>
  <c r="D322" i="2"/>
  <c r="N321" i="2"/>
  <c r="D321" i="2"/>
  <c r="N320" i="2"/>
  <c r="D320" i="2"/>
  <c r="N319" i="2"/>
  <c r="D319" i="2"/>
  <c r="N318" i="2"/>
  <c r="D318" i="2"/>
  <c r="N317" i="2"/>
  <c r="D317" i="2"/>
  <c r="N316" i="2"/>
  <c r="D316" i="2"/>
  <c r="N315" i="2"/>
  <c r="D315" i="2"/>
  <c r="N314" i="2"/>
  <c r="D314" i="2"/>
  <c r="N313" i="2"/>
  <c r="D313" i="2"/>
  <c r="N312" i="2"/>
  <c r="D312" i="2"/>
  <c r="N311" i="2"/>
  <c r="D311" i="2"/>
  <c r="N310" i="2"/>
  <c r="D310" i="2"/>
  <c r="N309" i="2"/>
  <c r="D309" i="2"/>
  <c r="N308" i="2"/>
  <c r="D308" i="2"/>
  <c r="N307" i="2"/>
  <c r="D307" i="2"/>
  <c r="N306" i="2"/>
  <c r="D306" i="2"/>
  <c r="N305" i="2"/>
  <c r="D305" i="2"/>
  <c r="N304" i="2"/>
  <c r="D304" i="2"/>
  <c r="N303" i="2"/>
  <c r="D303" i="2"/>
  <c r="N302" i="2"/>
  <c r="D302" i="2"/>
  <c r="N301" i="2"/>
  <c r="D301" i="2"/>
  <c r="N300" i="2"/>
  <c r="D300" i="2"/>
  <c r="N299" i="2"/>
  <c r="D299" i="2"/>
  <c r="N298" i="2"/>
  <c r="D298" i="2"/>
  <c r="N297" i="2"/>
  <c r="D297" i="2"/>
  <c r="N296" i="2"/>
  <c r="D296" i="2"/>
  <c r="N295" i="2"/>
  <c r="D295" i="2"/>
  <c r="N294" i="2"/>
  <c r="D294" i="2"/>
  <c r="N293" i="2"/>
  <c r="D293" i="2"/>
  <c r="N292" i="2"/>
  <c r="D292" i="2"/>
  <c r="N291" i="2"/>
  <c r="D291" i="2"/>
  <c r="N290" i="2"/>
  <c r="D290" i="2"/>
  <c r="N289" i="2"/>
  <c r="D289" i="2"/>
  <c r="N288" i="2"/>
  <c r="D288" i="2"/>
  <c r="N287" i="2"/>
  <c r="D287" i="2"/>
  <c r="N286" i="2"/>
  <c r="D286" i="2"/>
  <c r="N285" i="2"/>
  <c r="D285" i="2"/>
  <c r="N284" i="2"/>
  <c r="D284" i="2"/>
  <c r="N283" i="2"/>
  <c r="D283" i="2"/>
  <c r="N282" i="2"/>
  <c r="D282" i="2"/>
  <c r="N281" i="2"/>
  <c r="D281" i="2"/>
  <c r="N280" i="2"/>
  <c r="D280" i="2"/>
  <c r="N279" i="2"/>
  <c r="D279" i="2"/>
  <c r="N278" i="2"/>
  <c r="D278" i="2"/>
  <c r="N277" i="2"/>
  <c r="D277" i="2"/>
  <c r="N276" i="2"/>
  <c r="D276" i="2"/>
  <c r="N275" i="2"/>
  <c r="D275" i="2"/>
  <c r="N274" i="2"/>
  <c r="D274" i="2"/>
  <c r="N273" i="2"/>
  <c r="D273" i="2"/>
  <c r="N272" i="2"/>
  <c r="D272" i="2"/>
  <c r="N271" i="2"/>
  <c r="D271" i="2"/>
  <c r="N270" i="2"/>
  <c r="D270" i="2"/>
  <c r="N269" i="2"/>
  <c r="D269" i="2"/>
  <c r="N268" i="2"/>
  <c r="D268" i="2"/>
  <c r="N267" i="2"/>
  <c r="D267" i="2"/>
  <c r="N266" i="2"/>
  <c r="D266" i="2"/>
  <c r="N265" i="2"/>
  <c r="D265" i="2"/>
  <c r="N264" i="2"/>
  <c r="D264" i="2"/>
  <c r="N263" i="2"/>
  <c r="D263" i="2"/>
  <c r="N262" i="2"/>
  <c r="D262" i="2"/>
  <c r="N261" i="2"/>
  <c r="D261" i="2"/>
  <c r="N260" i="2"/>
  <c r="D260" i="2"/>
  <c r="N259" i="2"/>
  <c r="D259" i="2"/>
  <c r="N258" i="2"/>
  <c r="D258" i="2"/>
  <c r="N257" i="2"/>
  <c r="D257" i="2"/>
  <c r="N256" i="2"/>
  <c r="D256" i="2"/>
  <c r="N255" i="2"/>
  <c r="D255" i="2"/>
  <c r="N254" i="2"/>
  <c r="D254" i="2"/>
  <c r="N253" i="2"/>
  <c r="D253" i="2"/>
  <c r="N252" i="2"/>
  <c r="D252" i="2"/>
  <c r="N251" i="2"/>
  <c r="D251" i="2"/>
  <c r="N250" i="2"/>
  <c r="D250" i="2"/>
  <c r="N249" i="2"/>
  <c r="D249" i="2"/>
  <c r="N248" i="2"/>
  <c r="D248" i="2"/>
  <c r="N247" i="2"/>
  <c r="D247" i="2"/>
  <c r="N246" i="2"/>
  <c r="D246" i="2"/>
  <c r="N245" i="2"/>
  <c r="D245" i="2"/>
  <c r="N244" i="2"/>
  <c r="D244" i="2"/>
  <c r="N243" i="2"/>
  <c r="D243" i="2"/>
  <c r="N242" i="2"/>
  <c r="D242" i="2"/>
  <c r="N241" i="2"/>
  <c r="D241" i="2"/>
  <c r="N240" i="2"/>
  <c r="D240" i="2"/>
  <c r="N239" i="2"/>
  <c r="D239" i="2"/>
  <c r="N238" i="2"/>
  <c r="D238" i="2"/>
  <c r="N237" i="2"/>
  <c r="D237" i="2"/>
  <c r="N236" i="2"/>
  <c r="D236" i="2"/>
  <c r="N235" i="2"/>
  <c r="D235" i="2"/>
  <c r="N234" i="2"/>
  <c r="D234" i="2"/>
  <c r="N233" i="2"/>
  <c r="D233" i="2"/>
  <c r="N232" i="2"/>
  <c r="D232" i="2"/>
  <c r="N231" i="2"/>
  <c r="D231" i="2"/>
  <c r="N230" i="2"/>
  <c r="D230" i="2"/>
  <c r="N229" i="2"/>
  <c r="D229" i="2"/>
  <c r="N228" i="2"/>
  <c r="D228" i="2"/>
  <c r="N227" i="2"/>
  <c r="D227" i="2"/>
  <c r="N226" i="2"/>
  <c r="D226" i="2"/>
  <c r="N225" i="2"/>
  <c r="D225" i="2"/>
  <c r="N224" i="2"/>
  <c r="D224" i="2"/>
  <c r="N223" i="2"/>
  <c r="D223" i="2"/>
  <c r="N222" i="2"/>
  <c r="D222" i="2"/>
  <c r="N221" i="2"/>
  <c r="D221" i="2"/>
  <c r="N220" i="2"/>
  <c r="D220" i="2"/>
  <c r="N219" i="2"/>
  <c r="D219" i="2"/>
  <c r="N218" i="2"/>
  <c r="D218" i="2"/>
  <c r="N217" i="2"/>
  <c r="D217" i="2"/>
  <c r="N216" i="2"/>
  <c r="D216" i="2"/>
  <c r="N215" i="2"/>
  <c r="D215" i="2"/>
  <c r="N214" i="2"/>
  <c r="D214" i="2"/>
  <c r="N213" i="2"/>
  <c r="D213" i="2"/>
  <c r="N212" i="2"/>
  <c r="D212" i="2"/>
  <c r="N211" i="2"/>
  <c r="D211" i="2"/>
  <c r="N210" i="2"/>
  <c r="D210" i="2"/>
  <c r="N209" i="2"/>
  <c r="D209" i="2"/>
  <c r="N208" i="2"/>
  <c r="D208" i="2"/>
  <c r="N207" i="2"/>
  <c r="D207" i="2"/>
  <c r="N206" i="2"/>
  <c r="D206" i="2"/>
  <c r="N205" i="2"/>
  <c r="D205" i="2"/>
  <c r="N204" i="2"/>
  <c r="D204" i="2"/>
  <c r="N203" i="2"/>
  <c r="D203" i="2"/>
  <c r="N202" i="2"/>
  <c r="D202" i="2"/>
  <c r="N201" i="2"/>
  <c r="D201" i="2"/>
  <c r="N200" i="2"/>
  <c r="D200" i="2"/>
  <c r="N199" i="2"/>
  <c r="D199" i="2"/>
  <c r="N198" i="2"/>
  <c r="D198" i="2"/>
  <c r="N197" i="2"/>
  <c r="D197" i="2"/>
  <c r="N196" i="2"/>
  <c r="D196" i="2"/>
  <c r="N195" i="2"/>
  <c r="D195" i="2"/>
  <c r="N194" i="2"/>
  <c r="D194" i="2"/>
  <c r="N193" i="2"/>
  <c r="D193" i="2"/>
  <c r="N192" i="2"/>
  <c r="D192" i="2"/>
  <c r="N191" i="2"/>
  <c r="D191" i="2"/>
  <c r="N190" i="2"/>
  <c r="D190" i="2"/>
  <c r="N189" i="2"/>
  <c r="D189" i="2"/>
  <c r="N188" i="2"/>
  <c r="D188" i="2"/>
  <c r="N187" i="2"/>
  <c r="D187" i="2"/>
  <c r="N186" i="2"/>
  <c r="D186" i="2"/>
  <c r="N185" i="2"/>
  <c r="D185" i="2"/>
  <c r="N184" i="2"/>
  <c r="D184" i="2"/>
  <c r="N183" i="2"/>
  <c r="D183" i="2"/>
  <c r="N182" i="2"/>
  <c r="D182" i="2"/>
  <c r="N181" i="2"/>
  <c r="D181" i="2"/>
  <c r="N180" i="2"/>
  <c r="D180" i="2"/>
  <c r="N179" i="2"/>
  <c r="D179" i="2"/>
  <c r="N178" i="2"/>
  <c r="D178" i="2"/>
  <c r="N177" i="2"/>
  <c r="D177" i="2"/>
  <c r="N176" i="2"/>
  <c r="D176" i="2"/>
  <c r="N175" i="2"/>
  <c r="D175" i="2"/>
  <c r="N174" i="2"/>
  <c r="D174" i="2"/>
  <c r="N173" i="2"/>
  <c r="D173" i="2"/>
  <c r="N172" i="2"/>
  <c r="D172" i="2"/>
  <c r="N171" i="2"/>
  <c r="D171" i="2"/>
  <c r="N170" i="2"/>
  <c r="D170" i="2"/>
  <c r="N169" i="2"/>
  <c r="D169" i="2"/>
  <c r="N168" i="2"/>
  <c r="D168" i="2"/>
  <c r="N167" i="2"/>
  <c r="D167" i="2"/>
  <c r="N166" i="2"/>
  <c r="D166" i="2"/>
  <c r="N165" i="2"/>
  <c r="D165" i="2"/>
  <c r="N164" i="2"/>
  <c r="D164" i="2"/>
  <c r="N163" i="2"/>
  <c r="D163" i="2"/>
  <c r="N162" i="2"/>
  <c r="D162" i="2"/>
  <c r="N161" i="2"/>
  <c r="D161" i="2"/>
  <c r="N160" i="2"/>
  <c r="D160" i="2"/>
  <c r="N159" i="2"/>
  <c r="D159" i="2"/>
  <c r="N158" i="2"/>
  <c r="D158" i="2"/>
  <c r="N157" i="2"/>
  <c r="D157" i="2"/>
  <c r="N156" i="2"/>
  <c r="D156" i="2"/>
  <c r="N155" i="2"/>
  <c r="D155" i="2"/>
  <c r="N154" i="2"/>
  <c r="D154" i="2"/>
  <c r="N153" i="2"/>
  <c r="D153" i="2"/>
  <c r="N152" i="2"/>
  <c r="D152" i="2"/>
  <c r="N151" i="2"/>
  <c r="D151" i="2"/>
  <c r="N150" i="2"/>
  <c r="D150" i="2"/>
  <c r="N149" i="2"/>
  <c r="D149" i="2"/>
  <c r="N148" i="2"/>
  <c r="D148" i="2"/>
  <c r="N147" i="2"/>
  <c r="D147" i="2"/>
  <c r="N146" i="2"/>
  <c r="D146" i="2"/>
  <c r="N145" i="2"/>
  <c r="D145" i="2"/>
  <c r="N144" i="2"/>
  <c r="D144" i="2"/>
  <c r="N143" i="2"/>
  <c r="D143" i="2"/>
  <c r="N142" i="2"/>
  <c r="D142" i="2"/>
  <c r="N141" i="2"/>
  <c r="D141" i="2"/>
  <c r="N140" i="2"/>
  <c r="D140" i="2"/>
  <c r="N139" i="2"/>
  <c r="D139" i="2"/>
  <c r="N138" i="2"/>
  <c r="D138" i="2"/>
  <c r="N137" i="2"/>
  <c r="D137" i="2"/>
  <c r="N136" i="2"/>
  <c r="D136" i="2"/>
  <c r="N135" i="2"/>
  <c r="D135" i="2"/>
  <c r="N134" i="2"/>
  <c r="D134" i="2"/>
  <c r="N133" i="2"/>
  <c r="D133" i="2"/>
  <c r="N132" i="2"/>
  <c r="D132" i="2"/>
  <c r="X131" i="2"/>
  <c r="N131" i="2"/>
  <c r="D131" i="2"/>
  <c r="N130" i="2"/>
  <c r="D130" i="2"/>
  <c r="N129" i="2"/>
  <c r="D129" i="2"/>
  <c r="N128" i="2"/>
  <c r="D128" i="2"/>
  <c r="N127" i="2"/>
  <c r="D127" i="2"/>
  <c r="N126" i="2"/>
  <c r="D126" i="2"/>
  <c r="N125" i="2"/>
  <c r="D125" i="2"/>
  <c r="N124" i="2"/>
  <c r="D124" i="2"/>
  <c r="N123" i="2"/>
  <c r="D123" i="2"/>
  <c r="N122" i="2"/>
  <c r="D122" i="2"/>
  <c r="N121" i="2"/>
  <c r="D121" i="2"/>
  <c r="N120" i="2"/>
  <c r="D120" i="2"/>
  <c r="N119" i="2"/>
  <c r="D119" i="2"/>
  <c r="N118" i="2"/>
  <c r="D118" i="2"/>
  <c r="N117" i="2"/>
  <c r="D117" i="2"/>
  <c r="N116" i="2"/>
  <c r="D116" i="2"/>
  <c r="N115" i="2"/>
  <c r="D115" i="2"/>
  <c r="N114" i="2"/>
  <c r="D114" i="2"/>
  <c r="N113" i="2"/>
  <c r="D113" i="2"/>
  <c r="N112" i="2"/>
  <c r="D112" i="2"/>
  <c r="N111" i="2"/>
  <c r="D111" i="2"/>
  <c r="N110" i="2"/>
  <c r="D110" i="2"/>
  <c r="N109" i="2"/>
  <c r="D109" i="2"/>
  <c r="N108" i="2"/>
  <c r="D108" i="2"/>
  <c r="N107" i="2"/>
  <c r="D107" i="2"/>
  <c r="N106" i="2"/>
  <c r="D106" i="2"/>
  <c r="N105" i="2"/>
  <c r="D105" i="2"/>
  <c r="N104" i="2"/>
  <c r="D104" i="2"/>
  <c r="N103" i="2"/>
  <c r="D103" i="2"/>
  <c r="N102" i="2"/>
  <c r="D102" i="2"/>
  <c r="N101" i="2"/>
  <c r="D101" i="2"/>
  <c r="N100" i="2"/>
  <c r="D100" i="2"/>
  <c r="N99" i="2"/>
  <c r="D99" i="2"/>
  <c r="N98" i="2"/>
  <c r="D98" i="2"/>
  <c r="N97" i="2"/>
  <c r="D97" i="2"/>
  <c r="N96" i="2"/>
  <c r="D96" i="2"/>
  <c r="N95" i="2"/>
  <c r="D95" i="2"/>
  <c r="N94" i="2"/>
  <c r="D94" i="2"/>
  <c r="N93" i="2"/>
  <c r="D93" i="2"/>
  <c r="N92" i="2"/>
  <c r="D92" i="2"/>
  <c r="N91" i="2"/>
  <c r="D91" i="2"/>
  <c r="N90" i="2"/>
  <c r="D90" i="2"/>
  <c r="N89" i="2"/>
  <c r="D89" i="2"/>
  <c r="N88" i="2"/>
  <c r="D88" i="2"/>
  <c r="N87" i="2"/>
  <c r="D87" i="2"/>
  <c r="N86" i="2"/>
  <c r="D86" i="2"/>
  <c r="N85" i="2"/>
  <c r="D85" i="2"/>
  <c r="N84" i="2"/>
  <c r="D84" i="2"/>
  <c r="N83" i="2"/>
  <c r="D83" i="2"/>
  <c r="N82" i="2"/>
  <c r="D82" i="2"/>
  <c r="N81" i="2"/>
  <c r="D81" i="2"/>
  <c r="N80" i="2"/>
  <c r="D80" i="2"/>
  <c r="N79" i="2"/>
  <c r="D79" i="2"/>
  <c r="N78" i="2"/>
  <c r="D78" i="2"/>
  <c r="N77" i="2"/>
  <c r="D77" i="2"/>
  <c r="N76" i="2"/>
  <c r="D76" i="2"/>
  <c r="N75" i="2"/>
  <c r="D75" i="2"/>
  <c r="N74" i="2"/>
  <c r="D74" i="2"/>
  <c r="N73" i="2"/>
  <c r="D73" i="2"/>
  <c r="N72" i="2"/>
  <c r="D72" i="2"/>
  <c r="N71" i="2"/>
  <c r="D71" i="2"/>
  <c r="N70" i="2"/>
  <c r="D70" i="2"/>
  <c r="N69" i="2"/>
  <c r="D69" i="2"/>
  <c r="N68" i="2"/>
  <c r="D68" i="2"/>
  <c r="N67" i="2"/>
  <c r="D67" i="2"/>
  <c r="N66" i="2"/>
  <c r="D66" i="2"/>
  <c r="N65" i="2"/>
  <c r="D65" i="2"/>
  <c r="N64" i="2"/>
  <c r="D64" i="2"/>
  <c r="N63" i="2"/>
  <c r="D63" i="2"/>
  <c r="N62" i="2"/>
  <c r="D62" i="2"/>
  <c r="N61" i="2"/>
  <c r="D61" i="2"/>
  <c r="N60" i="2"/>
  <c r="D60" i="2"/>
  <c r="N59" i="2"/>
  <c r="D59" i="2"/>
  <c r="N58" i="2"/>
  <c r="D58" i="2"/>
  <c r="G19" i="46" s="1"/>
  <c r="N57" i="2"/>
  <c r="D57" i="2"/>
  <c r="N56" i="2"/>
  <c r="D56" i="2"/>
  <c r="N55" i="2"/>
  <c r="D55" i="2"/>
  <c r="N54" i="2"/>
  <c r="D54" i="2"/>
  <c r="N53" i="2"/>
  <c r="D53" i="2"/>
  <c r="N52" i="2"/>
  <c r="D52" i="2"/>
  <c r="N51" i="2"/>
  <c r="D51" i="2"/>
  <c r="N50" i="2"/>
  <c r="D50" i="2"/>
  <c r="N49" i="2"/>
  <c r="D49" i="2"/>
  <c r="N48" i="2"/>
  <c r="D48" i="2"/>
  <c r="N47" i="2"/>
  <c r="D47" i="2"/>
  <c r="N46" i="2"/>
  <c r="D46" i="2"/>
  <c r="N45" i="2"/>
  <c r="D45" i="2"/>
  <c r="N44" i="2"/>
  <c r="D44" i="2"/>
  <c r="N43" i="2"/>
  <c r="D43" i="2"/>
  <c r="N42" i="2"/>
  <c r="D42" i="2"/>
  <c r="N41" i="2"/>
  <c r="D41" i="2"/>
  <c r="N40" i="2"/>
  <c r="D40" i="2"/>
  <c r="N39" i="2"/>
  <c r="D39" i="2"/>
  <c r="N38" i="2"/>
  <c r="D38" i="2"/>
  <c r="N37" i="2"/>
  <c r="D37" i="2"/>
  <c r="N36" i="2"/>
  <c r="D36" i="2"/>
  <c r="N35" i="2"/>
  <c r="D35" i="2"/>
  <c r="N34" i="2"/>
  <c r="D34" i="2"/>
  <c r="N33" i="2"/>
  <c r="D33" i="2"/>
  <c r="N32" i="2"/>
  <c r="D32" i="2"/>
  <c r="N31" i="2"/>
  <c r="D31" i="2"/>
  <c r="N30" i="2"/>
  <c r="D30" i="2"/>
  <c r="N29" i="2"/>
  <c r="D29" i="2"/>
  <c r="N28" i="2"/>
  <c r="D28" i="2"/>
  <c r="N27" i="2"/>
  <c r="D27" i="2"/>
  <c r="N26" i="2"/>
  <c r="D26" i="2"/>
  <c r="N25" i="2"/>
  <c r="D25" i="2"/>
  <c r="N24" i="2"/>
  <c r="D24" i="2"/>
  <c r="N23" i="2"/>
  <c r="D23" i="2"/>
  <c r="N22" i="2"/>
  <c r="D22" i="2"/>
  <c r="N21" i="2"/>
  <c r="D21" i="2"/>
  <c r="N20" i="2"/>
  <c r="D20" i="2"/>
  <c r="N19" i="2"/>
  <c r="D19" i="2"/>
  <c r="N18" i="2"/>
  <c r="D18" i="2"/>
  <c r="N17" i="2"/>
  <c r="D17" i="2"/>
  <c r="N16" i="2"/>
  <c r="D16" i="2"/>
  <c r="N15" i="2"/>
  <c r="D15" i="2"/>
  <c r="N14" i="2"/>
  <c r="D14" i="2"/>
  <c r="N13" i="2"/>
  <c r="D13" i="2"/>
  <c r="N12" i="2"/>
  <c r="D12" i="2"/>
  <c r="N11" i="2"/>
  <c r="D11" i="2"/>
  <c r="N10" i="2"/>
  <c r="D10" i="2"/>
  <c r="N9" i="2"/>
  <c r="D9" i="2"/>
  <c r="N8" i="2"/>
  <c r="D8" i="2"/>
  <c r="N7" i="2"/>
  <c r="D7" i="2"/>
  <c r="N6" i="2"/>
  <c r="D6" i="2"/>
  <c r="N5" i="2"/>
  <c r="D5" i="2"/>
  <c r="N4" i="2"/>
  <c r="D4" i="2"/>
  <c r="N3" i="2"/>
  <c r="D3" i="2"/>
  <c r="N2" i="2"/>
  <c r="D2" i="2"/>
  <c r="G4" i="46" l="1"/>
  <c r="K59" i="46"/>
  <c r="G49" i="46"/>
  <c r="O207" i="2"/>
  <c r="O367" i="2"/>
  <c r="O439" i="2"/>
  <c r="O479" i="2"/>
  <c r="O527" i="2"/>
  <c r="O575" i="2"/>
  <c r="O607" i="2"/>
  <c r="O647" i="2"/>
  <c r="O663" i="2"/>
  <c r="O671" i="2"/>
  <c r="O679" i="2"/>
  <c r="O687" i="2"/>
  <c r="O695" i="2"/>
  <c r="O703" i="2"/>
  <c r="O711" i="2"/>
  <c r="O719" i="2"/>
  <c r="O727" i="2"/>
  <c r="O735" i="2"/>
  <c r="O743" i="2"/>
  <c r="O751" i="2"/>
  <c r="O759" i="2"/>
  <c r="O767" i="2"/>
  <c r="O775" i="2"/>
  <c r="O783" i="2"/>
  <c r="O791" i="2"/>
  <c r="O807" i="2"/>
  <c r="O815" i="2"/>
  <c r="O823" i="2"/>
  <c r="O831" i="2"/>
  <c r="O839" i="2"/>
  <c r="O847" i="2"/>
  <c r="O855" i="2"/>
  <c r="O863" i="2"/>
  <c r="O871" i="2"/>
  <c r="O879" i="2"/>
  <c r="O887" i="2"/>
  <c r="O895" i="2"/>
  <c r="O903" i="2"/>
  <c r="O911" i="2"/>
  <c r="O919" i="2"/>
  <c r="O927" i="2"/>
  <c r="O935" i="2"/>
  <c r="O943" i="2"/>
  <c r="O951" i="2"/>
  <c r="O959" i="2"/>
  <c r="O967" i="2"/>
  <c r="O975" i="2"/>
  <c r="O983" i="2"/>
  <c r="O991" i="2"/>
  <c r="O999" i="2"/>
  <c r="O1007" i="2"/>
  <c r="O1015" i="2"/>
  <c r="O1023" i="2"/>
  <c r="O1031" i="2"/>
  <c r="O1039" i="2"/>
  <c r="O1047" i="2"/>
  <c r="O1055" i="2"/>
  <c r="O1063" i="2"/>
  <c r="O1071" i="2"/>
  <c r="O1079" i="2"/>
  <c r="O1087" i="2"/>
  <c r="O183" i="2"/>
  <c r="O255" i="2"/>
  <c r="O335" i="2"/>
  <c r="O399" i="2"/>
  <c r="O471" i="2"/>
  <c r="O487" i="2"/>
  <c r="O511" i="2"/>
  <c r="O519" i="2"/>
  <c r="O583" i="2"/>
  <c r="O799" i="2"/>
  <c r="O8" i="2"/>
  <c r="O16" i="2"/>
  <c r="O24" i="2"/>
  <c r="O32" i="2"/>
  <c r="O40" i="2"/>
  <c r="O48" i="2"/>
  <c r="O56" i="2"/>
  <c r="O64" i="2"/>
  <c r="O72" i="2"/>
  <c r="O80" i="2"/>
  <c r="O88" i="2"/>
  <c r="O96" i="2"/>
  <c r="O104" i="2"/>
  <c r="O112" i="2"/>
  <c r="O120" i="2"/>
  <c r="O128" i="2"/>
  <c r="O351" i="2"/>
  <c r="O599" i="2"/>
  <c r="O192" i="2"/>
  <c r="O232" i="2"/>
  <c r="O264" i="2"/>
  <c r="O304" i="2"/>
  <c r="O320" i="2"/>
  <c r="O336" i="2"/>
  <c r="O352" i="2"/>
  <c r="O368" i="2"/>
  <c r="O384" i="2"/>
  <c r="O400" i="2"/>
  <c r="O416" i="2"/>
  <c r="O432" i="2"/>
  <c r="O456" i="2"/>
  <c r="O472" i="2"/>
  <c r="O488" i="2"/>
  <c r="O504" i="2"/>
  <c r="O520" i="2"/>
  <c r="O528" i="2"/>
  <c r="O536" i="2"/>
  <c r="O544" i="2"/>
  <c r="O552" i="2"/>
  <c r="O560" i="2"/>
  <c r="O576" i="2"/>
  <c r="O584" i="2"/>
  <c r="O592" i="2"/>
  <c r="O600" i="2"/>
  <c r="O608" i="2"/>
  <c r="O616" i="2"/>
  <c r="O624" i="2"/>
  <c r="O632" i="2"/>
  <c r="O640" i="2"/>
  <c r="O648" i="2"/>
  <c r="O656" i="2"/>
  <c r="O664" i="2"/>
  <c r="O672" i="2"/>
  <c r="O680" i="2"/>
  <c r="O688" i="2"/>
  <c r="O696" i="2"/>
  <c r="O704" i="2"/>
  <c r="O712" i="2"/>
  <c r="O720" i="2"/>
  <c r="O728" i="2"/>
  <c r="O736" i="2"/>
  <c r="O744" i="2"/>
  <c r="O752" i="2"/>
  <c r="O760" i="2"/>
  <c r="O768" i="2"/>
  <c r="O776" i="2"/>
  <c r="O784" i="2"/>
  <c r="O792" i="2"/>
  <c r="O800" i="2"/>
  <c r="O808" i="2"/>
  <c r="O816" i="2"/>
  <c r="O824" i="2"/>
  <c r="O832" i="2"/>
  <c r="O840" i="2"/>
  <c r="O848" i="2"/>
  <c r="O856" i="2"/>
  <c r="O864" i="2"/>
  <c r="O872" i="2"/>
  <c r="O880" i="2"/>
  <c r="O888" i="2"/>
  <c r="O896" i="2"/>
  <c r="O904" i="2"/>
  <c r="O912" i="2"/>
  <c r="O920" i="2"/>
  <c r="O928" i="2"/>
  <c r="O936" i="2"/>
  <c r="O944" i="2"/>
  <c r="O952" i="2"/>
  <c r="O960" i="2"/>
  <c r="O968" i="2"/>
  <c r="O976" i="2"/>
  <c r="O984" i="2"/>
  <c r="O992" i="2"/>
  <c r="O1000" i="2"/>
  <c r="O1008" i="2"/>
  <c r="O1016" i="2"/>
  <c r="O1024" i="2"/>
  <c r="O1032" i="2"/>
  <c r="O1040" i="2"/>
  <c r="O1048" i="2"/>
  <c r="O1056" i="2"/>
  <c r="O1064" i="2"/>
  <c r="O1072" i="2"/>
  <c r="O1080" i="2"/>
  <c r="O1088" i="2"/>
  <c r="O247" i="2"/>
  <c r="O591" i="2"/>
  <c r="O168" i="2"/>
  <c r="O224" i="2"/>
  <c r="O256" i="2"/>
  <c r="O272" i="2"/>
  <c r="O312" i="2"/>
  <c r="O328" i="2"/>
  <c r="O344" i="2"/>
  <c r="O360" i="2"/>
  <c r="O376" i="2"/>
  <c r="O392" i="2"/>
  <c r="O408" i="2"/>
  <c r="O424" i="2"/>
  <c r="O440" i="2"/>
  <c r="O448" i="2"/>
  <c r="O464" i="2"/>
  <c r="O480" i="2"/>
  <c r="O496" i="2"/>
  <c r="O512" i="2"/>
  <c r="O568" i="2"/>
  <c r="O9" i="2"/>
  <c r="O17" i="2"/>
  <c r="O25" i="2"/>
  <c r="O33" i="2"/>
  <c r="O41" i="2"/>
  <c r="O49" i="2"/>
  <c r="O57" i="2"/>
  <c r="O65" i="2"/>
  <c r="O73" i="2"/>
  <c r="O81" i="2"/>
  <c r="O89" i="2"/>
  <c r="O97" i="2"/>
  <c r="O105" i="2"/>
  <c r="O113" i="2"/>
  <c r="O121" i="2"/>
  <c r="O129" i="2"/>
  <c r="O295" i="2"/>
  <c r="O297" i="2"/>
  <c r="O425" i="2"/>
  <c r="O489" i="2"/>
  <c r="O521" i="2"/>
  <c r="O545" i="2"/>
  <c r="O561" i="2"/>
  <c r="O569" i="2"/>
  <c r="O577" i="2"/>
  <c r="O593" i="2"/>
  <c r="O625" i="2"/>
  <c r="O633" i="2"/>
  <c r="O641" i="2"/>
  <c r="O649" i="2"/>
  <c r="O657" i="2"/>
  <c r="O665" i="2"/>
  <c r="O673" i="2"/>
  <c r="O681" i="2"/>
  <c r="O689" i="2"/>
  <c r="O697" i="2"/>
  <c r="O705" i="2"/>
  <c r="O713" i="2"/>
  <c r="O721" i="2"/>
  <c r="O729" i="2"/>
  <c r="O737" i="2"/>
  <c r="O745" i="2"/>
  <c r="O753" i="2"/>
  <c r="O761" i="2"/>
  <c r="O769" i="2"/>
  <c r="O777" i="2"/>
  <c r="O785" i="2"/>
  <c r="O793" i="2"/>
  <c r="O801" i="2"/>
  <c r="O809" i="2"/>
  <c r="O817" i="2"/>
  <c r="O825" i="2"/>
  <c r="O833" i="2"/>
  <c r="O841" i="2"/>
  <c r="O849" i="2"/>
  <c r="O857" i="2"/>
  <c r="O865" i="2"/>
  <c r="O873" i="2"/>
  <c r="O881" i="2"/>
  <c r="O889" i="2"/>
  <c r="O897" i="2"/>
  <c r="O905" i="2"/>
  <c r="O913" i="2"/>
  <c r="O921" i="2"/>
  <c r="O929" i="2"/>
  <c r="O937" i="2"/>
  <c r="O945" i="2"/>
  <c r="O953" i="2"/>
  <c r="O961" i="2"/>
  <c r="O969" i="2"/>
  <c r="O977" i="2"/>
  <c r="O985" i="2"/>
  <c r="O993" i="2"/>
  <c r="O1001" i="2"/>
  <c r="O1009" i="2"/>
  <c r="O1017" i="2"/>
  <c r="O1025" i="2"/>
  <c r="O1033" i="2"/>
  <c r="O1041" i="2"/>
  <c r="O1049" i="2"/>
  <c r="O1057" i="2"/>
  <c r="O1065" i="2"/>
  <c r="O1073" i="2"/>
  <c r="O1081" i="2"/>
  <c r="O1089" i="2"/>
  <c r="O159" i="2"/>
  <c r="O231" i="2"/>
  <c r="O303" i="2"/>
  <c r="O375" i="2"/>
  <c r="O455" i="2"/>
  <c r="O495" i="2"/>
  <c r="O136" i="2"/>
  <c r="O160" i="2"/>
  <c r="O200" i="2"/>
  <c r="O240" i="2"/>
  <c r="O280" i="2"/>
  <c r="O161" i="2"/>
  <c r="O193" i="2"/>
  <c r="O225" i="2"/>
  <c r="O265" i="2"/>
  <c r="O313" i="2"/>
  <c r="O345" i="2"/>
  <c r="O369" i="2"/>
  <c r="O393" i="2"/>
  <c r="O417" i="2"/>
  <c r="O449" i="2"/>
  <c r="O481" i="2"/>
  <c r="O529" i="2"/>
  <c r="O609" i="2"/>
  <c r="O2" i="2"/>
  <c r="O10" i="2"/>
  <c r="O18" i="2"/>
  <c r="O26" i="2"/>
  <c r="O34" i="2"/>
  <c r="O42" i="2"/>
  <c r="O50" i="2"/>
  <c r="O58" i="2"/>
  <c r="O66" i="2"/>
  <c r="O74" i="2"/>
  <c r="O82" i="2"/>
  <c r="O90" i="2"/>
  <c r="O98" i="2"/>
  <c r="O106" i="2"/>
  <c r="O114" i="2"/>
  <c r="O122" i="2"/>
  <c r="O130" i="2"/>
  <c r="O263" i="2"/>
  <c r="O423" i="2"/>
  <c r="O623" i="2"/>
  <c r="O144" i="2"/>
  <c r="O176" i="2"/>
  <c r="O216" i="2"/>
  <c r="O296" i="2"/>
  <c r="O145" i="2"/>
  <c r="O169" i="2"/>
  <c r="O185" i="2"/>
  <c r="O209" i="2"/>
  <c r="O241" i="2"/>
  <c r="O257" i="2"/>
  <c r="O281" i="2"/>
  <c r="O305" i="2"/>
  <c r="O329" i="2"/>
  <c r="O353" i="2"/>
  <c r="O377" i="2"/>
  <c r="O401" i="2"/>
  <c r="O433" i="2"/>
  <c r="O457" i="2"/>
  <c r="O473" i="2"/>
  <c r="O497" i="2"/>
  <c r="O513" i="2"/>
  <c r="O537" i="2"/>
  <c r="O553" i="2"/>
  <c r="O601" i="2"/>
  <c r="O138" i="2"/>
  <c r="O146" i="2"/>
  <c r="O154" i="2"/>
  <c r="O162" i="2"/>
  <c r="O170" i="2"/>
  <c r="O178" i="2"/>
  <c r="O186" i="2"/>
  <c r="O194" i="2"/>
  <c r="O202" i="2"/>
  <c r="O210" i="2"/>
  <c r="O218" i="2"/>
  <c r="O226" i="2"/>
  <c r="O234" i="2"/>
  <c r="O242" i="2"/>
  <c r="O250" i="2"/>
  <c r="O258" i="2"/>
  <c r="O266" i="2"/>
  <c r="O274" i="2"/>
  <c r="O282" i="2"/>
  <c r="O290" i="2"/>
  <c r="O298" i="2"/>
  <c r="O306" i="2"/>
  <c r="O314" i="2"/>
  <c r="O322" i="2"/>
  <c r="O330" i="2"/>
  <c r="O338" i="2"/>
  <c r="O346" i="2"/>
  <c r="O354" i="2"/>
  <c r="O362" i="2"/>
  <c r="O370" i="2"/>
  <c r="O378" i="2"/>
  <c r="O386" i="2"/>
  <c r="O394" i="2"/>
  <c r="O402" i="2"/>
  <c r="O410" i="2"/>
  <c r="O418" i="2"/>
  <c r="O426" i="2"/>
  <c r="O434" i="2"/>
  <c r="O442" i="2"/>
  <c r="O450" i="2"/>
  <c r="O458" i="2"/>
  <c r="O466" i="2"/>
  <c r="O474" i="2"/>
  <c r="O482" i="2"/>
  <c r="O490" i="2"/>
  <c r="O498" i="2"/>
  <c r="O506" i="2"/>
  <c r="O514" i="2"/>
  <c r="O522" i="2"/>
  <c r="O530" i="2"/>
  <c r="O538" i="2"/>
  <c r="O546" i="2"/>
  <c r="O554" i="2"/>
  <c r="O562" i="2"/>
  <c r="O570" i="2"/>
  <c r="O578" i="2"/>
  <c r="O586" i="2"/>
  <c r="O594" i="2"/>
  <c r="O602" i="2"/>
  <c r="O610" i="2"/>
  <c r="O618" i="2"/>
  <c r="O626" i="2"/>
  <c r="O634" i="2"/>
  <c r="O642" i="2"/>
  <c r="O650" i="2"/>
  <c r="O658" i="2"/>
  <c r="O666" i="2"/>
  <c r="O674" i="2"/>
  <c r="O682" i="2"/>
  <c r="O690" i="2"/>
  <c r="O698" i="2"/>
  <c r="O706" i="2"/>
  <c r="O714" i="2"/>
  <c r="O722" i="2"/>
  <c r="O730" i="2"/>
  <c r="O738" i="2"/>
  <c r="O746" i="2"/>
  <c r="O754" i="2"/>
  <c r="O762" i="2"/>
  <c r="O770" i="2"/>
  <c r="O778" i="2"/>
  <c r="O786" i="2"/>
  <c r="O794" i="2"/>
  <c r="O802" i="2"/>
  <c r="O810" i="2"/>
  <c r="O818" i="2"/>
  <c r="O826" i="2"/>
  <c r="O834" i="2"/>
  <c r="O842" i="2"/>
  <c r="O850" i="2"/>
  <c r="O858" i="2"/>
  <c r="O866" i="2"/>
  <c r="O874" i="2"/>
  <c r="O882" i="2"/>
  <c r="O890" i="2"/>
  <c r="O898" i="2"/>
  <c r="O906" i="2"/>
  <c r="O914" i="2"/>
  <c r="O922" i="2"/>
  <c r="O930" i="2"/>
  <c r="O938" i="2"/>
  <c r="O946" i="2"/>
  <c r="O954" i="2"/>
  <c r="O962" i="2"/>
  <c r="O970" i="2"/>
  <c r="O978" i="2"/>
  <c r="O986" i="2"/>
  <c r="O994" i="2"/>
  <c r="O1002" i="2"/>
  <c r="O1010" i="2"/>
  <c r="O1018" i="2"/>
  <c r="O1026" i="2"/>
  <c r="O1034" i="2"/>
  <c r="O1042" i="2"/>
  <c r="O1050" i="2"/>
  <c r="O1058" i="2"/>
  <c r="O1066" i="2"/>
  <c r="O1074" i="2"/>
  <c r="O1082" i="2"/>
  <c r="O1090" i="2"/>
  <c r="O223" i="2"/>
  <c r="O383" i="2"/>
  <c r="O631" i="2"/>
  <c r="O152" i="2"/>
  <c r="O184" i="2"/>
  <c r="O208" i="2"/>
  <c r="O248" i="2"/>
  <c r="O288" i="2"/>
  <c r="O137" i="2"/>
  <c r="O153" i="2"/>
  <c r="O177" i="2"/>
  <c r="O201" i="2"/>
  <c r="O217" i="2"/>
  <c r="O233" i="2"/>
  <c r="O249" i="2"/>
  <c r="O273" i="2"/>
  <c r="O289" i="2"/>
  <c r="O321" i="2"/>
  <c r="O337" i="2"/>
  <c r="O361" i="2"/>
  <c r="O385" i="2"/>
  <c r="O409" i="2"/>
  <c r="O441" i="2"/>
  <c r="O465" i="2"/>
  <c r="O505" i="2"/>
  <c r="O585" i="2"/>
  <c r="O3" i="2"/>
  <c r="O11" i="2"/>
  <c r="O19" i="2"/>
  <c r="O27" i="2"/>
  <c r="O35" i="2"/>
  <c r="O43" i="2"/>
  <c r="O51" i="2"/>
  <c r="O59" i="2"/>
  <c r="O67" i="2"/>
  <c r="O75" i="2"/>
  <c r="O83" i="2"/>
  <c r="O91" i="2"/>
  <c r="O99" i="2"/>
  <c r="O107" i="2"/>
  <c r="O115" i="2"/>
  <c r="O123" i="2"/>
  <c r="O131" i="2"/>
  <c r="O167" i="2"/>
  <c r="O239" i="2"/>
  <c r="O343" i="2"/>
  <c r="O431" i="2"/>
  <c r="O503" i="2"/>
  <c r="O639" i="2"/>
  <c r="O155" i="2"/>
  <c r="O171" i="2"/>
  <c r="O195" i="2"/>
  <c r="O219" i="2"/>
  <c r="O235" i="2"/>
  <c r="O259" i="2"/>
  <c r="O275" i="2"/>
  <c r="O291" i="2"/>
  <c r="O299" i="2"/>
  <c r="O307" i="2"/>
  <c r="O315" i="2"/>
  <c r="O323" i="2"/>
  <c r="O339" i="2"/>
  <c r="O347" i="2"/>
  <c r="O355" i="2"/>
  <c r="O363" i="2"/>
  <c r="O371" i="2"/>
  <c r="O379" i="2"/>
  <c r="O387" i="2"/>
  <c r="O395" i="2"/>
  <c r="O403" i="2"/>
  <c r="O411" i="2"/>
  <c r="O419" i="2"/>
  <c r="O427" i="2"/>
  <c r="O435" i="2"/>
  <c r="O443" i="2"/>
  <c r="O451" i="2"/>
  <c r="O459" i="2"/>
  <c r="O467" i="2"/>
  <c r="O475" i="2"/>
  <c r="O483" i="2"/>
  <c r="O491" i="2"/>
  <c r="O499" i="2"/>
  <c r="O507" i="2"/>
  <c r="O515" i="2"/>
  <c r="O523" i="2"/>
  <c r="O531" i="2"/>
  <c r="O539" i="2"/>
  <c r="O547" i="2"/>
  <c r="O555" i="2"/>
  <c r="O563" i="2"/>
  <c r="O571" i="2"/>
  <c r="O579" i="2"/>
  <c r="O587" i="2"/>
  <c r="O595" i="2"/>
  <c r="O603" i="2"/>
  <c r="O611" i="2"/>
  <c r="O619" i="2"/>
  <c r="O627" i="2"/>
  <c r="O635" i="2"/>
  <c r="O643" i="2"/>
  <c r="O651" i="2"/>
  <c r="O659" i="2"/>
  <c r="O667" i="2"/>
  <c r="O675" i="2"/>
  <c r="O683" i="2"/>
  <c r="O691" i="2"/>
  <c r="O699" i="2"/>
  <c r="O707" i="2"/>
  <c r="O715" i="2"/>
  <c r="O723" i="2"/>
  <c r="O731" i="2"/>
  <c r="O739" i="2"/>
  <c r="O747" i="2"/>
  <c r="O755" i="2"/>
  <c r="O763" i="2"/>
  <c r="O771" i="2"/>
  <c r="O779" i="2"/>
  <c r="O787" i="2"/>
  <c r="O795" i="2"/>
  <c r="O803" i="2"/>
  <c r="O811" i="2"/>
  <c r="O819" i="2"/>
  <c r="O827" i="2"/>
  <c r="O835" i="2"/>
  <c r="O843" i="2"/>
  <c r="O851" i="2"/>
  <c r="O859" i="2"/>
  <c r="O867" i="2"/>
  <c r="O875" i="2"/>
  <c r="O883" i="2"/>
  <c r="O891" i="2"/>
  <c r="O899" i="2"/>
  <c r="O907" i="2"/>
  <c r="O915" i="2"/>
  <c r="O923" i="2"/>
  <c r="O931" i="2"/>
  <c r="O939" i="2"/>
  <c r="O947" i="2"/>
  <c r="O955" i="2"/>
  <c r="O963" i="2"/>
  <c r="O971" i="2"/>
  <c r="O979" i="2"/>
  <c r="O987" i="2"/>
  <c r="O995" i="2"/>
  <c r="O1003" i="2"/>
  <c r="O1011" i="2"/>
  <c r="O1019" i="2"/>
  <c r="O1027" i="2"/>
  <c r="O1035" i="2"/>
  <c r="O1043" i="2"/>
  <c r="O1051" i="2"/>
  <c r="O1059" i="2"/>
  <c r="O1067" i="2"/>
  <c r="O1075" i="2"/>
  <c r="O1083" i="2"/>
  <c r="O151" i="2"/>
  <c r="O271" i="2"/>
  <c r="O447" i="2"/>
  <c r="O655" i="2"/>
  <c r="O139" i="2"/>
  <c r="O147" i="2"/>
  <c r="O163" i="2"/>
  <c r="O179" i="2"/>
  <c r="O187" i="2"/>
  <c r="O203" i="2"/>
  <c r="O211" i="2"/>
  <c r="O227" i="2"/>
  <c r="O243" i="2"/>
  <c r="O251" i="2"/>
  <c r="O267" i="2"/>
  <c r="O283" i="2"/>
  <c r="O331" i="2"/>
  <c r="O4" i="2"/>
  <c r="O12" i="2"/>
  <c r="O20" i="2"/>
  <c r="O28" i="2"/>
  <c r="O36" i="2"/>
  <c r="O44" i="2"/>
  <c r="O52" i="2"/>
  <c r="O60" i="2"/>
  <c r="O68" i="2"/>
  <c r="O76" i="2"/>
  <c r="O84" i="2"/>
  <c r="O92" i="2"/>
  <c r="O100" i="2"/>
  <c r="O108" i="2"/>
  <c r="O116" i="2"/>
  <c r="O124" i="2"/>
  <c r="O215" i="2"/>
  <c r="O327" i="2"/>
  <c r="O407" i="2"/>
  <c r="O463" i="2"/>
  <c r="O543" i="2"/>
  <c r="O164" i="2"/>
  <c r="O204" i="2"/>
  <c r="O220" i="2"/>
  <c r="O236" i="2"/>
  <c r="O260" i="2"/>
  <c r="O276" i="2"/>
  <c r="O292" i="2"/>
  <c r="O308" i="2"/>
  <c r="O316" i="2"/>
  <c r="O332" i="2"/>
  <c r="O348" i="2"/>
  <c r="O364" i="2"/>
  <c r="O380" i="2"/>
  <c r="O396" i="2"/>
  <c r="O412" i="2"/>
  <c r="O428" i="2"/>
  <c r="O444" i="2"/>
  <c r="O468" i="2"/>
  <c r="O484" i="2"/>
  <c r="O492" i="2"/>
  <c r="O508" i="2"/>
  <c r="O516" i="2"/>
  <c r="O524" i="2"/>
  <c r="O532" i="2"/>
  <c r="O540" i="2"/>
  <c r="O548" i="2"/>
  <c r="O556" i="2"/>
  <c r="O572" i="2"/>
  <c r="O580" i="2"/>
  <c r="O588" i="2"/>
  <c r="O596" i="2"/>
  <c r="O604" i="2"/>
  <c r="O612" i="2"/>
  <c r="O620" i="2"/>
  <c r="O628" i="2"/>
  <c r="O636" i="2"/>
  <c r="O644" i="2"/>
  <c r="O652" i="2"/>
  <c r="O660" i="2"/>
  <c r="O668" i="2"/>
  <c r="O676" i="2"/>
  <c r="O684" i="2"/>
  <c r="O692" i="2"/>
  <c r="O700" i="2"/>
  <c r="O708" i="2"/>
  <c r="O716" i="2"/>
  <c r="O724" i="2"/>
  <c r="O732" i="2"/>
  <c r="O740" i="2"/>
  <c r="O748" i="2"/>
  <c r="O756" i="2"/>
  <c r="O764" i="2"/>
  <c r="O772" i="2"/>
  <c r="O780" i="2"/>
  <c r="O788" i="2"/>
  <c r="O796" i="2"/>
  <c r="O804" i="2"/>
  <c r="O812" i="2"/>
  <c r="O820" i="2"/>
  <c r="O828" i="2"/>
  <c r="O836" i="2"/>
  <c r="O844" i="2"/>
  <c r="O852" i="2"/>
  <c r="O860" i="2"/>
  <c r="O868" i="2"/>
  <c r="O876" i="2"/>
  <c r="O884" i="2"/>
  <c r="O892" i="2"/>
  <c r="O900" i="2"/>
  <c r="O908" i="2"/>
  <c r="O916" i="2"/>
  <c r="O924" i="2"/>
  <c r="O932" i="2"/>
  <c r="O940" i="2"/>
  <c r="O948" i="2"/>
  <c r="O964" i="2"/>
  <c r="O972" i="2"/>
  <c r="O980" i="2"/>
  <c r="O988" i="2"/>
  <c r="O996" i="2"/>
  <c r="O1004" i="2"/>
  <c r="O1012" i="2"/>
  <c r="O1020" i="2"/>
  <c r="O1028" i="2"/>
  <c r="O1036" i="2"/>
  <c r="O1044" i="2"/>
  <c r="O1052" i="2"/>
  <c r="O1060" i="2"/>
  <c r="O1068" i="2"/>
  <c r="O1076" i="2"/>
  <c r="O1084" i="2"/>
  <c r="O175" i="2"/>
  <c r="O359" i="2"/>
  <c r="O535" i="2"/>
  <c r="O148" i="2"/>
  <c r="O156" i="2"/>
  <c r="O196" i="2"/>
  <c r="O212" i="2"/>
  <c r="O228" i="2"/>
  <c r="O244" i="2"/>
  <c r="O252" i="2"/>
  <c r="O268" i="2"/>
  <c r="O284" i="2"/>
  <c r="O300" i="2"/>
  <c r="O324" i="2"/>
  <c r="O340" i="2"/>
  <c r="O356" i="2"/>
  <c r="O372" i="2"/>
  <c r="O388" i="2"/>
  <c r="O404" i="2"/>
  <c r="O420" i="2"/>
  <c r="O436" i="2"/>
  <c r="O452" i="2"/>
  <c r="O460" i="2"/>
  <c r="O476" i="2"/>
  <c r="O500" i="2"/>
  <c r="O564" i="2"/>
  <c r="O5" i="2"/>
  <c r="O13" i="2"/>
  <c r="O21" i="2"/>
  <c r="O29" i="2"/>
  <c r="O37" i="2"/>
  <c r="O45" i="2"/>
  <c r="O53" i="2"/>
  <c r="O61" i="2"/>
  <c r="O69" i="2"/>
  <c r="O77" i="2"/>
  <c r="O85" i="2"/>
  <c r="O93" i="2"/>
  <c r="O101" i="2"/>
  <c r="O109" i="2"/>
  <c r="O117" i="2"/>
  <c r="O125" i="2"/>
  <c r="O279" i="2"/>
  <c r="O197" i="2"/>
  <c r="O277" i="2"/>
  <c r="O325" i="2"/>
  <c r="O365" i="2"/>
  <c r="O389" i="2"/>
  <c r="O405" i="2"/>
  <c r="O421" i="2"/>
  <c r="O445" i="2"/>
  <c r="O469" i="2"/>
  <c r="O485" i="2"/>
  <c r="O501" i="2"/>
  <c r="O517" i="2"/>
  <c r="O525" i="2"/>
  <c r="O533" i="2"/>
  <c r="O541" i="2"/>
  <c r="O549" i="2"/>
  <c r="O557" i="2"/>
  <c r="O565" i="2"/>
  <c r="O581" i="2"/>
  <c r="O589" i="2"/>
  <c r="O597" i="2"/>
  <c r="O605" i="2"/>
  <c r="O613" i="2"/>
  <c r="O621" i="2"/>
  <c r="O629" i="2"/>
  <c r="O637" i="2"/>
  <c r="O645" i="2"/>
  <c r="O653" i="2"/>
  <c r="O661" i="2"/>
  <c r="O669" i="2"/>
  <c r="O677" i="2"/>
  <c r="O685" i="2"/>
  <c r="O693" i="2"/>
  <c r="O701" i="2"/>
  <c r="O709" i="2"/>
  <c r="O717" i="2"/>
  <c r="O725" i="2"/>
  <c r="O733" i="2"/>
  <c r="O741" i="2"/>
  <c r="O749" i="2"/>
  <c r="O757" i="2"/>
  <c r="O765" i="2"/>
  <c r="O773" i="2"/>
  <c r="O781" i="2"/>
  <c r="O789" i="2"/>
  <c r="O797" i="2"/>
  <c r="O805" i="2"/>
  <c r="O813" i="2"/>
  <c r="O821" i="2"/>
  <c r="O829" i="2"/>
  <c r="O837" i="2"/>
  <c r="O845" i="2"/>
  <c r="O853" i="2"/>
  <c r="O861" i="2"/>
  <c r="O869" i="2"/>
  <c r="O877" i="2"/>
  <c r="O885" i="2"/>
  <c r="O893" i="2"/>
  <c r="O901" i="2"/>
  <c r="O909" i="2"/>
  <c r="O917" i="2"/>
  <c r="O925" i="2"/>
  <c r="O933" i="2"/>
  <c r="O941" i="2"/>
  <c r="O949" i="2"/>
  <c r="O957" i="2"/>
  <c r="O965" i="2"/>
  <c r="O973" i="2"/>
  <c r="O981" i="2"/>
  <c r="O989" i="2"/>
  <c r="O997" i="2"/>
  <c r="O1005" i="2"/>
  <c r="O1013" i="2"/>
  <c r="O1021" i="2"/>
  <c r="O1029" i="2"/>
  <c r="O1037" i="2"/>
  <c r="O1045" i="2"/>
  <c r="O1053" i="2"/>
  <c r="O1061" i="2"/>
  <c r="O1069" i="2"/>
  <c r="O1077" i="2"/>
  <c r="O1085" i="2"/>
  <c r="O135" i="2"/>
  <c r="O319" i="2"/>
  <c r="O559" i="2"/>
  <c r="O172" i="2"/>
  <c r="O157" i="2"/>
  <c r="O181" i="2"/>
  <c r="O221" i="2"/>
  <c r="O245" i="2"/>
  <c r="O269" i="2"/>
  <c r="O301" i="2"/>
  <c r="O333" i="2"/>
  <c r="O357" i="2"/>
  <c r="O381" i="2"/>
  <c r="O397" i="2"/>
  <c r="O413" i="2"/>
  <c r="O429" i="2"/>
  <c r="O453" i="2"/>
  <c r="O477" i="2"/>
  <c r="O493" i="2"/>
  <c r="O509" i="2"/>
  <c r="O573" i="2"/>
  <c r="O6" i="2"/>
  <c r="O14" i="2"/>
  <c r="O22" i="2"/>
  <c r="O30" i="2"/>
  <c r="O38" i="2"/>
  <c r="O46" i="2"/>
  <c r="O54" i="2"/>
  <c r="O62" i="2"/>
  <c r="O70" i="2"/>
  <c r="O78" i="2"/>
  <c r="O86" i="2"/>
  <c r="O94" i="2"/>
  <c r="O102" i="2"/>
  <c r="O110" i="2"/>
  <c r="O118" i="2"/>
  <c r="O126" i="2"/>
  <c r="O143" i="2"/>
  <c r="O191" i="2"/>
  <c r="O287" i="2"/>
  <c r="O391" i="2"/>
  <c r="O551" i="2"/>
  <c r="O132" i="2"/>
  <c r="O188" i="2"/>
  <c r="O149" i="2"/>
  <c r="O173" i="2"/>
  <c r="O205" i="2"/>
  <c r="O229" i="2"/>
  <c r="O261" i="2"/>
  <c r="O293" i="2"/>
  <c r="O317" i="2"/>
  <c r="O349" i="2"/>
  <c r="O437" i="2"/>
  <c r="O142" i="2"/>
  <c r="O158" i="2"/>
  <c r="O174" i="2"/>
  <c r="O190" i="2"/>
  <c r="O198" i="2"/>
  <c r="O206" i="2"/>
  <c r="O214" i="2"/>
  <c r="O230" i="2"/>
  <c r="O238" i="2"/>
  <c r="O246" i="2"/>
  <c r="O254" i="2"/>
  <c r="O262" i="2"/>
  <c r="O270" i="2"/>
  <c r="O278" i="2"/>
  <c r="O286" i="2"/>
  <c r="O294" i="2"/>
  <c r="O302" i="2"/>
  <c r="O310" i="2"/>
  <c r="O318" i="2"/>
  <c r="O326" i="2"/>
  <c r="O334" i="2"/>
  <c r="O342" i="2"/>
  <c r="O350" i="2"/>
  <c r="O358" i="2"/>
  <c r="O366" i="2"/>
  <c r="O374" i="2"/>
  <c r="O382" i="2"/>
  <c r="O390" i="2"/>
  <c r="O398" i="2"/>
  <c r="O406" i="2"/>
  <c r="O414" i="2"/>
  <c r="O422" i="2"/>
  <c r="O430" i="2"/>
  <c r="O438" i="2"/>
  <c r="O446" i="2"/>
  <c r="O454" i="2"/>
  <c r="O462" i="2"/>
  <c r="O470" i="2"/>
  <c r="O478" i="2"/>
  <c r="O486" i="2"/>
  <c r="O494" i="2"/>
  <c r="O502" i="2"/>
  <c r="O510" i="2"/>
  <c r="O518" i="2"/>
  <c r="O526" i="2"/>
  <c r="O534" i="2"/>
  <c r="O542" i="2"/>
  <c r="O550" i="2"/>
  <c r="O558" i="2"/>
  <c r="O566" i="2"/>
  <c r="O574" i="2"/>
  <c r="O582" i="2"/>
  <c r="O590" i="2"/>
  <c r="O598" i="2"/>
  <c r="O606" i="2"/>
  <c r="O614" i="2"/>
  <c r="O622" i="2"/>
  <c r="O630" i="2"/>
  <c r="O638" i="2"/>
  <c r="O646" i="2"/>
  <c r="O654" i="2"/>
  <c r="O662" i="2"/>
  <c r="O670" i="2"/>
  <c r="O678" i="2"/>
  <c r="O686" i="2"/>
  <c r="O694" i="2"/>
  <c r="O702" i="2"/>
  <c r="O710" i="2"/>
  <c r="O718" i="2"/>
  <c r="O726" i="2"/>
  <c r="O734" i="2"/>
  <c r="O742" i="2"/>
  <c r="O750" i="2"/>
  <c r="O758" i="2"/>
  <c r="O766" i="2"/>
  <c r="O774" i="2"/>
  <c r="O782" i="2"/>
  <c r="O790" i="2"/>
  <c r="O798" i="2"/>
  <c r="O806" i="2"/>
  <c r="O814" i="2"/>
  <c r="O822" i="2"/>
  <c r="O830" i="2"/>
  <c r="O838" i="2"/>
  <c r="O846" i="2"/>
  <c r="O854" i="2"/>
  <c r="O862" i="2"/>
  <c r="O870" i="2"/>
  <c r="O878" i="2"/>
  <c r="O886" i="2"/>
  <c r="O894" i="2"/>
  <c r="O902" i="2"/>
  <c r="O910" i="2"/>
  <c r="O918" i="2"/>
  <c r="O926" i="2"/>
  <c r="O934" i="2"/>
  <c r="O942" i="2"/>
  <c r="O950" i="2"/>
  <c r="O966" i="2"/>
  <c r="O974" i="2"/>
  <c r="O982" i="2"/>
  <c r="O990" i="2"/>
  <c r="O998" i="2"/>
  <c r="O1006" i="2"/>
  <c r="O1014" i="2"/>
  <c r="O1022" i="2"/>
  <c r="O1030" i="2"/>
  <c r="O1038" i="2"/>
  <c r="O1046" i="2"/>
  <c r="O1054" i="2"/>
  <c r="O1062" i="2"/>
  <c r="O1070" i="2"/>
  <c r="O1078" i="2"/>
  <c r="O1086" i="2"/>
  <c r="O199" i="2"/>
  <c r="O311" i="2"/>
  <c r="O415" i="2"/>
  <c r="O567" i="2"/>
  <c r="O140" i="2"/>
  <c r="O180" i="2"/>
  <c r="O133" i="2"/>
  <c r="O141" i="2"/>
  <c r="O165" i="2"/>
  <c r="O189" i="2"/>
  <c r="O213" i="2"/>
  <c r="O237" i="2"/>
  <c r="O253" i="2"/>
  <c r="O285" i="2"/>
  <c r="O309" i="2"/>
  <c r="O341" i="2"/>
  <c r="O373" i="2"/>
  <c r="O461" i="2"/>
  <c r="O134" i="2"/>
  <c r="O150" i="2"/>
  <c r="O166" i="2"/>
  <c r="O182" i="2"/>
  <c r="O222" i="2"/>
  <c r="O7" i="2"/>
  <c r="O15" i="2"/>
  <c r="O23" i="2"/>
  <c r="O31" i="2"/>
  <c r="O39" i="2"/>
  <c r="O47" i="2"/>
  <c r="O55" i="2"/>
  <c r="O63" i="2"/>
  <c r="O71" i="2"/>
  <c r="O79" i="2"/>
  <c r="O87" i="2"/>
  <c r="O95" i="2"/>
  <c r="O103" i="2"/>
  <c r="O111" i="2"/>
  <c r="O119" i="2"/>
  <c r="O127" i="2"/>
  <c r="G80" i="46"/>
  <c r="G50" i="46"/>
  <c r="S58" i="46"/>
  <c r="G39" i="46"/>
  <c r="G40" i="46"/>
  <c r="G41" i="46"/>
  <c r="S17" i="46"/>
  <c r="G20" i="46"/>
  <c r="G28" i="46"/>
  <c r="S28" i="46"/>
  <c r="G81" i="46"/>
  <c r="G82" i="46"/>
  <c r="K29" i="46"/>
  <c r="G83" i="46"/>
  <c r="G84" i="46"/>
  <c r="G85" i="46"/>
  <c r="G86" i="46"/>
  <c r="G21" i="46"/>
  <c r="G22" i="46"/>
  <c r="G70" i="46"/>
  <c r="G23" i="46"/>
  <c r="G71" i="46"/>
  <c r="G25" i="46"/>
  <c r="G27" i="46"/>
  <c r="G38" i="46"/>
  <c r="G9" i="46"/>
  <c r="G8" i="46"/>
  <c r="G7" i="46"/>
  <c r="G6" i="46"/>
  <c r="K14" i="46"/>
  <c r="S13" i="46"/>
  <c r="G13" i="46"/>
  <c r="G5" i="46"/>
  <c r="G11" i="46"/>
  <c r="G10" i="46"/>
  <c r="G12" i="46"/>
  <c r="G68" i="46"/>
  <c r="G69" i="46"/>
  <c r="S32" i="46"/>
  <c r="G42" i="46"/>
  <c r="S62" i="46"/>
  <c r="G72" i="46"/>
  <c r="G34" i="46"/>
  <c r="G64" i="46"/>
  <c r="G35" i="46"/>
  <c r="G43" i="46"/>
  <c r="G51" i="46"/>
  <c r="G65" i="46"/>
  <c r="G73" i="46"/>
  <c r="G87" i="46"/>
  <c r="G24" i="46"/>
  <c r="G52" i="46"/>
  <c r="G53" i="46"/>
  <c r="S43" i="46"/>
  <c r="G54" i="46"/>
  <c r="S73" i="46"/>
  <c r="G88" i="46"/>
  <c r="G55" i="46"/>
  <c r="K44" i="46"/>
  <c r="G56" i="46"/>
  <c r="K74" i="46"/>
  <c r="S47" i="46"/>
  <c r="G57" i="46"/>
  <c r="S77" i="46"/>
  <c r="S88" i="46"/>
  <c r="G36" i="46"/>
  <c r="G58" i="46"/>
  <c r="G66" i="46"/>
  <c r="G79" i="46"/>
</calcChain>
</file>

<file path=xl/sharedStrings.xml><?xml version="1.0" encoding="utf-8"?>
<sst xmlns="http://schemas.openxmlformats.org/spreadsheetml/2006/main" count="15433" uniqueCount="4270">
  <si>
    <t>:</t>
  </si>
  <si>
    <t>APELLIDOS</t>
  </si>
  <si>
    <t>NOMBRES</t>
  </si>
  <si>
    <t>GPO SANGUINEO</t>
  </si>
  <si>
    <t>LIC CONDUCIR</t>
  </si>
  <si>
    <t>CLASE</t>
  </si>
  <si>
    <t>DNI</t>
  </si>
  <si>
    <r>
      <t>LICENCIA N</t>
    </r>
    <r>
      <rPr>
        <b/>
        <vertAlign val="superscript"/>
        <sz val="5"/>
        <rFont val="Arial"/>
        <family val="2"/>
      </rPr>
      <t>O</t>
    </r>
  </si>
  <si>
    <t>CODIGO</t>
  </si>
  <si>
    <t>ITEM</t>
  </si>
  <si>
    <t xml:space="preserve">NOMBRES </t>
  </si>
  <si>
    <t>F. CADUCIDAD</t>
  </si>
  <si>
    <t>CURSOS CAPACITADOS</t>
  </si>
  <si>
    <t>RESTRICCIONES</t>
  </si>
  <si>
    <t>CAPACITACION EN EL TRABAJO ( FORMATO 14 B)</t>
  </si>
  <si>
    <t>CAPACITACION EN EL AREA DEL TRABAJO ( FORMATO 14 A )</t>
  </si>
  <si>
    <t>INDUCCION DE SEGURIDAD ( FORMATO 14 )</t>
  </si>
  <si>
    <t>CON LENTES</t>
  </si>
  <si>
    <t>JUAN RUBEN</t>
  </si>
  <si>
    <t>ANGEL</t>
  </si>
  <si>
    <t>MARCO ANTONIO</t>
  </si>
  <si>
    <t>CARLOS ALBERTO</t>
  </si>
  <si>
    <t>MIGUEL ANGEL</t>
  </si>
  <si>
    <t>JUAN</t>
  </si>
  <si>
    <t>HECTOR</t>
  </si>
  <si>
    <t>O Rh POSITIVO</t>
  </si>
  <si>
    <t>MARIO</t>
  </si>
  <si>
    <t>ALFREDO</t>
  </si>
  <si>
    <t>LUIS ALBERTO</t>
  </si>
  <si>
    <t>VICTOR MANUEL</t>
  </si>
  <si>
    <t>JULIO CESAR</t>
  </si>
  <si>
    <t>JORGE</t>
  </si>
  <si>
    <t>CARLOS</t>
  </si>
  <si>
    <t>RAUL</t>
  </si>
  <si>
    <t>EQUIPO AUTORIZADO</t>
  </si>
  <si>
    <t>ARTURO</t>
  </si>
  <si>
    <t>ALCOCER VELA</t>
  </si>
  <si>
    <t>JUAN ALBERTO</t>
  </si>
  <si>
    <t>ALE MITA</t>
  </si>
  <si>
    <t xml:space="preserve">AMESQUITA GUZMAN </t>
  </si>
  <si>
    <t>JORGE ENRIQUE</t>
  </si>
  <si>
    <t>AÑASCO TAPIA</t>
  </si>
  <si>
    <t>JUAN BAUTISTA</t>
  </si>
  <si>
    <t>ARANA CUARITE</t>
  </si>
  <si>
    <t>ADAN ALFREDO</t>
  </si>
  <si>
    <t>JESUS MARCOS</t>
  </si>
  <si>
    <t xml:space="preserve">ARAPA CCAJIA </t>
  </si>
  <si>
    <t>GINN BIDES</t>
  </si>
  <si>
    <t>AREVALO DEL CARPIO</t>
  </si>
  <si>
    <t>GUILLERMO</t>
  </si>
  <si>
    <t>VICTOR RAUL</t>
  </si>
  <si>
    <t xml:space="preserve">AROQUIPA HUAYTA </t>
  </si>
  <si>
    <t>MELCHOR</t>
  </si>
  <si>
    <t>ARTEAGA HUAYNA</t>
  </si>
  <si>
    <t>ORLANDO HENRY</t>
  </si>
  <si>
    <t>ARUHUANCA CCAMAPAZA</t>
  </si>
  <si>
    <t>FIDEL</t>
  </si>
  <si>
    <t>AUCCAPIÑA CCOTO</t>
  </si>
  <si>
    <t>OSCAR DANTE</t>
  </si>
  <si>
    <t>BARRA POMPILLA</t>
  </si>
  <si>
    <t>VALERIO</t>
  </si>
  <si>
    <t>BELTRAN CALCINA</t>
  </si>
  <si>
    <t>MATEO ADAN</t>
  </si>
  <si>
    <t>BENAVENTE LOPEZ</t>
  </si>
  <si>
    <t>JOSÉ FERDINAND</t>
  </si>
  <si>
    <t>BENITES CUTIPA</t>
  </si>
  <si>
    <t>FAUSTINO JOSÉ</t>
  </si>
  <si>
    <t>BERNEDO COCHÓN</t>
  </si>
  <si>
    <t>AURELIO</t>
  </si>
  <si>
    <t>CALCINA HUAMANTUMA</t>
  </si>
  <si>
    <t>BERNARDINO CELESTINO</t>
  </si>
  <si>
    <t>CAMA CONSA</t>
  </si>
  <si>
    <t>CANAZA MORALES</t>
  </si>
  <si>
    <t>RAUL ANGEL</t>
  </si>
  <si>
    <t>CARAZAS TORRES</t>
  </si>
  <si>
    <t>NESTOR</t>
  </si>
  <si>
    <t>CASTILLO MENDOZA</t>
  </si>
  <si>
    <t>WALDO</t>
  </si>
  <si>
    <t>CASTILLO PORTOCARRERO</t>
  </si>
  <si>
    <t>JESUS NAZARIO</t>
  </si>
  <si>
    <t>CCACYA CCAHUA</t>
  </si>
  <si>
    <t>JOSÉ LUIS</t>
  </si>
  <si>
    <t>CCOA TORRES</t>
  </si>
  <si>
    <t>HUGO</t>
  </si>
  <si>
    <t>CHACNAMA CHALLA</t>
  </si>
  <si>
    <t>CHALLCO CARDEÑA</t>
  </si>
  <si>
    <t>CHAVEZ LAZO</t>
  </si>
  <si>
    <t>CHOQUE YUCRA</t>
  </si>
  <si>
    <t>JAVIER STARLING EMANUELL</t>
  </si>
  <si>
    <t>CHUCTAYA HUALLPA</t>
  </si>
  <si>
    <t>URIEL</t>
  </si>
  <si>
    <t>COAGUILA ATAMARI</t>
  </si>
  <si>
    <t>CARLOS EDILBERTO</t>
  </si>
  <si>
    <t>COAQUIRA QUISPE</t>
  </si>
  <si>
    <t>JOSÉ MARIA</t>
  </si>
  <si>
    <t>CONDORI CHAMBY</t>
  </si>
  <si>
    <t xml:space="preserve">CONDORI ESCOBAR </t>
  </si>
  <si>
    <t>EUGENIO</t>
  </si>
  <si>
    <t>CONDORI PANCA</t>
  </si>
  <si>
    <t>PERCY HENRRY</t>
  </si>
  <si>
    <t>CORDOVA CALLE</t>
  </si>
  <si>
    <t>LEONEL</t>
  </si>
  <si>
    <t>CORNEJO CERVANTES</t>
  </si>
  <si>
    <t>JULIO AURELIO</t>
  </si>
  <si>
    <t>CORNEJO DELGADO</t>
  </si>
  <si>
    <t>CRUZADO OLIVA</t>
  </si>
  <si>
    <t>MANUEL OMAR</t>
  </si>
  <si>
    <t>CUBA PILCO</t>
  </si>
  <si>
    <t>ALEJANDRO SELENIO</t>
  </si>
  <si>
    <t>CUNO ALMIRON</t>
  </si>
  <si>
    <t>JOEL DAVID</t>
  </si>
  <si>
    <t>DIAZ RAMOS</t>
  </si>
  <si>
    <t>JERRY JAMES</t>
  </si>
  <si>
    <t>ESCOBEDO TITO</t>
  </si>
  <si>
    <t>ANTONIO GUSTAVO</t>
  </si>
  <si>
    <t xml:space="preserve">FALCON LOPEZ </t>
  </si>
  <si>
    <t>CUBER</t>
  </si>
  <si>
    <t xml:space="preserve">FERNANDEZ RODRIGUEZ </t>
  </si>
  <si>
    <t>ARMANDO RICARDO</t>
  </si>
  <si>
    <t>FLORES AGUILAR</t>
  </si>
  <si>
    <t>FRISANCHO ORTIZ</t>
  </si>
  <si>
    <t>DAVID</t>
  </si>
  <si>
    <t xml:space="preserve">GALINDO LUNA </t>
  </si>
  <si>
    <t xml:space="preserve">GOMEZ ARANA </t>
  </si>
  <si>
    <t>EDWIN IDELFONSO</t>
  </si>
  <si>
    <t>GOMEZ ARANA</t>
  </si>
  <si>
    <t>JHON SCALI</t>
  </si>
  <si>
    <t xml:space="preserve">GOMEZ PINTO </t>
  </si>
  <si>
    <t xml:space="preserve">GOMEZ RUBINA </t>
  </si>
  <si>
    <t>GONZALES MAMANI</t>
  </si>
  <si>
    <t>GREGORIO</t>
  </si>
  <si>
    <t xml:space="preserve">GONZALES MEDINA </t>
  </si>
  <si>
    <t>CARLOS ALBERTO ALEXANDER</t>
  </si>
  <si>
    <t xml:space="preserve">GUTIERREZ CHIPANA </t>
  </si>
  <si>
    <t>DAVID FRANCISCO</t>
  </si>
  <si>
    <t xml:space="preserve">HERRERA RUEDA </t>
  </si>
  <si>
    <t>RONALD JESUS</t>
  </si>
  <si>
    <t xml:space="preserve">HILARI TORRES </t>
  </si>
  <si>
    <t>MARIO DAVID</t>
  </si>
  <si>
    <t xml:space="preserve">HUAMAN GUERRA </t>
  </si>
  <si>
    <t>ARTEMIO</t>
  </si>
  <si>
    <t xml:space="preserve">HUAMAN MACHACA </t>
  </si>
  <si>
    <t>TITO MANUEL</t>
  </si>
  <si>
    <t xml:space="preserve">HUARCAYA BALLÓN </t>
  </si>
  <si>
    <t>HENRRY LEONEL</t>
  </si>
  <si>
    <t xml:space="preserve">HUAYHUA ACUTA </t>
  </si>
  <si>
    <t>EPIFANIO TIMOTEO</t>
  </si>
  <si>
    <t>HUAYNA NUÑEZ</t>
  </si>
  <si>
    <t xml:space="preserve"> EDWIN EDUARDO</t>
  </si>
  <si>
    <t xml:space="preserve">INFANTES RETAMOZO </t>
  </si>
  <si>
    <t>JUAN ABEL</t>
  </si>
  <si>
    <t>JAUREGUI CALLOMAMANI</t>
  </si>
  <si>
    <t>ROLANDO ALFREDO</t>
  </si>
  <si>
    <t xml:space="preserve">LARICO BENAVENTE </t>
  </si>
  <si>
    <t>LIZARBE VELAZCO</t>
  </si>
  <si>
    <t>EDY FRANCISCO</t>
  </si>
  <si>
    <t xml:space="preserve">LLAMPI HUALLPA </t>
  </si>
  <si>
    <t>EFRAIN</t>
  </si>
  <si>
    <t>LLAVE CCOTO</t>
  </si>
  <si>
    <t>HENRY ABEL</t>
  </si>
  <si>
    <t>LLERENA ALVAREZ</t>
  </si>
  <si>
    <t>FERNANDO JAVIER</t>
  </si>
  <si>
    <t xml:space="preserve">LLUFIRE CHAMBI </t>
  </si>
  <si>
    <t>OSWALDO</t>
  </si>
  <si>
    <t>MACHACA PINTO</t>
  </si>
  <si>
    <t>CÉSAR FERNANDO</t>
  </si>
  <si>
    <t xml:space="preserve">MAMANI APAZA </t>
  </si>
  <si>
    <t>EMILIO ESTEBAN</t>
  </si>
  <si>
    <t>MAMANI ARO</t>
  </si>
  <si>
    <t>PERCY ROGER</t>
  </si>
  <si>
    <t>MAMANI LIMACHI</t>
  </si>
  <si>
    <t>MAMANI MENDOZA</t>
  </si>
  <si>
    <t>LEONARDO</t>
  </si>
  <si>
    <t xml:space="preserve">MAMANI SANGA </t>
  </si>
  <si>
    <t>YOEL JAMES</t>
  </si>
  <si>
    <t xml:space="preserve">MARTINEZ HANCCO </t>
  </si>
  <si>
    <t>JOSE ANTONIO</t>
  </si>
  <si>
    <t>MATEOS MEDINA</t>
  </si>
  <si>
    <t xml:space="preserve">MENDEZ LAZO </t>
  </si>
  <si>
    <t>MERMA HUAMANÍ</t>
  </si>
  <si>
    <t>MONTOYA MANRIQUE</t>
  </si>
  <si>
    <t>EDGARDO ARMANDO</t>
  </si>
  <si>
    <t>MORENO MAMANI</t>
  </si>
  <si>
    <t>BENJAMIN ARCADIO</t>
  </si>
  <si>
    <t xml:space="preserve">NOHA TICONA </t>
  </si>
  <si>
    <t>EDGAR CARLOS</t>
  </si>
  <si>
    <t>NUÑEZ HEREDIA</t>
  </si>
  <si>
    <t>JOSE HIPOLITO</t>
  </si>
  <si>
    <t>ORTIZ CHOQUE</t>
  </si>
  <si>
    <t>JIMMY ALONSO</t>
  </si>
  <si>
    <t>ORTIZ CHOQUEHUANCA</t>
  </si>
  <si>
    <t xml:space="preserve"> JUAN NESTOR</t>
  </si>
  <si>
    <t xml:space="preserve">PAREDES HUARCAYA </t>
  </si>
  <si>
    <t>RICHARD HERMOGENES</t>
  </si>
  <si>
    <t xml:space="preserve">PERCA CHAVEZ </t>
  </si>
  <si>
    <t>PRUDENCIO VIDAL</t>
  </si>
  <si>
    <t xml:space="preserve">PEREZ CORONACIÓN </t>
  </si>
  <si>
    <t>ELISEO</t>
  </si>
  <si>
    <t>PEREZ TITO</t>
  </si>
  <si>
    <t>HITLER RAUL</t>
  </si>
  <si>
    <t xml:space="preserve">PORTUGAL CHAVEZ </t>
  </si>
  <si>
    <t>JUAN ALFREDO</t>
  </si>
  <si>
    <t>PUMACHARA USCCA</t>
  </si>
  <si>
    <t>FELIX</t>
  </si>
  <si>
    <t xml:space="preserve">QUISPE PARRA </t>
  </si>
  <si>
    <t>LUIS CLEVER</t>
  </si>
  <si>
    <t xml:space="preserve">QUISPE POMA </t>
  </si>
  <si>
    <t>JAIME</t>
  </si>
  <si>
    <t xml:space="preserve">QUISPE QUENTA </t>
  </si>
  <si>
    <t>BRUNO ROSARIO</t>
  </si>
  <si>
    <t xml:space="preserve">QUISPE QUISPE </t>
  </si>
  <si>
    <t>MARCO RAFAEL</t>
  </si>
  <si>
    <t>RAMOS TOLEDO</t>
  </si>
  <si>
    <t xml:space="preserve"> LUIS ALBERTO</t>
  </si>
  <si>
    <t>RIVERA BEDREGAL</t>
  </si>
  <si>
    <t>UBALDO VITO</t>
  </si>
  <si>
    <t>RIVERA HUARACHA</t>
  </si>
  <si>
    <t>ROY RICHARD</t>
  </si>
  <si>
    <t>RIVERA ZEGARRA</t>
  </si>
  <si>
    <t>PABLO ADRIAN</t>
  </si>
  <si>
    <t xml:space="preserve">ROMERO AUCCA </t>
  </si>
  <si>
    <t>DAVID WESLEY</t>
  </si>
  <si>
    <t>SALAS MENDOZA</t>
  </si>
  <si>
    <t>SALAS RAMOS</t>
  </si>
  <si>
    <t xml:space="preserve">SALAZAR CHAHUA </t>
  </si>
  <si>
    <t>LIBORIO</t>
  </si>
  <si>
    <t xml:space="preserve">SANCHEZ SILVA </t>
  </si>
  <si>
    <t xml:space="preserve">SILLCAHUI CHACO </t>
  </si>
  <si>
    <t>FELIPE</t>
  </si>
  <si>
    <t xml:space="preserve">SOLIS QUILLAHUAMAN </t>
  </si>
  <si>
    <t>EDGAR ALFREDO</t>
  </si>
  <si>
    <t>SOSA ENRIQUEZ</t>
  </si>
  <si>
    <t>YONI FERNANDO</t>
  </si>
  <si>
    <t xml:space="preserve">SUAREZ AGUILAR </t>
  </si>
  <si>
    <t>SURCO CHOQUE</t>
  </si>
  <si>
    <t>FELIX ERNESTO</t>
  </si>
  <si>
    <t xml:space="preserve">TEJADA FLORES </t>
  </si>
  <si>
    <t>JHON HELARD</t>
  </si>
  <si>
    <t xml:space="preserve">TEVES CHAMBI </t>
  </si>
  <si>
    <t>LORENZO</t>
  </si>
  <si>
    <t>TICONA CASO</t>
  </si>
  <si>
    <t>TICONA TORRES</t>
  </si>
  <si>
    <t>FREDDY GERMAN</t>
  </si>
  <si>
    <t xml:space="preserve">TITO MENDOZA </t>
  </si>
  <si>
    <t>ALFREDO JONHATAN</t>
  </si>
  <si>
    <t>TITO VILLANO</t>
  </si>
  <si>
    <t>FERRER</t>
  </si>
  <si>
    <t>TORRES AGUIRRE</t>
  </si>
  <si>
    <t xml:space="preserve"> VICTOR ALONSO</t>
  </si>
  <si>
    <t xml:space="preserve">TTITO PUMA </t>
  </si>
  <si>
    <t>TUNCO CRUZ</t>
  </si>
  <si>
    <t>NESTOR ALEJO</t>
  </si>
  <si>
    <t>URDAY GUEVARA</t>
  </si>
  <si>
    <t xml:space="preserve"> HILARIO</t>
  </si>
  <si>
    <t>VALDEZ ARAOZ</t>
  </si>
  <si>
    <t xml:space="preserve"> JULIO CESAR</t>
  </si>
  <si>
    <t>VALDIVIA FLORES</t>
  </si>
  <si>
    <t>ANGEL LESMES</t>
  </si>
  <si>
    <t xml:space="preserve">VALENCIA DEL CARPIO </t>
  </si>
  <si>
    <t>RUBI EDWA</t>
  </si>
  <si>
    <t>VALENCIA RIVERA</t>
  </si>
  <si>
    <t xml:space="preserve"> JEANCARLO LUIS ALONSO</t>
  </si>
  <si>
    <t xml:space="preserve">VALENCIA ZEVALLOS </t>
  </si>
  <si>
    <t>ROGER EDWAR</t>
  </si>
  <si>
    <t>VALENZA ZEVALLOS</t>
  </si>
  <si>
    <t>JORGE ARTURO</t>
  </si>
  <si>
    <t>VALERIANO</t>
  </si>
  <si>
    <t xml:space="preserve"> JUAN DAVID</t>
  </si>
  <si>
    <t>VARGAS PALACIOS</t>
  </si>
  <si>
    <t>RAMIRO LUIS ALBERTO</t>
  </si>
  <si>
    <t xml:space="preserve">VENTO VENTO </t>
  </si>
  <si>
    <t>ANGEL GRABRIEL</t>
  </si>
  <si>
    <t xml:space="preserve">VERA CARDENAS </t>
  </si>
  <si>
    <t>APOLINARIO LIBERATO</t>
  </si>
  <si>
    <t xml:space="preserve">VERA YUFRA </t>
  </si>
  <si>
    <t>PEDRO PEREGRINO</t>
  </si>
  <si>
    <t xml:space="preserve">ZAMATA CHACCA </t>
  </si>
  <si>
    <t>JESUS ROBERTO</t>
  </si>
  <si>
    <t>EMPRESA</t>
  </si>
  <si>
    <t>SUPERMIX</t>
  </si>
  <si>
    <t>LICENCIA N°</t>
  </si>
  <si>
    <t>A3C</t>
  </si>
  <si>
    <t>PREMEZCLADO</t>
  </si>
  <si>
    <t>H29414798</t>
  </si>
  <si>
    <t>H40303472</t>
  </si>
  <si>
    <t>H29343420</t>
  </si>
  <si>
    <t>00483613</t>
  </si>
  <si>
    <t>K00483613</t>
  </si>
  <si>
    <t>H40081682</t>
  </si>
  <si>
    <t>H29704932</t>
  </si>
  <si>
    <t>H29295597</t>
  </si>
  <si>
    <t>H44369310</t>
  </si>
  <si>
    <t>H40379475</t>
  </si>
  <si>
    <t>A3B</t>
  </si>
  <si>
    <t>H29293520</t>
  </si>
  <si>
    <t>H29335955</t>
  </si>
  <si>
    <t>H29708689</t>
  </si>
  <si>
    <t>H40363721</t>
  </si>
  <si>
    <t>H29307303</t>
  </si>
  <si>
    <t>DANIEL ESCALANTE</t>
  </si>
  <si>
    <t>JEFE DE AREA</t>
  </si>
  <si>
    <t>H29580267</t>
  </si>
  <si>
    <t>Jefe de Seguridad</t>
  </si>
  <si>
    <t>H29723943</t>
  </si>
  <si>
    <t>H29725920</t>
  </si>
  <si>
    <t>J29227612</t>
  </si>
  <si>
    <t>BOMBAS</t>
  </si>
  <si>
    <t>H42263173</t>
  </si>
  <si>
    <t>L40200169</t>
  </si>
  <si>
    <t xml:space="preserve">DANIEL ESCALANTE </t>
  </si>
  <si>
    <t>A POSITIVO</t>
  </si>
  <si>
    <t>H29454109</t>
  </si>
  <si>
    <t>MANEJO DEFENSIVO - INDUCCIÓN DE SSMA</t>
  </si>
  <si>
    <t>PREMEZCLADO ALTO CAYMA</t>
  </si>
  <si>
    <t>DIANA IBAÑEZ</t>
  </si>
  <si>
    <t>H29471489</t>
  </si>
  <si>
    <t>H29559940</t>
  </si>
  <si>
    <t>SIN RESTRICCIONES</t>
  </si>
  <si>
    <t>H29480338</t>
  </si>
  <si>
    <t>H29604302</t>
  </si>
  <si>
    <t>Q42602396</t>
  </si>
  <si>
    <t>OPERADOR CARGADOR FRONTAL</t>
  </si>
  <si>
    <t>OPERADOR MONTACARGA</t>
  </si>
  <si>
    <t>OPERADOR VOLQUETE</t>
  </si>
  <si>
    <t>OPERADOR  MONTACARGA  -   CARGADOR FRONTAL</t>
  </si>
  <si>
    <t>OPERADOR BOMBA ESTACIONARIA</t>
  </si>
  <si>
    <t>OPERADOR CISTERNA</t>
  </si>
  <si>
    <t>OPERADOR EXCAVADORA</t>
  </si>
  <si>
    <t>GRUPO SANGUINEO</t>
  </si>
  <si>
    <t>PREFABRICADOS</t>
  </si>
  <si>
    <t>PATRICIO PAREDES</t>
  </si>
  <si>
    <t>ROJAS ZEGARRA</t>
  </si>
  <si>
    <t>GILBERT BENITO</t>
  </si>
  <si>
    <t>H29654520</t>
  </si>
  <si>
    <t>MANTENIMIENTO</t>
  </si>
  <si>
    <t>CESAR GUTIERREZ</t>
  </si>
  <si>
    <t>GALDOS GALDOS</t>
  </si>
  <si>
    <t>EDGARD JESÚS</t>
  </si>
  <si>
    <t>H29653657</t>
  </si>
  <si>
    <t>MAMANI TRELLES</t>
  </si>
  <si>
    <t>JESÚS CONCEPCIÓN</t>
  </si>
  <si>
    <t>B POSITIVO</t>
  </si>
  <si>
    <t>H40697060</t>
  </si>
  <si>
    <t>A2B</t>
  </si>
  <si>
    <t>MEZA ARENAS</t>
  </si>
  <si>
    <t>H42512772</t>
  </si>
  <si>
    <t>VALERO MACEDO</t>
  </si>
  <si>
    <t>JAVIER PAVEL</t>
  </si>
  <si>
    <t>H41405963</t>
  </si>
  <si>
    <t>SALAZAR LOZADA</t>
  </si>
  <si>
    <t>FREDDY MANUEL</t>
  </si>
  <si>
    <t>H43673670</t>
  </si>
  <si>
    <t>PREMEZCLADO TOQUEPALA</t>
  </si>
  <si>
    <t>ORLANDO FELICES</t>
  </si>
  <si>
    <t>POLAR CARNERO</t>
  </si>
  <si>
    <t>JESÚS MOISES</t>
  </si>
  <si>
    <t>AB POSITIVO</t>
  </si>
  <si>
    <t>H40787115</t>
  </si>
  <si>
    <t xml:space="preserve">ESPINOZA LUZA </t>
  </si>
  <si>
    <t>ALEJANDRO</t>
  </si>
  <si>
    <t>H42290372</t>
  </si>
  <si>
    <t>SULLA CACERES</t>
  </si>
  <si>
    <t>ANGEL DAVID</t>
  </si>
  <si>
    <t>H29554234</t>
  </si>
  <si>
    <t>A3 PROF. ESPEC. C</t>
  </si>
  <si>
    <t>PONCE DIAZ</t>
  </si>
  <si>
    <t>DEYBING EDUARDO</t>
  </si>
  <si>
    <t>H45061080</t>
  </si>
  <si>
    <t>A2A</t>
  </si>
  <si>
    <t>ALMACÉN</t>
  </si>
  <si>
    <t>JAQUELINE CHAVEZ</t>
  </si>
  <si>
    <t>00443861</t>
  </si>
  <si>
    <t>PREMEZCLADO TACNA</t>
  </si>
  <si>
    <t>EDER FRANCISCO ZEGARRA MALDONADO</t>
  </si>
  <si>
    <t>04427969</t>
  </si>
  <si>
    <t>04828503</t>
  </si>
  <si>
    <t>J04828503</t>
  </si>
  <si>
    <t>DELFOR BALLON</t>
  </si>
  <si>
    <t>H29554853</t>
  </si>
  <si>
    <t>H29713638</t>
  </si>
  <si>
    <t>RONCALLA CRUZ</t>
  </si>
  <si>
    <t xml:space="preserve">SANTOS LLANOS </t>
  </si>
  <si>
    <t>H29483687</t>
  </si>
  <si>
    <t>VLADHIMIR ROBERTO</t>
  </si>
  <si>
    <t>H40124602</t>
  </si>
  <si>
    <t>RIVAS MORALES</t>
  </si>
  <si>
    <t>EDGARD</t>
  </si>
  <si>
    <t>FLORES VALDIVIA</t>
  </si>
  <si>
    <t>JULIO SANTOS</t>
  </si>
  <si>
    <t>H29250802</t>
  </si>
  <si>
    <t>OPERADOR VEHICULO LIVIANO - MIXER</t>
  </si>
  <si>
    <t>CASTRO VALENCIA</t>
  </si>
  <si>
    <t>EDWIN PEDRO</t>
  </si>
  <si>
    <t>H29373481</t>
  </si>
  <si>
    <t>09785954</t>
  </si>
  <si>
    <t>Q09785954</t>
  </si>
  <si>
    <t>MENDOZA TAPIA</t>
  </si>
  <si>
    <t>WILLY ENRIQUE</t>
  </si>
  <si>
    <t>O Rh NEGATIVO</t>
  </si>
  <si>
    <t>H29551774</t>
  </si>
  <si>
    <t>29381074</t>
  </si>
  <si>
    <t>Q29381074</t>
  </si>
  <si>
    <t>A3 PROF. ESP.C</t>
  </si>
  <si>
    <t>07494570</t>
  </si>
  <si>
    <t>SUPO RAMOS</t>
  </si>
  <si>
    <t>AGUSTIN</t>
  </si>
  <si>
    <t>LEPHEE CALDERON</t>
  </si>
  <si>
    <t>MARCO AURELIO</t>
  </si>
  <si>
    <t>45158214</t>
  </si>
  <si>
    <t>YURI JHONATAN</t>
  </si>
  <si>
    <t>X33678664</t>
  </si>
  <si>
    <t>GUTIERREZ QUISPE</t>
  </si>
  <si>
    <t>CESAR ESTEBAN</t>
  </si>
  <si>
    <t>04430826</t>
  </si>
  <si>
    <t>J04430826</t>
  </si>
  <si>
    <t>H29699204</t>
  </si>
  <si>
    <t>PAVEL PAULINICH</t>
  </si>
  <si>
    <t>OPERADOR VOLQUETE - CAMIÓN</t>
  </si>
  <si>
    <t>K44312167</t>
  </si>
  <si>
    <t>Q29474265</t>
  </si>
  <si>
    <t>H42296641</t>
  </si>
  <si>
    <t>H29416254</t>
  </si>
  <si>
    <t>H43358639</t>
  </si>
  <si>
    <t>CANTERA TINAJONES</t>
  </si>
  <si>
    <t>H40464234</t>
  </si>
  <si>
    <t>H29634016</t>
  </si>
  <si>
    <t>H30863933</t>
  </si>
  <si>
    <t>PEREYRA APAZA</t>
  </si>
  <si>
    <t>H29222872</t>
  </si>
  <si>
    <t>H29539751</t>
  </si>
  <si>
    <t>H29231941</t>
  </si>
  <si>
    <t>02413011</t>
  </si>
  <si>
    <t>U02413011</t>
  </si>
  <si>
    <t>SALAZAR ARANIBAR</t>
  </si>
  <si>
    <t>WILFREDO ERNESTO</t>
  </si>
  <si>
    <t>J29478459</t>
  </si>
  <si>
    <t>H29419432</t>
  </si>
  <si>
    <t>OPERADOR VOLQUETE - CAMIÓN CARRETA</t>
  </si>
  <si>
    <t>H41545619</t>
  </si>
  <si>
    <t>H29512286</t>
  </si>
  <si>
    <t>H43703823</t>
  </si>
  <si>
    <t>SOSA HUACHACA</t>
  </si>
  <si>
    <t>H40549374</t>
  </si>
  <si>
    <t>LOGÍSTICA</t>
  </si>
  <si>
    <t>ALEJANDRO BERNAL</t>
  </si>
  <si>
    <t>H41784165</t>
  </si>
  <si>
    <t>OPERADOR VOLQUETE - CAMIÓN - TRANSPORTE PERSONAL</t>
  </si>
  <si>
    <t>K29569955</t>
  </si>
  <si>
    <t>CHIPANA ORDOÑO</t>
  </si>
  <si>
    <t>VITALIANO</t>
  </si>
  <si>
    <t>H42225740</t>
  </si>
  <si>
    <t>00795148</t>
  </si>
  <si>
    <t>K00795148</t>
  </si>
  <si>
    <t>H29629259</t>
  </si>
  <si>
    <t>RONY WILMAN</t>
  </si>
  <si>
    <t xml:space="preserve">SEMINARIO PALACIOS </t>
  </si>
  <si>
    <t>RAÚL IGNACIO</t>
  </si>
  <si>
    <t>04423848</t>
  </si>
  <si>
    <t>J04423848</t>
  </si>
  <si>
    <t>NAVARRO GOMEZ</t>
  </si>
  <si>
    <t>ELIOHOT ROBERTO</t>
  </si>
  <si>
    <t>PARRA MORALES</t>
  </si>
  <si>
    <t>ROBERTO MIGUEL</t>
  </si>
  <si>
    <t>H44401379</t>
  </si>
  <si>
    <t>O RH POSITIVO</t>
  </si>
  <si>
    <t>H41439508</t>
  </si>
  <si>
    <t>H42222237</t>
  </si>
  <si>
    <t>VILLAFUERTE NAVARRO</t>
  </si>
  <si>
    <t>JORGE ALEXANDER</t>
  </si>
  <si>
    <t>H30963860</t>
  </si>
  <si>
    <t>J30839919</t>
  </si>
  <si>
    <t>DANTE VELASQUEZ</t>
  </si>
  <si>
    <t>Z42462348</t>
  </si>
  <si>
    <t>ROMULO</t>
  </si>
  <si>
    <t>PREMEZCLADO CUZCO</t>
  </si>
  <si>
    <t>QUINTO ROJAS</t>
  </si>
  <si>
    <t>Z25209661</t>
  </si>
  <si>
    <t>Z24701270</t>
  </si>
  <si>
    <t>CRUZ FLORES</t>
  </si>
  <si>
    <t>OCTAVIO</t>
  </si>
  <si>
    <t>Z25005576</t>
  </si>
  <si>
    <t>Z25300413</t>
  </si>
  <si>
    <t>H42414646</t>
  </si>
  <si>
    <t>CARDENAS LOAYZA</t>
  </si>
  <si>
    <t>ANTONIO</t>
  </si>
  <si>
    <t>Z24486468</t>
  </si>
  <si>
    <t>COSIO ALCCACONTOR</t>
  </si>
  <si>
    <t>RONALD</t>
  </si>
  <si>
    <t>Z25310599</t>
  </si>
  <si>
    <t>Z23908584</t>
  </si>
  <si>
    <t>CCAPCHI OBANDO</t>
  </si>
  <si>
    <t>Z25324181</t>
  </si>
  <si>
    <t>CHACON YUCRA</t>
  </si>
  <si>
    <t>Z23975110</t>
  </si>
  <si>
    <t>FUENTES SAICO</t>
  </si>
  <si>
    <t>MACHACA CACERES</t>
  </si>
  <si>
    <t>GUILLERMO FELIX</t>
  </si>
  <si>
    <t xml:space="preserve">QUISPE  VILLALTA </t>
  </si>
  <si>
    <t>BELTRAN RIVERA</t>
  </si>
  <si>
    <t>LUIS ROBERTO</t>
  </si>
  <si>
    <t>MELENDEZ TRUJILLO</t>
  </si>
  <si>
    <t>LUDYN</t>
  </si>
  <si>
    <t>Z40939218</t>
  </si>
  <si>
    <t>PUMACOTA RIVERA</t>
  </si>
  <si>
    <t>CESAR MANUEL</t>
  </si>
  <si>
    <t>H80528238</t>
  </si>
  <si>
    <t>LOPEZ LA TORRE</t>
  </si>
  <si>
    <t>JUAN JOSE</t>
  </si>
  <si>
    <t>Z41109066</t>
  </si>
  <si>
    <t>LAUREL TOCRE</t>
  </si>
  <si>
    <t>DILMER</t>
  </si>
  <si>
    <t>CARLOS MARTELL</t>
  </si>
  <si>
    <t>OPERADOR  MONTACARGA</t>
  </si>
  <si>
    <t>CARLOS FELIPE</t>
  </si>
  <si>
    <t>Z24367509</t>
  </si>
  <si>
    <t>H29412199</t>
  </si>
  <si>
    <t>H29502639</t>
  </si>
  <si>
    <t>01333706</t>
  </si>
  <si>
    <t>U01333706</t>
  </si>
  <si>
    <t>RICHAR RONAL</t>
  </si>
  <si>
    <t>OPERADOR VEHÍCULO LIVIANO</t>
  </si>
  <si>
    <t>H29630462</t>
  </si>
  <si>
    <t>CACHIMAYO</t>
  </si>
  <si>
    <t>BOMBAS CUZCO</t>
  </si>
  <si>
    <t>ANTAPACCAY</t>
  </si>
  <si>
    <t>ALVARO LA ROSA</t>
  </si>
  <si>
    <t>OPERADOR VOLQUETE - MIXER - TRANSPORTE PERSONAL - VEHICULO LIVIANO</t>
  </si>
  <si>
    <t>H29272818</t>
  </si>
  <si>
    <t>04722819</t>
  </si>
  <si>
    <t xml:space="preserve">MUÑOZ CABANA </t>
  </si>
  <si>
    <t>MAXIMILIANO</t>
  </si>
  <si>
    <t>MARQUEZ ESPINOZA</t>
  </si>
  <si>
    <t>JUAN MANUEL</t>
  </si>
  <si>
    <t>PANCA CONDORI</t>
  </si>
  <si>
    <t>MANUEL EDWARD</t>
  </si>
  <si>
    <t>H80573004</t>
  </si>
  <si>
    <t>ZEA ARAGON</t>
  </si>
  <si>
    <t>KUNCHO ASARPAY</t>
  </si>
  <si>
    <t>00484132</t>
  </si>
  <si>
    <t>VILCA ZAMALLOA</t>
  </si>
  <si>
    <t>H42679473</t>
  </si>
  <si>
    <t>H29580564</t>
  </si>
  <si>
    <t>PRADO ZEGARRA</t>
  </si>
  <si>
    <t>FRANCIS ALBERTO</t>
  </si>
  <si>
    <t>H29585822</t>
  </si>
  <si>
    <t>H42824933</t>
  </si>
  <si>
    <t>CARDENAS PEÑA</t>
  </si>
  <si>
    <t>ALVARO ALEJO</t>
  </si>
  <si>
    <t>K40439404</t>
  </si>
  <si>
    <t>YURA</t>
  </si>
  <si>
    <t>CARPIO SOTELO</t>
  </si>
  <si>
    <t>MICHAEL ALEXANDER</t>
  </si>
  <si>
    <t>H30862626</t>
  </si>
  <si>
    <t>JUAN ALONZO SCOTT</t>
  </si>
  <si>
    <t>H29639240</t>
  </si>
  <si>
    <t>H30676957</t>
  </si>
  <si>
    <t>Z24709179</t>
  </si>
  <si>
    <t>H41203589</t>
  </si>
  <si>
    <t>QUISPE HUAMAN</t>
  </si>
  <si>
    <t>MARCELINO</t>
  </si>
  <si>
    <t>Z25208860</t>
  </si>
  <si>
    <t>CUBA MAYTA</t>
  </si>
  <si>
    <t>DELFIN</t>
  </si>
  <si>
    <t>Z25000296</t>
  </si>
  <si>
    <t>ALBERTO</t>
  </si>
  <si>
    <t>Q41426235</t>
  </si>
  <si>
    <t>B Rh POSITIVO</t>
  </si>
  <si>
    <t>H29723716</t>
  </si>
  <si>
    <t>H46624745</t>
  </si>
  <si>
    <t>DIAZ GUTIERREZ</t>
  </si>
  <si>
    <t>JOSE LUIS</t>
  </si>
  <si>
    <t>H44437596</t>
  </si>
  <si>
    <t>VILLA GROVAS</t>
  </si>
  <si>
    <t>MICHAEL ALFREDO</t>
  </si>
  <si>
    <t>GARZON MORENO</t>
  </si>
  <si>
    <t>GABRIEL RUBEN</t>
  </si>
  <si>
    <t>H29423248</t>
  </si>
  <si>
    <t>ESPINO SANCHEZ</t>
  </si>
  <si>
    <t>ALFREDO LUDWING</t>
  </si>
  <si>
    <t>H29688208</t>
  </si>
  <si>
    <t>DURAND YANQUI</t>
  </si>
  <si>
    <t>LUDWING HOMERO</t>
  </si>
  <si>
    <t>H41157237</t>
  </si>
  <si>
    <t>NEYRA CHAMBI</t>
  </si>
  <si>
    <t>DENIS JESUS</t>
  </si>
  <si>
    <t>H29384104</t>
  </si>
  <si>
    <t>04728385</t>
  </si>
  <si>
    <t>H04728385</t>
  </si>
  <si>
    <t>PANDIA QUISPE</t>
  </si>
  <si>
    <t>JOSE CARLOS</t>
  </si>
  <si>
    <t>H44452843</t>
  </si>
  <si>
    <t>PAREDES VALDIVIA</t>
  </si>
  <si>
    <t>ROBERTO CARLOS</t>
  </si>
  <si>
    <t>H29627597</t>
  </si>
  <si>
    <t>QUISPE SUCA</t>
  </si>
  <si>
    <t>BRUNO JACINTO</t>
  </si>
  <si>
    <t>H29606530</t>
  </si>
  <si>
    <t>OPERADOR DE MIXER</t>
  </si>
  <si>
    <t>ALFREDO RUFINO</t>
  </si>
  <si>
    <t>H40445040</t>
  </si>
  <si>
    <t>30/30/10</t>
  </si>
  <si>
    <t>CHURA LANFRANCO</t>
  </si>
  <si>
    <t>FAUSTO HIMH</t>
  </si>
  <si>
    <t>H29729857</t>
  </si>
  <si>
    <t>H29275709</t>
  </si>
  <si>
    <t>RIVERA BERRU</t>
  </si>
  <si>
    <t>ALBERTO MARTIN</t>
  </si>
  <si>
    <t>H29381137</t>
  </si>
  <si>
    <t>ALARCON CACERES</t>
  </si>
  <si>
    <t>JUAN CARLOS</t>
  </si>
  <si>
    <t>09887994</t>
  </si>
  <si>
    <t xml:space="preserve">BOMBAS </t>
  </si>
  <si>
    <t>COINSA</t>
  </si>
  <si>
    <t>BRENDA MOTA</t>
  </si>
  <si>
    <t>H40867301</t>
  </si>
  <si>
    <t>PREMEZCLADO COINSA</t>
  </si>
  <si>
    <t>TORRES TORRES</t>
  </si>
  <si>
    <t>ANTONIO YGOR</t>
  </si>
  <si>
    <t>H29665095</t>
  </si>
  <si>
    <t xml:space="preserve">ZEVALLOS ALCCA </t>
  </si>
  <si>
    <t>HUMBERTO</t>
  </si>
  <si>
    <t>CANTERAS</t>
  </si>
  <si>
    <t>RAMOS VALDIVIA</t>
  </si>
  <si>
    <t>LUIS</t>
  </si>
  <si>
    <t>OPERADOR DE VOLQUETE</t>
  </si>
  <si>
    <t>H29723431</t>
  </si>
  <si>
    <t>H29707420</t>
  </si>
  <si>
    <t>RODRIGUEZ CHOQUE</t>
  </si>
  <si>
    <t>H29654104</t>
  </si>
  <si>
    <t>JORGE LUIS</t>
  </si>
  <si>
    <t>QUISPE FLORES</t>
  </si>
  <si>
    <t>H29675754</t>
  </si>
  <si>
    <t>FUENTES RIVERA</t>
  </si>
  <si>
    <t>ERICK</t>
  </si>
  <si>
    <t>ROMAN</t>
  </si>
  <si>
    <t>CANTERA SAN JOSE</t>
  </si>
  <si>
    <t>TORO</t>
  </si>
  <si>
    <t>ROLANDO</t>
  </si>
  <si>
    <t xml:space="preserve">OPERADOR  CARGADOR FRONTAL </t>
  </si>
  <si>
    <t>POCOHUANCA CHALCO</t>
  </si>
  <si>
    <t>OPERADOR DE CARGADOR FRONTAL</t>
  </si>
  <si>
    <t>ANCCORI VALERO</t>
  </si>
  <si>
    <t>JESUS</t>
  </si>
  <si>
    <t>Z41178230</t>
  </si>
  <si>
    <t>H29329012</t>
  </si>
  <si>
    <t>H29644578</t>
  </si>
  <si>
    <t xml:space="preserve">SALAZAR HUANCA </t>
  </si>
  <si>
    <t>TORIBIO</t>
  </si>
  <si>
    <t>U41186979</t>
  </si>
  <si>
    <t>PABLO RIVERA</t>
  </si>
  <si>
    <t>H40027198</t>
  </si>
  <si>
    <t>H41376564</t>
  </si>
  <si>
    <t>ALANGUIA RAMOS</t>
  </si>
  <si>
    <t>ARMANDO</t>
  </si>
  <si>
    <t>MAMANI ESCOBAR</t>
  </si>
  <si>
    <t>GONZALO NICANOR</t>
  </si>
  <si>
    <t>TOQUEPALA</t>
  </si>
  <si>
    <t>H29698555</t>
  </si>
  <si>
    <t>EDER ZEGARRA</t>
  </si>
  <si>
    <t>CRUZ ORMEÑO</t>
  </si>
  <si>
    <t>YUBER</t>
  </si>
  <si>
    <t>CRISTIAN</t>
  </si>
  <si>
    <t>K46201212</t>
  </si>
  <si>
    <t>H29230926</t>
  </si>
  <si>
    <t>ESPINOZA TOFENIO</t>
  </si>
  <si>
    <t>JULIO ANTONIO</t>
  </si>
  <si>
    <t>K80186134</t>
  </si>
  <si>
    <t>ALVARO GENARO</t>
  </si>
  <si>
    <t>AREQUIPA</t>
  </si>
  <si>
    <t>DIANDERAS MAMANI</t>
  </si>
  <si>
    <t>K30863047</t>
  </si>
  <si>
    <t>´00487686</t>
  </si>
  <si>
    <t>ARTURO ARCOS</t>
  </si>
  <si>
    <t>LUNA AQQUEPUCHO</t>
  </si>
  <si>
    <t>H40530124</t>
  </si>
  <si>
    <t>K41492721</t>
  </si>
  <si>
    <t>AMBULANCIA H1</t>
  </si>
  <si>
    <t>K00487686</t>
  </si>
  <si>
    <t>ABDON</t>
  </si>
  <si>
    <t>U41975786</t>
  </si>
  <si>
    <t>JULIACA</t>
  </si>
  <si>
    <t>RAUL CALLA</t>
  </si>
  <si>
    <t xml:space="preserve">VELARDE ANDRADE </t>
  </si>
  <si>
    <t xml:space="preserve">MATEO </t>
  </si>
  <si>
    <t>02405361</t>
  </si>
  <si>
    <t>U02405361</t>
  </si>
  <si>
    <t>FERMIN</t>
  </si>
  <si>
    <t>02419376</t>
  </si>
  <si>
    <t>U02419376</t>
  </si>
  <si>
    <t>JIHUALLANCA IDME</t>
  </si>
  <si>
    <t>JILMER</t>
  </si>
  <si>
    <t>41983667</t>
  </si>
  <si>
    <t>U41983667</t>
  </si>
  <si>
    <t>CANDELA MALDONADO</t>
  </si>
  <si>
    <t>CRISTIAN EDWARD</t>
  </si>
  <si>
    <t>42979613</t>
  </si>
  <si>
    <t xml:space="preserve">CABRERA ARCOS </t>
  </si>
  <si>
    <t>ALEJANDRO GILBERTO</t>
  </si>
  <si>
    <t>40285985</t>
  </si>
  <si>
    <t>H40285985</t>
  </si>
  <si>
    <t>RENZO GUILLEN</t>
  </si>
  <si>
    <t>H42979613</t>
  </si>
  <si>
    <t>BRENDA TEJADA</t>
  </si>
  <si>
    <t>RICARDO ALBERT</t>
  </si>
  <si>
    <t>CRISTIAN MEDINA</t>
  </si>
  <si>
    <t>TITE MAYTA</t>
  </si>
  <si>
    <t xml:space="preserve">MAXIMO </t>
  </si>
  <si>
    <t>44189990</t>
  </si>
  <si>
    <t>H44189990</t>
  </si>
  <si>
    <t>K00443861</t>
  </si>
  <si>
    <t>LUQUE</t>
  </si>
  <si>
    <t>MOYA MAMANI</t>
  </si>
  <si>
    <t xml:space="preserve">MIGUEL </t>
  </si>
  <si>
    <t>29370759</t>
  </si>
  <si>
    <t>H29370759</t>
  </si>
  <si>
    <t>PURINA</t>
  </si>
  <si>
    <t>JUAN CARLOS MONROY</t>
  </si>
  <si>
    <t>JUAN CARLOS MOTA</t>
  </si>
  <si>
    <t>COAGUILA PAREDES</t>
  </si>
  <si>
    <t>JIMMY ROGER</t>
  </si>
  <si>
    <t>H29738369</t>
  </si>
  <si>
    <t>J04722819  </t>
  </si>
  <si>
    <t>CALAPUJA CONDORI</t>
  </si>
  <si>
    <t>HUGO MARTIN</t>
  </si>
  <si>
    <t>H29625075</t>
  </si>
  <si>
    <t>DEZA QUISPE</t>
  </si>
  <si>
    <t>GUILLERMO RODOLFO</t>
  </si>
  <si>
    <t>H29381466</t>
  </si>
  <si>
    <t>HUAYTA BEDREGAL</t>
  </si>
  <si>
    <t>ARMANDO CESAR</t>
  </si>
  <si>
    <t>29563530</t>
  </si>
  <si>
    <t>H29563530</t>
  </si>
  <si>
    <t>OMAR CHARAJA</t>
  </si>
  <si>
    <t>VILLAR CASTILLEJO</t>
  </si>
  <si>
    <t>VICTOR</t>
  </si>
  <si>
    <t>H29291358</t>
  </si>
  <si>
    <t>CHECA TEAGUAS</t>
  </si>
  <si>
    <t>ALFONSO ERNESTO</t>
  </si>
  <si>
    <t>40815877</t>
  </si>
  <si>
    <t>K40815877</t>
  </si>
  <si>
    <t xml:space="preserve">ZAMATA PACHARI </t>
  </si>
  <si>
    <t>ANTONIO MOISES</t>
  </si>
  <si>
    <t>H42734477</t>
  </si>
  <si>
    <t>H07494570</t>
  </si>
  <si>
    <t xml:space="preserve">CALCINA CCARI </t>
  </si>
  <si>
    <t>WILBER ROLANDO</t>
  </si>
  <si>
    <t>H40702381</t>
  </si>
  <si>
    <t xml:space="preserve">PAREDES PERALTA </t>
  </si>
  <si>
    <t>DAVID ABRAHAM</t>
  </si>
  <si>
    <t>H70581379</t>
  </si>
  <si>
    <t>DIAMANTE</t>
  </si>
  <si>
    <t>OMAR GALDOS</t>
  </si>
  <si>
    <t>COAQUIRA CHOQUE</t>
  </si>
  <si>
    <t>PERCY</t>
  </si>
  <si>
    <t>H43419610</t>
  </si>
  <si>
    <t>CALDERON CASTILLO</t>
  </si>
  <si>
    <t>H42315337</t>
  </si>
  <si>
    <t>H29702810</t>
  </si>
  <si>
    <t>FLORES OLIVARES</t>
  </si>
  <si>
    <t>VICTOR GILOB</t>
  </si>
  <si>
    <t>OPERADOR DE EXCAVADORA</t>
  </si>
  <si>
    <t>BEISAGA BERNAL</t>
  </si>
  <si>
    <t>JUA N CARLOS</t>
  </si>
  <si>
    <t>CANTERA LA PODEROSA</t>
  </si>
  <si>
    <t>ALEMAN CAMA</t>
  </si>
  <si>
    <t>FERNANDO SILVERIO</t>
  </si>
  <si>
    <t>29337768</t>
  </si>
  <si>
    <t>H29337768</t>
  </si>
  <si>
    <t>HUAYLLANI MENDOZA</t>
  </si>
  <si>
    <t>RONNY EFRAIN</t>
  </si>
  <si>
    <t>CUBA ENCINAS</t>
  </si>
  <si>
    <t>RODOLFO EDUARDO</t>
  </si>
  <si>
    <t>H29700400</t>
  </si>
  <si>
    <t>MELENDEZ ESPINOZA</t>
  </si>
  <si>
    <t>A NEGATIVO</t>
  </si>
  <si>
    <t>H29734334</t>
  </si>
  <si>
    <t>OPERADOR DE CISTERNA DE AGUA - VOLQUETE</t>
  </si>
  <si>
    <t>OPERADOR MONTACARGAS-CARGADOR FRONTAL</t>
  </si>
  <si>
    <t>H29475138</t>
  </si>
  <si>
    <t>MAMANI TOROCAHUA</t>
  </si>
  <si>
    <t>PORFIRIO ROGELIO</t>
  </si>
  <si>
    <t>H29668311</t>
  </si>
  <si>
    <t>OPERADOR VEHICULO LIVIANO -  VOLQUETE - MIXER</t>
  </si>
  <si>
    <t>HUANCA UTURUNCO</t>
  </si>
  <si>
    <t>DAVID ROSENDO</t>
  </si>
  <si>
    <t>H29721284</t>
  </si>
  <si>
    <t>CARAZAS CALIZAYA</t>
  </si>
  <si>
    <t>JOEL JOSEPH</t>
  </si>
  <si>
    <t>EMBOLSADO</t>
  </si>
  <si>
    <t xml:space="preserve">MAMANI MONROY </t>
  </si>
  <si>
    <t>RICARDO ESTEBAN</t>
  </si>
  <si>
    <t>H29447907</t>
  </si>
  <si>
    <t>PEREZ ASTO</t>
  </si>
  <si>
    <t>ERICKSON DAVID</t>
  </si>
  <si>
    <t>H44079529</t>
  </si>
  <si>
    <t xml:space="preserve">MOLINA SILVA </t>
  </si>
  <si>
    <t>JOSE ALBERTO</t>
  </si>
  <si>
    <t>H45615221</t>
  </si>
  <si>
    <t>CHOQUE CRUZ</t>
  </si>
  <si>
    <t>VICTOR ALFONSO</t>
  </si>
  <si>
    <t>H47383307</t>
  </si>
  <si>
    <t>PLANTA PREMEZCLADO</t>
  </si>
  <si>
    <t xml:space="preserve">GONZALES QUISPE </t>
  </si>
  <si>
    <t>CESAR</t>
  </si>
  <si>
    <t>V23939348</t>
  </si>
  <si>
    <t>VALDIVIA ALÍ</t>
  </si>
  <si>
    <t>CRISTIAN PEDRO</t>
  </si>
  <si>
    <t>H44145198</t>
  </si>
  <si>
    <t xml:space="preserve">CHAMBI DURAN </t>
  </si>
  <si>
    <t>00447399</t>
  </si>
  <si>
    <t>H00447399</t>
  </si>
  <si>
    <t>DURMIENTES</t>
  </si>
  <si>
    <t>SOCRATES MUÑOZ</t>
  </si>
  <si>
    <t>MARTIN SABINO</t>
  </si>
  <si>
    <t>ROBERTO</t>
  </si>
  <si>
    <t>LOPEZ ATAO</t>
  </si>
  <si>
    <t>29682284</t>
  </si>
  <si>
    <t>F29682284</t>
  </si>
  <si>
    <t>ALVAREZ BEJAR</t>
  </si>
  <si>
    <t>GUIDO SANTOS</t>
  </si>
  <si>
    <t>09654019</t>
  </si>
  <si>
    <t>PREMOLDEADOS</t>
  </si>
  <si>
    <t>H09654019</t>
  </si>
  <si>
    <t>OPERADOR DE MONTACARGA</t>
  </si>
  <si>
    <t>OPERADOR DE CAMIONETA</t>
  </si>
  <si>
    <t>BATEAS</t>
  </si>
  <si>
    <t>ALFARO SUYCO</t>
  </si>
  <si>
    <t>ALONSO MIGUEL</t>
  </si>
  <si>
    <t>44248997</t>
  </si>
  <si>
    <t>H44248997</t>
  </si>
  <si>
    <t>OPERADOR DE CAMION</t>
  </si>
  <si>
    <t>CONTROL DE CALIDAD</t>
  </si>
  <si>
    <t>CARLOS GUERRA</t>
  </si>
  <si>
    <t>BENDEZU ESCOBEDO</t>
  </si>
  <si>
    <t>JOSE ADOLFO</t>
  </si>
  <si>
    <t>01333352</t>
  </si>
  <si>
    <t>COMERCIAL</t>
  </si>
  <si>
    <t>H01333352</t>
  </si>
  <si>
    <t>CORRALES GRANDA</t>
  </si>
  <si>
    <t>29643446</t>
  </si>
  <si>
    <t>H29643446</t>
  </si>
  <si>
    <t xml:space="preserve">CHOQUEHUAYTA QUISPE </t>
  </si>
  <si>
    <t>WALTER</t>
  </si>
  <si>
    <t>41375278</t>
  </si>
  <si>
    <t>H41375278</t>
  </si>
  <si>
    <t>LUIS DE LA CRUZ</t>
  </si>
  <si>
    <t>SUCA CHURA</t>
  </si>
  <si>
    <t>RENE</t>
  </si>
  <si>
    <t>40986583</t>
  </si>
  <si>
    <t>PTAR</t>
  </si>
  <si>
    <t>ROLANDO OBREGON</t>
  </si>
  <si>
    <t xml:space="preserve">FERNANDEZ ROSAS </t>
  </si>
  <si>
    <t>30588849</t>
  </si>
  <si>
    <t>H30588849</t>
  </si>
  <si>
    <t>H40986583</t>
  </si>
  <si>
    <t xml:space="preserve">SONCO SULLA </t>
  </si>
  <si>
    <t>HIGIDIO</t>
  </si>
  <si>
    <t>29708568</t>
  </si>
  <si>
    <t>H29708568</t>
  </si>
  <si>
    <t>80189224</t>
  </si>
  <si>
    <t>H80189224</t>
  </si>
  <si>
    <t xml:space="preserve">CHAVEZ NAIZA </t>
  </si>
  <si>
    <t>TOMAS GREGORIO</t>
  </si>
  <si>
    <t>29569216</t>
  </si>
  <si>
    <t>H29569216</t>
  </si>
  <si>
    <t>CALLATA IQUIAPAZA</t>
  </si>
  <si>
    <t>CARLOS ENRIQUE</t>
  </si>
  <si>
    <t>29720407</t>
  </si>
  <si>
    <t>H29720407</t>
  </si>
  <si>
    <t xml:space="preserve">VIZCARRA MENDOZA </t>
  </si>
  <si>
    <t>CARLOS EDGARDO</t>
  </si>
  <si>
    <t>30580620</t>
  </si>
  <si>
    <t>H30580620</t>
  </si>
  <si>
    <t xml:space="preserve">BENAVIDES MEJIA </t>
  </si>
  <si>
    <t>HERNAN</t>
  </si>
  <si>
    <t>45505922</t>
  </si>
  <si>
    <t>H45505922</t>
  </si>
  <si>
    <t>A3A</t>
  </si>
  <si>
    <t>80297478</t>
  </si>
  <si>
    <t>CURO BARRAZA</t>
  </si>
  <si>
    <t>HUMBERTO FREDY</t>
  </si>
  <si>
    <t>U80297478</t>
  </si>
  <si>
    <t>14//11/2007</t>
  </si>
  <si>
    <t xml:space="preserve">PAREDES QUISPE </t>
  </si>
  <si>
    <t>JOSE HERMOGENES</t>
  </si>
  <si>
    <t>01208998</t>
  </si>
  <si>
    <t>H01208998</t>
  </si>
  <si>
    <t>ALAVE AGUILAR</t>
  </si>
  <si>
    <t>45858841</t>
  </si>
  <si>
    <t>U45858841</t>
  </si>
  <si>
    <t>CASTRO MAMANI</t>
  </si>
  <si>
    <t>BAYLON</t>
  </si>
  <si>
    <t>02300396</t>
  </si>
  <si>
    <t>U02300396</t>
  </si>
  <si>
    <t>CHOQUE CUTIPA</t>
  </si>
  <si>
    <t>FREDY</t>
  </si>
  <si>
    <t>80668067</t>
  </si>
  <si>
    <t>U80668067</t>
  </si>
  <si>
    <t xml:space="preserve">LLAMOCA VIÑA </t>
  </si>
  <si>
    <t>DENIS CARLOS</t>
  </si>
  <si>
    <t>42096971</t>
  </si>
  <si>
    <t>H42096971</t>
  </si>
  <si>
    <t>JAVIER SILVA</t>
  </si>
  <si>
    <t>TALAVERA MOTTA</t>
  </si>
  <si>
    <t>JAVIER EDUARDO</t>
  </si>
  <si>
    <t>40177337</t>
  </si>
  <si>
    <t>H40177337</t>
  </si>
  <si>
    <t>MARTIN GUTIERREZ</t>
  </si>
  <si>
    <t>FUENTES PERALTILLA</t>
  </si>
  <si>
    <t>MÁXIMO ARTURO</t>
  </si>
  <si>
    <t>10184771</t>
  </si>
  <si>
    <t>H10184771</t>
  </si>
  <si>
    <t xml:space="preserve">VALDIVIA GARCIA </t>
  </si>
  <si>
    <t>GONZALO JAVIER</t>
  </si>
  <si>
    <t>41406346</t>
  </si>
  <si>
    <t>H41406346</t>
  </si>
  <si>
    <t xml:space="preserve">GONZALES MERCADO </t>
  </si>
  <si>
    <t>41994738</t>
  </si>
  <si>
    <t>Z41994738</t>
  </si>
  <si>
    <t>JOSE LUIS FLORES</t>
  </si>
  <si>
    <t>NIÑO HERNÁNDEZ</t>
  </si>
  <si>
    <t>JAIRO RENE</t>
  </si>
  <si>
    <t>001020635</t>
  </si>
  <si>
    <t>H'001020635</t>
  </si>
  <si>
    <t>GERENCIA</t>
  </si>
  <si>
    <t>43562779</t>
  </si>
  <si>
    <t>K43562779</t>
  </si>
  <si>
    <t>OPERADOR DE BOMBA ESTACIONARIA</t>
  </si>
  <si>
    <t>TACNA</t>
  </si>
  <si>
    <t xml:space="preserve">MAMANI LIMACHI </t>
  </si>
  <si>
    <t>43537022</t>
  </si>
  <si>
    <t>K43537022</t>
  </si>
  <si>
    <t>K'04427969</t>
  </si>
  <si>
    <t xml:space="preserve">KUNCHO ASARPAY </t>
  </si>
  <si>
    <t>K00484132</t>
  </si>
  <si>
    <t>MEDINA JIMENEZ</t>
  </si>
  <si>
    <t>VICTOR ADALBERTO</t>
  </si>
  <si>
    <t>H30418004</t>
  </si>
  <si>
    <t>JAIRO NIÑO</t>
  </si>
  <si>
    <t>DIAZ CHINCHAYHUARA</t>
  </si>
  <si>
    <t>E18197171</t>
  </si>
  <si>
    <t xml:space="preserve">BUTRON CCAPA </t>
  </si>
  <si>
    <t>GUSTAVO ALEXANDER</t>
  </si>
  <si>
    <t>H46260906</t>
  </si>
  <si>
    <t>CORNEJO COAGUILA</t>
  </si>
  <si>
    <t>CARLOS ANTONIO</t>
  </si>
  <si>
    <t>L40205512</t>
  </si>
  <si>
    <t>PAUL RONDON</t>
  </si>
  <si>
    <t>CONDORI CHIRE</t>
  </si>
  <si>
    <t>RUBERLI</t>
  </si>
  <si>
    <t>H80198572</t>
  </si>
  <si>
    <t xml:space="preserve">BARRIOS BUSTINZA </t>
  </si>
  <si>
    <t>MILTON</t>
  </si>
  <si>
    <t>H46653005</t>
  </si>
  <si>
    <t xml:space="preserve">FLORES VELASQUEZ </t>
  </si>
  <si>
    <t>JUAN QUIRIAT</t>
  </si>
  <si>
    <t>H72798153</t>
  </si>
  <si>
    <t>PAREDES MENDOZA</t>
  </si>
  <si>
    <t>ANIBAL</t>
  </si>
  <si>
    <t>00692509</t>
  </si>
  <si>
    <t>K'00692509</t>
  </si>
  <si>
    <t xml:space="preserve">POSTIGO IDIAQUEZ </t>
  </si>
  <si>
    <t>DERLY ADAN</t>
  </si>
  <si>
    <t>H70501179</t>
  </si>
  <si>
    <t xml:space="preserve">MACHACA NINA </t>
  </si>
  <si>
    <t>DADIER LUCIANO</t>
  </si>
  <si>
    <t>U45756202</t>
  </si>
  <si>
    <t>LEON RIVERA</t>
  </si>
  <si>
    <t>CARLOS MARCELINO</t>
  </si>
  <si>
    <t>Q10602385</t>
  </si>
  <si>
    <t>OPERADOR DE VEHÍCULO LIVIANO</t>
  </si>
  <si>
    <t>PERCY DIAZ</t>
  </si>
  <si>
    <t xml:space="preserve">ARCOS RODRIGUEZ </t>
  </si>
  <si>
    <t>JOSEF ARTURO</t>
  </si>
  <si>
    <t>H45020762</t>
  </si>
  <si>
    <t xml:space="preserve">CALDERON ANTEZANA </t>
  </si>
  <si>
    <t>WERNHER</t>
  </si>
  <si>
    <t>JAIME VELA</t>
  </si>
  <si>
    <t>H29414943</t>
  </si>
  <si>
    <t>11/06/199</t>
  </si>
  <si>
    <t xml:space="preserve">YUCRA MAMANI </t>
  </si>
  <si>
    <t>DINO ERASMO</t>
  </si>
  <si>
    <t>H40602711</t>
  </si>
  <si>
    <t xml:space="preserve">ROMERO FLORES </t>
  </si>
  <si>
    <t>EDWIN MILWARD</t>
  </si>
  <si>
    <t>H40819327</t>
  </si>
  <si>
    <t>LA JOYA</t>
  </si>
  <si>
    <t xml:space="preserve">GARCIA VARGAS </t>
  </si>
  <si>
    <t>WERLIN WILMER</t>
  </si>
  <si>
    <t>H44009804</t>
  </si>
  <si>
    <t>H29620454</t>
  </si>
  <si>
    <t xml:space="preserve">MEJIA URQUIZO </t>
  </si>
  <si>
    <t>LUIGUER AUGUSTO</t>
  </si>
  <si>
    <t>H42558702</t>
  </si>
  <si>
    <t xml:space="preserve">MAMANI MAMANI </t>
  </si>
  <si>
    <t>ANGEL GONZALO</t>
  </si>
  <si>
    <t>H29706922</t>
  </si>
  <si>
    <t xml:space="preserve">RONDON PAREDES </t>
  </si>
  <si>
    <t>RAPHAEL HILARIO</t>
  </si>
  <si>
    <t>H29607859</t>
  </si>
  <si>
    <t>SANZ ZUMIRE</t>
  </si>
  <si>
    <t>LUIS FERNANDO</t>
  </si>
  <si>
    <t>H41608305</t>
  </si>
  <si>
    <t xml:space="preserve">BRAVO CUSI </t>
  </si>
  <si>
    <t>LEONIDAS</t>
  </si>
  <si>
    <t>H41558064</t>
  </si>
  <si>
    <t>MEZA CHURATA</t>
  </si>
  <si>
    <t>TEODORO</t>
  </si>
  <si>
    <t>H42094405</t>
  </si>
  <si>
    <t>CONSTANCIA</t>
  </si>
  <si>
    <t xml:space="preserve">MOSCOSO CARDENAS </t>
  </si>
  <si>
    <t>H47087927</t>
  </si>
  <si>
    <t>MTTO MOVIL</t>
  </si>
  <si>
    <t xml:space="preserve">CALIZAYA PINTO </t>
  </si>
  <si>
    <t>HELMUNTH JHOVER</t>
  </si>
  <si>
    <t>H40883267</t>
  </si>
  <si>
    <t>CUSCO</t>
  </si>
  <si>
    <t>HELMUNTH CALIZAYA</t>
  </si>
  <si>
    <t xml:space="preserve">CCAMA CCAMA </t>
  </si>
  <si>
    <t>ONOFRIO</t>
  </si>
  <si>
    <t>H29607304</t>
  </si>
  <si>
    <t>MTTO PLANTA</t>
  </si>
  <si>
    <t xml:space="preserve">GONZALES TACURI </t>
  </si>
  <si>
    <t>WILBER</t>
  </si>
  <si>
    <t>OPERADOR DE VOLQUETE - VEHICULO LIVIANO</t>
  </si>
  <si>
    <t>OROPESA</t>
  </si>
  <si>
    <t xml:space="preserve">AUCCAPIÑA CCOTO </t>
  </si>
  <si>
    <t>OPERADOR DE MONTACARGA - VEHICULO LIVIANO</t>
  </si>
  <si>
    <t xml:space="preserve">OSCAR DANTE </t>
  </si>
  <si>
    <t xml:space="preserve">SEGOVIA HERMOZA </t>
  </si>
  <si>
    <t>MILNER</t>
  </si>
  <si>
    <t xml:space="preserve">HUAMAN FARFAN </t>
  </si>
  <si>
    <t xml:space="preserve">TACO CATUNTA </t>
  </si>
  <si>
    <t xml:space="preserve">QUISPE CALCINA </t>
  </si>
  <si>
    <t>CARLOS PEDRO</t>
  </si>
  <si>
    <t>OPERADOR DE CARGADOR FRONTAL - VEHICULO LIVIANO</t>
  </si>
  <si>
    <t xml:space="preserve">BORDA QUISPE </t>
  </si>
  <si>
    <t>EBERTH LINO</t>
  </si>
  <si>
    <t xml:space="preserve">OPERADOR DE CARGADOR FRONTAL </t>
  </si>
  <si>
    <t xml:space="preserve">SEGUNDO JURADO </t>
  </si>
  <si>
    <t>JOSE ANGEL</t>
  </si>
  <si>
    <t xml:space="preserve">CARDENAS ALARCON </t>
  </si>
  <si>
    <t>AARON ISAIAS</t>
  </si>
  <si>
    <t xml:space="preserve">PALIZA USCAPI </t>
  </si>
  <si>
    <t>AMILCAR</t>
  </si>
  <si>
    <t xml:space="preserve">CAMALA QUISPE </t>
  </si>
  <si>
    <t>WILBERT</t>
  </si>
  <si>
    <t xml:space="preserve">SALGUERON AUCCAPUMA </t>
  </si>
  <si>
    <t xml:space="preserve">AUCCA AUQUIPUMA </t>
  </si>
  <si>
    <t>HECTOR ROSENDO</t>
  </si>
  <si>
    <t xml:space="preserve">LIMO BLANCO </t>
  </si>
  <si>
    <t xml:space="preserve">FLOREZ SANCA </t>
  </si>
  <si>
    <t>HUGO SANTOS</t>
  </si>
  <si>
    <t xml:space="preserve">LOAIZA CONDORI </t>
  </si>
  <si>
    <t>ARNALDO</t>
  </si>
  <si>
    <t>MAMANI CONDORI</t>
  </si>
  <si>
    <t>40996935 </t>
  </si>
  <si>
    <t xml:space="preserve">MORA HERRERA </t>
  </si>
  <si>
    <t>VICENTE</t>
  </si>
  <si>
    <t>OPERADOR DE VEHICULO LIVIANO</t>
  </si>
  <si>
    <t>OPERADOR VOLQUETE - CARGADOR FRONTAL - VEHICULO LIVIANO</t>
  </si>
  <si>
    <t xml:space="preserve">BARRA POMPILLA </t>
  </si>
  <si>
    <t xml:space="preserve">OBREGON MATOS </t>
  </si>
  <si>
    <t>ROLANDO HUMBERTO</t>
  </si>
  <si>
    <t>Z24486548</t>
  </si>
  <si>
    <t>Z44350128</t>
  </si>
  <si>
    <t>Z40996935 </t>
  </si>
  <si>
    <t>Z41847624</t>
  </si>
  <si>
    <t>Z40144706</t>
  </si>
  <si>
    <t>Z24709342</t>
  </si>
  <si>
    <t>Z23978220</t>
  </si>
  <si>
    <t>Q41647846</t>
  </si>
  <si>
    <t>Z44626216</t>
  </si>
  <si>
    <t>sin restricciones</t>
  </si>
  <si>
    <t>Z41909669</t>
  </si>
  <si>
    <t>Z44371431</t>
  </si>
  <si>
    <t>Z41312430</t>
  </si>
  <si>
    <t>Z23856509</t>
  </si>
  <si>
    <t>Z25209867</t>
  </si>
  <si>
    <t>Z42865767</t>
  </si>
  <si>
    <t>Z24367522</t>
  </si>
  <si>
    <t>Z42922430</t>
  </si>
  <si>
    <t xml:space="preserve">AARON CARDENAS </t>
  </si>
  <si>
    <t xml:space="preserve">OPERADOR DE VOLQUETE </t>
  </si>
  <si>
    <t>BANDA FLORES</t>
  </si>
  <si>
    <t>H29713533</t>
  </si>
  <si>
    <t>SSGG</t>
  </si>
  <si>
    <t xml:space="preserve">SILVA MAMANI </t>
  </si>
  <si>
    <t>DENYS ALBERTO</t>
  </si>
  <si>
    <t>H29562699</t>
  </si>
  <si>
    <t>H41480335</t>
  </si>
  <si>
    <t>CHILO CAMARGO</t>
  </si>
  <si>
    <t>JHON DEYNEX</t>
  </si>
  <si>
    <t>H45276954</t>
  </si>
  <si>
    <t>GEOLOGIA</t>
  </si>
  <si>
    <t>DAVID LOZADA</t>
  </si>
  <si>
    <t xml:space="preserve">URETA SALAS </t>
  </si>
  <si>
    <t>CHRISTIAN MANUEL</t>
  </si>
  <si>
    <t>H44744214</t>
  </si>
  <si>
    <t xml:space="preserve">LOVON TORRES </t>
  </si>
  <si>
    <t>EDSON LEONARDO</t>
  </si>
  <si>
    <t>H40103872</t>
  </si>
  <si>
    <t>LOGISTICA</t>
  </si>
  <si>
    <t xml:space="preserve">CRUZ MARCAPURA </t>
  </si>
  <si>
    <t>H41995141</t>
  </si>
  <si>
    <t xml:space="preserve">LOPEZ BANDA </t>
  </si>
  <si>
    <t>H40213727</t>
  </si>
  <si>
    <t>H30661632</t>
  </si>
  <si>
    <t>KEYLER</t>
  </si>
  <si>
    <t>MAMANI HERENCIA</t>
  </si>
  <si>
    <t>CRISTIAN CELIS</t>
  </si>
  <si>
    <t>H42970276</t>
  </si>
  <si>
    <t>PAUL LINARES</t>
  </si>
  <si>
    <t>Q'09887994</t>
  </si>
  <si>
    <t>H29721333</t>
  </si>
  <si>
    <t>H29399582</t>
  </si>
  <si>
    <t>H43040928</t>
  </si>
  <si>
    <t xml:space="preserve">PACO CHOQUE </t>
  </si>
  <si>
    <t>JAVIER ORLANDO</t>
  </si>
  <si>
    <t>H29626803</t>
  </si>
  <si>
    <t xml:space="preserve">LOPEZ CASQUINA </t>
  </si>
  <si>
    <t xml:space="preserve">HENRY DAVID </t>
  </si>
  <si>
    <t xml:space="preserve">CLAUDIO MEDINA </t>
  </si>
  <si>
    <t xml:space="preserve">ARRIOLA FUENTES </t>
  </si>
  <si>
    <t>JHOSSET ADAM</t>
  </si>
  <si>
    <t>Z42793080</t>
  </si>
  <si>
    <t xml:space="preserve">FARFAN QUISPE </t>
  </si>
  <si>
    <t>Z25209752</t>
  </si>
  <si>
    <t xml:space="preserve">LAZO AGRAMONTE </t>
  </si>
  <si>
    <t>FRANCISCO MARIO</t>
  </si>
  <si>
    <t>H70000177</t>
  </si>
  <si>
    <t xml:space="preserve">LUNA ZUÑIGA </t>
  </si>
  <si>
    <t>PERCY TOÑO</t>
  </si>
  <si>
    <t>H29664218</t>
  </si>
  <si>
    <t xml:space="preserve">RODRIGUEZ FUENTES </t>
  </si>
  <si>
    <t>H29655052</t>
  </si>
  <si>
    <t>MENDOZA ROCCA</t>
  </si>
  <si>
    <t>YVAN JULIO</t>
  </si>
  <si>
    <t xml:space="preserve">OPERADOR DE VEHICULO LIVIANO - VOLQUETE </t>
  </si>
  <si>
    <t>OPERADOR DE VEHICULO LIVIANO - VOLQUETE</t>
  </si>
  <si>
    <t>QQUEHUE QQUEHUE</t>
  </si>
  <si>
    <t>CIPRIANO</t>
  </si>
  <si>
    <t>H44352911</t>
  </si>
  <si>
    <t xml:space="preserve">RODRIGUEZ MAMANI </t>
  </si>
  <si>
    <t>YONEL</t>
  </si>
  <si>
    <t>H29560603</t>
  </si>
  <si>
    <t>H29699744</t>
  </si>
  <si>
    <t xml:space="preserve">TORRES CCAHUANA </t>
  </si>
  <si>
    <t>ROBERT HENRY</t>
  </si>
  <si>
    <t>H44535207</t>
  </si>
  <si>
    <t xml:space="preserve">ANCALLA ACHATA </t>
  </si>
  <si>
    <t>ALBERTO DOMISIANO</t>
  </si>
  <si>
    <t>H29589181</t>
  </si>
  <si>
    <t xml:space="preserve">LLERENA LLERENA </t>
  </si>
  <si>
    <t>H43163717</t>
  </si>
  <si>
    <t xml:space="preserve">VIZCARRA ARIZABAL </t>
  </si>
  <si>
    <t>EDILBERTO MANUEL</t>
  </si>
  <si>
    <t>H29485197</t>
  </si>
  <si>
    <t xml:space="preserve">VALDEZ ARIAS </t>
  </si>
  <si>
    <t>ARNOLDT ANTONIO</t>
  </si>
  <si>
    <t>H46933111</t>
  </si>
  <si>
    <t xml:space="preserve">CHAMORRO CCOLQQUE </t>
  </si>
  <si>
    <t>EDWIN</t>
  </si>
  <si>
    <t>H43451337</t>
  </si>
  <si>
    <t>HAGLER EDWIN</t>
  </si>
  <si>
    <t>H45423984</t>
  </si>
  <si>
    <t xml:space="preserve">TRIVIÑOS TRIVIÑOS </t>
  </si>
  <si>
    <t>RONNY DELMAN</t>
  </si>
  <si>
    <t>H70297181</t>
  </si>
  <si>
    <t xml:space="preserve">BELTRAN DELGADO </t>
  </si>
  <si>
    <t>MICHAEL ROGELIO</t>
  </si>
  <si>
    <t>H46908370</t>
  </si>
  <si>
    <t>RAUL IGNACIO</t>
  </si>
  <si>
    <t>OPERADOR DE MIXER - CARGADOR FRONTAL</t>
  </si>
  <si>
    <t xml:space="preserve">GALINDO MEDINA </t>
  </si>
  <si>
    <t>WILFREDO VICENTE</t>
  </si>
  <si>
    <t>H42514200</t>
  </si>
  <si>
    <t xml:space="preserve">PIZARRO ANDRADE </t>
  </si>
  <si>
    <t>02422167</t>
  </si>
  <si>
    <t>J02422167</t>
  </si>
  <si>
    <t xml:space="preserve">SALAS LOPE </t>
  </si>
  <si>
    <t>RONY CHRISTHIANS</t>
  </si>
  <si>
    <t>H43293698</t>
  </si>
  <si>
    <t xml:space="preserve">MEZA DIAZ </t>
  </si>
  <si>
    <t>JIMMY FRANCISCO</t>
  </si>
  <si>
    <t>H40889337</t>
  </si>
  <si>
    <t xml:space="preserve">JUSTO QUISPE </t>
  </si>
  <si>
    <t>CESAR MATEO</t>
  </si>
  <si>
    <t>H41980374</t>
  </si>
  <si>
    <t xml:space="preserve">ZEBALLOS ZAPANA </t>
  </si>
  <si>
    <t>WILLIAM ULISES</t>
  </si>
  <si>
    <t>H29533765</t>
  </si>
  <si>
    <t xml:space="preserve">NAVARRO CAPCHA </t>
  </si>
  <si>
    <t>JAIME CONSTANTINO</t>
  </si>
  <si>
    <t>H10727115</t>
  </si>
  <si>
    <t>CHULLO MUÑOZ</t>
  </si>
  <si>
    <t>ENRIQUE</t>
  </si>
  <si>
    <t>H45924938</t>
  </si>
  <si>
    <t xml:space="preserve">DONAYRE HERNANDEZ </t>
  </si>
  <si>
    <t>ERICO ANTONIO</t>
  </si>
  <si>
    <t>Q10297778</t>
  </si>
  <si>
    <t>Z29653034</t>
  </si>
  <si>
    <t xml:space="preserve">NAVARRO CHURAPA </t>
  </si>
  <si>
    <t>EPIFANIO</t>
  </si>
  <si>
    <t>Z23850249</t>
  </si>
  <si>
    <t>OPERADOR DE MIXER - OPERADOR DE VOLQUETE</t>
  </si>
  <si>
    <t xml:space="preserve">CONZA AYMA </t>
  </si>
  <si>
    <t>WILLY ANTONIO</t>
  </si>
  <si>
    <t>04825078</t>
  </si>
  <si>
    <t>Z04825078</t>
  </si>
  <si>
    <t xml:space="preserve">CORIMANYA QUISPE </t>
  </si>
  <si>
    <t>SANTIAGO</t>
  </si>
  <si>
    <t>Z21841700</t>
  </si>
  <si>
    <t xml:space="preserve">OSORIO VILLANUEVA </t>
  </si>
  <si>
    <t>VICTOR CESAR</t>
  </si>
  <si>
    <t>Z22674681</t>
  </si>
  <si>
    <t>OPERADOR DE MIXER - VOLQUETE - EQUIPO LIVIANO</t>
  </si>
  <si>
    <t xml:space="preserve">SARCCO HUAMAN </t>
  </si>
  <si>
    <t>H43561859</t>
  </si>
  <si>
    <t xml:space="preserve">CARBAJAL GARCIA </t>
  </si>
  <si>
    <t>JOSE SANTOS</t>
  </si>
  <si>
    <t>H29538880</t>
  </si>
  <si>
    <t>VICTOR MEDINA</t>
  </si>
  <si>
    <t xml:space="preserve">OLVIA LAYME </t>
  </si>
  <si>
    <t>IVAN BARTOLOME</t>
  </si>
  <si>
    <t>K44279045</t>
  </si>
  <si>
    <t xml:space="preserve">COAQUIRA APAZA </t>
  </si>
  <si>
    <t>MANUEL ESQUIVES</t>
  </si>
  <si>
    <t>H41723371</t>
  </si>
  <si>
    <t>OPERADOR DE MIXER - VEHÍCULO LIVIANO</t>
  </si>
  <si>
    <t xml:space="preserve">ALVAREZ CRUZ </t>
  </si>
  <si>
    <t>FRANK AMERICO</t>
  </si>
  <si>
    <t>H42213368</t>
  </si>
  <si>
    <t>INMACULADA</t>
  </si>
  <si>
    <t xml:space="preserve">RETAMOZO BORDA </t>
  </si>
  <si>
    <t>ALAN PERCY</t>
  </si>
  <si>
    <t>H43865900</t>
  </si>
  <si>
    <t xml:space="preserve">CHALLCO HUAMAN </t>
  </si>
  <si>
    <t>FRANKLIN RAPHAEL</t>
  </si>
  <si>
    <t>Z40022326</t>
  </si>
  <si>
    <t xml:space="preserve">GUILLEN CONSAYO </t>
  </si>
  <si>
    <t>ADRIEL</t>
  </si>
  <si>
    <t>Z42216903</t>
  </si>
  <si>
    <t xml:space="preserve">QUISPE MOSCOSO </t>
  </si>
  <si>
    <t>Q41825385</t>
  </si>
  <si>
    <t xml:space="preserve">CALLATA CENTENO </t>
  </si>
  <si>
    <t>PERCY MARTIN</t>
  </si>
  <si>
    <t>H44230276</t>
  </si>
  <si>
    <t xml:space="preserve">JARA REYES </t>
  </si>
  <si>
    <t>LUIS ANGEL</t>
  </si>
  <si>
    <t>H18189913</t>
  </si>
  <si>
    <t xml:space="preserve">QUISPE PRIETO </t>
  </si>
  <si>
    <t>NILTHON</t>
  </si>
  <si>
    <t>H45930494</t>
  </si>
  <si>
    <t>OPERADOR DE CARGADOR FRONTAL - EXCAVADORA</t>
  </si>
  <si>
    <t xml:space="preserve">CENTENO VASQUEZ </t>
  </si>
  <si>
    <t>FREDI</t>
  </si>
  <si>
    <t>H47048752</t>
  </si>
  <si>
    <t xml:space="preserve">DIAZ VALERO </t>
  </si>
  <si>
    <t>RICHARD PEDRO</t>
  </si>
  <si>
    <t>H29703639</t>
  </si>
  <si>
    <t>VARGAS BARRERA</t>
  </si>
  <si>
    <t>FRANCISCO</t>
  </si>
  <si>
    <t>ESCALANTE COLLACSO</t>
  </si>
  <si>
    <t>JAIME DANIEL</t>
  </si>
  <si>
    <t>H40396498</t>
  </si>
  <si>
    <t>Q41806052</t>
  </si>
  <si>
    <t>JOSE LOPEZ</t>
  </si>
  <si>
    <t>H29341554</t>
  </si>
  <si>
    <t>GAONA NUÑEZ</t>
  </si>
  <si>
    <t>KLEBER EDINO</t>
  </si>
  <si>
    <t>H03683390</t>
  </si>
  <si>
    <t>03683390</t>
  </si>
  <si>
    <t xml:space="preserve">ROJAS PANTA </t>
  </si>
  <si>
    <t>J41159198</t>
  </si>
  <si>
    <t>ILO</t>
  </si>
  <si>
    <t>GIANCARLO OVIEDO</t>
  </si>
  <si>
    <t>SAHUANAY VILCA</t>
  </si>
  <si>
    <t>FLORENTINO BERNARDINO</t>
  </si>
  <si>
    <t>04742154</t>
  </si>
  <si>
    <t>J04742154</t>
  </si>
  <si>
    <t>MOQUEGUA</t>
  </si>
  <si>
    <t>EDGARD VILLALOBOS SOTO</t>
  </si>
  <si>
    <t>CUAYLA CORDOVA</t>
  </si>
  <si>
    <t>J40031430</t>
  </si>
  <si>
    <t>VILLALOBOS SOTO</t>
  </si>
  <si>
    <t>J43362803</t>
  </si>
  <si>
    <t>CATACORA FLORES</t>
  </si>
  <si>
    <t>WILLIAM</t>
  </si>
  <si>
    <t>K73491806</t>
  </si>
  <si>
    <t>GIANCARLO JESUS</t>
  </si>
  <si>
    <t>H44406732</t>
  </si>
  <si>
    <t>PERAZA AROHUACA</t>
  </si>
  <si>
    <t>ANDRES</t>
  </si>
  <si>
    <t>01303743</t>
  </si>
  <si>
    <t>U01303743</t>
  </si>
  <si>
    <t>QUISPE TARQUI</t>
  </si>
  <si>
    <t>J40070157</t>
  </si>
  <si>
    <t>HUAMAN FLORES</t>
  </si>
  <si>
    <t>LUIS MIGUEL</t>
  </si>
  <si>
    <t>K46102406</t>
  </si>
  <si>
    <t>OPERADOR DE MIXER - CISTERNA - VEHICULO LIVIANO</t>
  </si>
  <si>
    <t>MOTTA  GONZALES</t>
  </si>
  <si>
    <t>RAUL ABRAHAM</t>
  </si>
  <si>
    <t>H40846360</t>
  </si>
  <si>
    <t>EDUARDO VASQUEZ</t>
  </si>
  <si>
    <t>MOTTA GONZALES</t>
  </si>
  <si>
    <t>Z41922785</t>
  </si>
  <si>
    <t>CRUZ VILLENA</t>
  </si>
  <si>
    <t>PERCI</t>
  </si>
  <si>
    <t>VILLENA CRUZ</t>
  </si>
  <si>
    <t>Z80034963</t>
  </si>
  <si>
    <t>HUAMAN HUAMAN</t>
  </si>
  <si>
    <t>H45792792</t>
  </si>
  <si>
    <t>YANQUE MOLINA</t>
  </si>
  <si>
    <t>ERNIK</t>
  </si>
  <si>
    <t>H41523526</t>
  </si>
  <si>
    <t xml:space="preserve">OPERADOR DE GRUA MOVIL </t>
  </si>
  <si>
    <t>ARAPA ÑAUPA</t>
  </si>
  <si>
    <t>RAMIRO FERNANDO</t>
  </si>
  <si>
    <t>H29682149</t>
  </si>
  <si>
    <t xml:space="preserve">MAMANI FRANCO </t>
  </si>
  <si>
    <t>VICTOR ALBERTO</t>
  </si>
  <si>
    <t>U40724427</t>
  </si>
  <si>
    <t>15/032006</t>
  </si>
  <si>
    <t xml:space="preserve">ALEXANDER FLAVIO </t>
  </si>
  <si>
    <t>MOTA TOVAR</t>
  </si>
  <si>
    <t>H43636043</t>
  </si>
  <si>
    <t>ABANCAY</t>
  </si>
  <si>
    <t>JUSTO SANTOS</t>
  </si>
  <si>
    <t>SULLCAPUMA  PORTILLO</t>
  </si>
  <si>
    <t>T43120990</t>
  </si>
  <si>
    <t xml:space="preserve">SICHA MEDINA </t>
  </si>
  <si>
    <t>Q42056632</t>
  </si>
  <si>
    <t xml:space="preserve">OPERADOR DE BOMBA TELESCOPICA </t>
  </si>
  <si>
    <t>YSAAC DAVID</t>
  </si>
  <si>
    <t>QUISPE HANCCO</t>
  </si>
  <si>
    <t>U29483440</t>
  </si>
  <si>
    <t>PUERTO MALDONADO</t>
  </si>
  <si>
    <t>KATIA CESPEDES SHITAHUARI</t>
  </si>
  <si>
    <t>ESCALANTE MUÑOZ</t>
  </si>
  <si>
    <t>CARLOS MAXIMILIANO</t>
  </si>
  <si>
    <t>H29227487</t>
  </si>
  <si>
    <t>JOAQUIN</t>
  </si>
  <si>
    <t>MEDINA CARUAJULCA</t>
  </si>
  <si>
    <t>C16685187</t>
  </si>
  <si>
    <t>JUAN FORTUNATO</t>
  </si>
  <si>
    <t>VEGA VILCA</t>
  </si>
  <si>
    <t>04815277</t>
  </si>
  <si>
    <t>Z04815277</t>
  </si>
  <si>
    <t>CHRISTIAN MEDINA</t>
  </si>
  <si>
    <t>MONRROY ANAHUA</t>
  </si>
  <si>
    <t>JAVIER BERTHEL</t>
  </si>
  <si>
    <t>H41761410</t>
  </si>
  <si>
    <t>MIGUEL BOCANGEL</t>
  </si>
  <si>
    <t xml:space="preserve">OPERADOR DE MIXER </t>
  </si>
  <si>
    <t>OPERADOR DE MIXER - VOLQUETE</t>
  </si>
  <si>
    <t>OPERADOR DE MIXER - CAMIÓN - TRANSPORTE PERSONAL - VEHÍCULO LIVIANO - VOLQUETE</t>
  </si>
  <si>
    <t>OPERADOR DE MIXER- CARGADOR FRONTAL</t>
  </si>
  <si>
    <t>OPERADOR DE MIXER - VEHICULO LIVIANO</t>
  </si>
  <si>
    <t>OPERADOR DE MIXER - CAMION CISTERNA</t>
  </si>
  <si>
    <t>HALANOCA RAMOS</t>
  </si>
  <si>
    <t>NICOLAS</t>
  </si>
  <si>
    <t xml:space="preserve">GARATE CAMACHO </t>
  </si>
  <si>
    <t>PABLO</t>
  </si>
  <si>
    <t>H41988757</t>
  </si>
  <si>
    <t>MAX HENRY</t>
  </si>
  <si>
    <t>PALOMINO CONDORI</t>
  </si>
  <si>
    <t>Z40781835</t>
  </si>
  <si>
    <t>OPERADOR DE MIXER Y VOLQUETE</t>
  </si>
  <si>
    <t>ANICETO JESUS</t>
  </si>
  <si>
    <t>Z23803203</t>
  </si>
  <si>
    <t>QUISPE CRUZ</t>
  </si>
  <si>
    <t>LA TORRE SALAZAR</t>
  </si>
  <si>
    <t>Z24367269</t>
  </si>
  <si>
    <t>QUINA HOLGADO</t>
  </si>
  <si>
    <t>Z23994248</t>
  </si>
  <si>
    <t>WALTER PABLO</t>
  </si>
  <si>
    <t>SANTILLAN MARCHAN</t>
  </si>
  <si>
    <t>WALTER SANTILLAN</t>
  </si>
  <si>
    <t>K43643783</t>
  </si>
  <si>
    <t>CHINO SURCO</t>
  </si>
  <si>
    <t>ANGEL WILLIAN</t>
  </si>
  <si>
    <t>Z44233991</t>
  </si>
  <si>
    <t>MELITON</t>
  </si>
  <si>
    <t>VELASQUE LEZAMA</t>
  </si>
  <si>
    <t>Z24467947</t>
  </si>
  <si>
    <t>OPERADOR DE MIXER Y VEHICULO LIVIANO</t>
  </si>
  <si>
    <t>OPERADOR DE VOLQUETE Y VEHIULO LIVIANO</t>
  </si>
  <si>
    <t>UMAÑA TANCAILLO</t>
  </si>
  <si>
    <t>EDGARD ISIDRO</t>
  </si>
  <si>
    <t xml:space="preserve">REYNOSO QUIROZ </t>
  </si>
  <si>
    <t xml:space="preserve">YEPEZ FERNANDEZ </t>
  </si>
  <si>
    <t xml:space="preserve">URIEL ARMANDO                    </t>
  </si>
  <si>
    <t>CHRISTIAN URETA</t>
  </si>
  <si>
    <t>H41413767</t>
  </si>
  <si>
    <t>H44690804</t>
  </si>
  <si>
    <t>H29585128</t>
  </si>
  <si>
    <t xml:space="preserve">ABEL MARCELINO                    </t>
  </si>
  <si>
    <t>MAMANI CALLI</t>
  </si>
  <si>
    <t>MARTIN</t>
  </si>
  <si>
    <t>H30653450</t>
  </si>
  <si>
    <t>ANCHAPURI CHURA</t>
  </si>
  <si>
    <t>RUBEN</t>
  </si>
  <si>
    <t>H29690789</t>
  </si>
  <si>
    <t>HUAMAN GARRIDO</t>
  </si>
  <si>
    <t>MAURO</t>
  </si>
  <si>
    <t>Z24494496</t>
  </si>
  <si>
    <t>CHOQUE CATARI</t>
  </si>
  <si>
    <t>HEDER</t>
  </si>
  <si>
    <t>J42347821</t>
  </si>
  <si>
    <t>RAUL NEIRA</t>
  </si>
  <si>
    <t>GALLEGOS RAMOS</t>
  </si>
  <si>
    <t>POMPEYO</t>
  </si>
  <si>
    <t>J44362764</t>
  </si>
  <si>
    <t xml:space="preserve">ARIAS RAMOS </t>
  </si>
  <si>
    <t>YURSON</t>
  </si>
  <si>
    <t>J44865796</t>
  </si>
  <si>
    <t>SALAS FLORES</t>
  </si>
  <si>
    <t>H25816803</t>
  </si>
  <si>
    <t>FRANCISCO LAZO</t>
  </si>
  <si>
    <t>JIBAJA GARCIA</t>
  </si>
  <si>
    <t>JHOAN GERSON</t>
  </si>
  <si>
    <t>H45026619</t>
  </si>
  <si>
    <t>CASAS LERMA</t>
  </si>
  <si>
    <t>JIMMY MANUEL</t>
  </si>
  <si>
    <t>H45600366</t>
  </si>
  <si>
    <t>PELINCO BELIZARIO</t>
  </si>
  <si>
    <t>B2</t>
  </si>
  <si>
    <t>H074879</t>
  </si>
  <si>
    <t>OPERADOR DE MOTOCICLETA</t>
  </si>
  <si>
    <t>SERV. GENERALES</t>
  </si>
  <si>
    <t>DEL CARPIO TEJADA</t>
  </si>
  <si>
    <t>OSCAR MAURICIO</t>
  </si>
  <si>
    <t>H44621080</t>
  </si>
  <si>
    <t>OPERADOR DE VEHICULOI LIVIANO</t>
  </si>
  <si>
    <t xml:space="preserve"> </t>
  </si>
  <si>
    <t>ISIDORO POLICARPIO</t>
  </si>
  <si>
    <t>CASTRO SOCOLICH</t>
  </si>
  <si>
    <t>ANDRES RAFAEL</t>
  </si>
  <si>
    <t>H44387609</t>
  </si>
  <si>
    <t>OPERADOR DE VEHICULO LIVIANO Y MONTACARGA</t>
  </si>
  <si>
    <t>CHRISTIAN URIBE</t>
  </si>
  <si>
    <t>OPERADOR DE MONTACARGA - VEHICULO LIVIANO - CARGADOR FRONTAL</t>
  </si>
  <si>
    <t>Z45600127</t>
  </si>
  <si>
    <t>OPERADOR DE VEHICULO LIVIANO Y CARGADOR FRONTAL</t>
  </si>
  <si>
    <t>QUISPE ILLA</t>
  </si>
  <si>
    <t>H42619158</t>
  </si>
  <si>
    <t>PARI MEDINA</t>
  </si>
  <si>
    <t>OSCAR LEONCIO</t>
  </si>
  <si>
    <t>H29531442</t>
  </si>
  <si>
    <t>Z45683547</t>
  </si>
  <si>
    <t>GALINDO SALAS</t>
  </si>
  <si>
    <t>ANDRES HUMBERTO</t>
  </si>
  <si>
    <t>DELGADO SALAS</t>
  </si>
  <si>
    <t>NOE DAVID</t>
  </si>
  <si>
    <t>Q43632491</t>
  </si>
  <si>
    <t>MAMANI TICONA</t>
  </si>
  <si>
    <t>ALAN SAUL</t>
  </si>
  <si>
    <t>42426897</t>
  </si>
  <si>
    <t>H42426897</t>
  </si>
  <si>
    <t>GUERRA CISNEROS</t>
  </si>
  <si>
    <t>CARLOS ADOLFO</t>
  </si>
  <si>
    <t>06771555</t>
  </si>
  <si>
    <t>Q06771555</t>
  </si>
  <si>
    <t>VASQUEZ CUNO</t>
  </si>
  <si>
    <t>EDUARDO JAVIER</t>
  </si>
  <si>
    <t>D29674974</t>
  </si>
  <si>
    <t>MONROY PRADO</t>
  </si>
  <si>
    <t>H40867363</t>
  </si>
  <si>
    <t>SANCHEZ NINA</t>
  </si>
  <si>
    <t>JHONS BONEY</t>
  </si>
  <si>
    <t>H45088903</t>
  </si>
  <si>
    <t>RAMOS MENDOZA</t>
  </si>
  <si>
    <t>ROY ROGER</t>
  </si>
  <si>
    <t>H41772660</t>
  </si>
  <si>
    <t>JUAN PEREYRA</t>
  </si>
  <si>
    <t>MONTOYA MUÑOZ</t>
  </si>
  <si>
    <t>CARLOS  RUPERTO</t>
  </si>
  <si>
    <t>H29364535</t>
  </si>
  <si>
    <t>RAUL SEMINARIO</t>
  </si>
  <si>
    <t>PEREZ PACHECO</t>
  </si>
  <si>
    <t>OPERADOR DE CARGADOR  FRONTAL</t>
  </si>
  <si>
    <t>H45294150</t>
  </si>
  <si>
    <t>PEDRO DANIEL</t>
  </si>
  <si>
    <t>H45214873</t>
  </si>
  <si>
    <t>OPERADOR DE EXCAVADORA - CARGADOR FRONTAL - VOLQUETE</t>
  </si>
  <si>
    <t>CONDORCHOA ALEJO</t>
  </si>
  <si>
    <t>H29541491</t>
  </si>
  <si>
    <t>OPERADOR  DE VOLQUETE CARRETA</t>
  </si>
  <si>
    <t>LLAMOCA FRISANCHO</t>
  </si>
  <si>
    <t>CESAR AUGUSTO</t>
  </si>
  <si>
    <t>H43020039</t>
  </si>
  <si>
    <t>H44230275</t>
  </si>
  <si>
    <t>OPERADOR DE CAMION GRUA</t>
  </si>
  <si>
    <t>ESCOBEDO MOLINA</t>
  </si>
  <si>
    <t>PABLO RENE</t>
  </si>
  <si>
    <t>U42359993</t>
  </si>
  <si>
    <t>U44036252</t>
  </si>
  <si>
    <t>CHINO RAMIREZ</t>
  </si>
  <si>
    <t>K70106601</t>
  </si>
  <si>
    <t>CARCAUSTO LUNA</t>
  </si>
  <si>
    <t>ABRAHAM</t>
  </si>
  <si>
    <t>OPERADOR DE CAMION GRUA Y VEHICULO LIVIANO</t>
  </si>
  <si>
    <t>H29221983</t>
  </si>
  <si>
    <t>H42955269</t>
  </si>
  <si>
    <t>OPERADOR TRACTOR - EXCAVADORA - CARGADOR FRONTAL - VOLQUETE Y VEHICULO LIVIANO</t>
  </si>
  <si>
    <t>OPERADOR DE MIXER - CAMIÓN - C. VOLUMÉTRICO - CISTERNA - VEHICULO LIVIANO</t>
  </si>
  <si>
    <t>OPERADOR DE  VEHICULO LIVIANO</t>
  </si>
  <si>
    <t>OPERADOR DE MIXER - VOLQUETE - VEHICULO LIVIANO</t>
  </si>
  <si>
    <t>OPERADOR VEHICULO LIVIANO - BOMBA ESTACIONARIA - BOMBA TELESCOPICA - CAMIÓN</t>
  </si>
  <si>
    <t>OPERADOR BOMBA TELESCOPICA</t>
  </si>
  <si>
    <t>OPERADOR DE BOMBA TELESCOPICA Y ESTACIONARIA</t>
  </si>
  <si>
    <t>OPERADOR DE VOLQUETE - BOMBA ESTACIONARIA / TELESCOPICA - MIXER - VEHICULO LIVIANO</t>
  </si>
  <si>
    <t>SALAZAR FLORES</t>
  </si>
  <si>
    <t>FREDY MARCELO</t>
  </si>
  <si>
    <t>H42225388</t>
  </si>
  <si>
    <t>ARENAS COAGUILA</t>
  </si>
  <si>
    <t>DIMAS</t>
  </si>
  <si>
    <t>K41638880</t>
  </si>
  <si>
    <t>VERA RUIZ</t>
  </si>
  <si>
    <t>JUAN PABLO</t>
  </si>
  <si>
    <t>H43129245</t>
  </si>
  <si>
    <t>RAUL VICENTE</t>
  </si>
  <si>
    <t>ZAPANA CONDORI</t>
  </si>
  <si>
    <t>H29648831</t>
  </si>
  <si>
    <t>OCHOCHOQUE MONTENEGRO</t>
  </si>
  <si>
    <t>DANNILO JESUS</t>
  </si>
  <si>
    <t>H45016886</t>
  </si>
  <si>
    <t>FLORES MAMANI</t>
  </si>
  <si>
    <t>H43927259</t>
  </si>
  <si>
    <t>H29673334</t>
  </si>
  <si>
    <t>OPERADOR DE BOMBA ESTACIONARIA - TELESCOPICA - CAMIÓN Y VEHICULO LIVIANO</t>
  </si>
  <si>
    <t>H29454393</t>
  </si>
  <si>
    <t>DIEGO LA TORRE</t>
  </si>
  <si>
    <t>MIGUEL ELOY</t>
  </si>
  <si>
    <t>H42803980</t>
  </si>
  <si>
    <t xml:space="preserve">TOQUEPALA </t>
  </si>
  <si>
    <t>H29467898</t>
  </si>
  <si>
    <t>SALAS DIAZ</t>
  </si>
  <si>
    <t>BETO ALBERTO</t>
  </si>
  <si>
    <t>K44259057</t>
  </si>
  <si>
    <t>CATACORA QUISPE</t>
  </si>
  <si>
    <t>FERNANDO ALFONSO</t>
  </si>
  <si>
    <t>OPERADOR DE MIXER - VOLQUETE Y VEHICULO LIVIANO</t>
  </si>
  <si>
    <t xml:space="preserve">COAGUILA CARDENAS </t>
  </si>
  <si>
    <t>04438207</t>
  </si>
  <si>
    <t>K04438207</t>
  </si>
  <si>
    <t>CASANI COSI</t>
  </si>
  <si>
    <t>04723088</t>
  </si>
  <si>
    <t>H04723088</t>
  </si>
  <si>
    <t xml:space="preserve">PILLONES </t>
  </si>
  <si>
    <t>ARENAS  CCAHUANA</t>
  </si>
  <si>
    <t>JAVIER</t>
  </si>
  <si>
    <t>H45015250</t>
  </si>
  <si>
    <t>ARIZACA HOLGADO</t>
  </si>
  <si>
    <t>H29679896</t>
  </si>
  <si>
    <t>U0226968</t>
  </si>
  <si>
    <t>BRESLY CHOQUE</t>
  </si>
  <si>
    <t>CURASI LAURA</t>
  </si>
  <si>
    <t>ROY MILTON</t>
  </si>
  <si>
    <t>H30862277</t>
  </si>
  <si>
    <t>LILIANA RIVERA</t>
  </si>
  <si>
    <t>OPERADOR BOMBA ESTACIONARIA- BOMBA TELESCOPICA</t>
  </si>
  <si>
    <t>OPERADOR VEHICULO LIVIANO - BOMBA ESTACIONARIA Y TELESCOPICA - CAMIÓN</t>
  </si>
  <si>
    <t>CANTERA SAMEGUA</t>
  </si>
  <si>
    <t>MAMANI RAMOS</t>
  </si>
  <si>
    <t>FERRER PELAGIO</t>
  </si>
  <si>
    <t>J42331831</t>
  </si>
  <si>
    <t xml:space="preserve">OTAZU GARCIA </t>
  </si>
  <si>
    <t>DARWIN VICTOR</t>
  </si>
  <si>
    <t>U46178634</t>
  </si>
  <si>
    <t>CUAJONE</t>
  </si>
  <si>
    <t>VALENCIA ANDIA</t>
  </si>
  <si>
    <t>CARLOS JESUS</t>
  </si>
  <si>
    <t>H29382951</t>
  </si>
  <si>
    <t>H45710</t>
  </si>
  <si>
    <t>WILLIAM PANCCA</t>
  </si>
  <si>
    <t>MANRIQUE ZEGARRA</t>
  </si>
  <si>
    <t>OSCAR ENRIQUE</t>
  </si>
  <si>
    <t>H41409004</t>
  </si>
  <si>
    <t>LOPEZ ROJAS</t>
  </si>
  <si>
    <t>VICTOR VITALIANO</t>
  </si>
  <si>
    <t>H29327072</t>
  </si>
  <si>
    <t>MASIAS QUICAÑO</t>
  </si>
  <si>
    <t>ANTHONY JAIME JAVIER</t>
  </si>
  <si>
    <t>K41635107</t>
  </si>
  <si>
    <t>FLORES INFANTES</t>
  </si>
  <si>
    <t>BENITO RAUL</t>
  </si>
  <si>
    <t>07972551</t>
  </si>
  <si>
    <t>H07972551</t>
  </si>
  <si>
    <t>CCOSI ROQUE</t>
  </si>
  <si>
    <t>04650243</t>
  </si>
  <si>
    <t>U04650243</t>
  </si>
  <si>
    <t>OPERADOR DE MIXER, VEHICULO LIVIANO</t>
  </si>
  <si>
    <t>MATARANI</t>
  </si>
  <si>
    <t>MIGUEL</t>
  </si>
  <si>
    <t>H29539829</t>
  </si>
  <si>
    <t>FERREL ARIAS</t>
  </si>
  <si>
    <t>ALAN RENATO</t>
  </si>
  <si>
    <t>H43081179</t>
  </si>
  <si>
    <t>ANDREA SCHIAFFINO</t>
  </si>
  <si>
    <t>MACHACA GARABITO</t>
  </si>
  <si>
    <t>GERMAN</t>
  </si>
  <si>
    <t>K42626503</t>
  </si>
  <si>
    <t>LAQUI QUISPE</t>
  </si>
  <si>
    <t>WILLY CESAR</t>
  </si>
  <si>
    <t>00523558</t>
  </si>
  <si>
    <t>K00523558</t>
  </si>
  <si>
    <t>H40098014</t>
  </si>
  <si>
    <t>SERVICIOS GENERALES</t>
  </si>
  <si>
    <t>VELASQUEZ MERCADO</t>
  </si>
  <si>
    <t>DANTE</t>
  </si>
  <si>
    <t>K40450408</t>
  </si>
  <si>
    <t>ARIVILCA VERA</t>
  </si>
  <si>
    <t>H44558027</t>
  </si>
  <si>
    <t>CONDORI APAZA</t>
  </si>
  <si>
    <t>FREDY ANGEL</t>
  </si>
  <si>
    <t>H42974776</t>
  </si>
  <si>
    <t>HUANCA YAURI</t>
  </si>
  <si>
    <t>DEYGRO ALBERTO</t>
  </si>
  <si>
    <t>H70418323</t>
  </si>
  <si>
    <t>FLORES VASQUEZ</t>
  </si>
  <si>
    <t>PEDRO JAVIER</t>
  </si>
  <si>
    <t>H43177642</t>
  </si>
  <si>
    <t xml:space="preserve">A3C </t>
  </si>
  <si>
    <t>HUILLCA ACOSTUPA</t>
  </si>
  <si>
    <t>DIONEL ELVIS</t>
  </si>
  <si>
    <t>QUISPE ROA</t>
  </si>
  <si>
    <t xml:space="preserve">RODOLFO </t>
  </si>
  <si>
    <t>Z41405073</t>
  </si>
  <si>
    <t>CHIPA TROCONES</t>
  </si>
  <si>
    <t>ROGGER</t>
  </si>
  <si>
    <t>T42706456</t>
  </si>
  <si>
    <t>OPERADOR MIXER</t>
  </si>
  <si>
    <t>31/0/07/1984</t>
  </si>
  <si>
    <t>CUTIPA JUAREZ</t>
  </si>
  <si>
    <t>SEFERINO</t>
  </si>
  <si>
    <t>H43428927</t>
  </si>
  <si>
    <t>WILFREDO SALAZAR</t>
  </si>
  <si>
    <t>CESAR EMILIO</t>
  </si>
  <si>
    <t>RODRIGUEZ CARI</t>
  </si>
  <si>
    <t>H29661900</t>
  </si>
  <si>
    <t>LUQUE QUISPE</t>
  </si>
  <si>
    <t>LUIS EDGARD</t>
  </si>
  <si>
    <t>H42961261</t>
  </si>
  <si>
    <t>SALAS VERGARAY</t>
  </si>
  <si>
    <t>CHRISTIAN JAVIER</t>
  </si>
  <si>
    <t>H70341262</t>
  </si>
  <si>
    <t>CCOLQUE AYME</t>
  </si>
  <si>
    <t>WILFREDO</t>
  </si>
  <si>
    <t>H44057389</t>
  </si>
  <si>
    <t xml:space="preserve">SUCAPUCA AZA </t>
  </si>
  <si>
    <t>CARLOS ALBERTO CESAR</t>
  </si>
  <si>
    <t>H40876048</t>
  </si>
  <si>
    <t>GOMEZ APAZA</t>
  </si>
  <si>
    <t>HELBER RAUL</t>
  </si>
  <si>
    <t>H42681185</t>
  </si>
  <si>
    <t>ARMANDO SANTOS</t>
  </si>
  <si>
    <t>QUISPE AGUIRRE</t>
  </si>
  <si>
    <t>H29582643</t>
  </si>
  <si>
    <t>CARLOS GONZALO</t>
  </si>
  <si>
    <t>MAMANI QUISPE</t>
  </si>
  <si>
    <t>H46499914</t>
  </si>
  <si>
    <t>GUTIERREZ ROSAS</t>
  </si>
  <si>
    <t>H40582344</t>
  </si>
  <si>
    <t>JAIME ANTONIO</t>
  </si>
  <si>
    <t>ZEVALLOS RIVEROS</t>
  </si>
  <si>
    <t>H29548777</t>
  </si>
  <si>
    <t>NINA VILCA</t>
  </si>
  <si>
    <t>JOSE MIGUEL</t>
  </si>
  <si>
    <t>H40188411</t>
  </si>
  <si>
    <t>MARIO LENIN</t>
  </si>
  <si>
    <t>FLORES LAYME</t>
  </si>
  <si>
    <t>H29562903</t>
  </si>
  <si>
    <t>SANCHEZ CCUNO</t>
  </si>
  <si>
    <t>RICARDO</t>
  </si>
  <si>
    <t>H40454441</t>
  </si>
  <si>
    <t>H45605286</t>
  </si>
  <si>
    <t>RUIZ MANUEL</t>
  </si>
  <si>
    <t>MEJIA NINASIVINCHA</t>
  </si>
  <si>
    <t>H43616771</t>
  </si>
  <si>
    <t>OPERADOR CISTERA DE AGUA</t>
  </si>
  <si>
    <t>AMALIO</t>
  </si>
  <si>
    <t>H40547582</t>
  </si>
  <si>
    <t>GUIDO ALVAREZ</t>
  </si>
  <si>
    <t>HILARIO HUANCA</t>
  </si>
  <si>
    <t>ISMAEL JOEL</t>
  </si>
  <si>
    <t>H466549263</t>
  </si>
  <si>
    <t>JOEL HERVIN</t>
  </si>
  <si>
    <t>H45396563</t>
  </si>
  <si>
    <t>FLORES CHOQUE</t>
  </si>
  <si>
    <t>H42130357</t>
  </si>
  <si>
    <t>AYRO</t>
  </si>
  <si>
    <t>GOMEZ CHINO</t>
  </si>
  <si>
    <t>ISAURO</t>
  </si>
  <si>
    <t>H41112235</t>
  </si>
  <si>
    <t>LLERENA PRADO</t>
  </si>
  <si>
    <t>AGUSTIN DANIEL</t>
  </si>
  <si>
    <t>H45278673</t>
  </si>
  <si>
    <t>QUISPE CCAMA</t>
  </si>
  <si>
    <t>Z24704977</t>
  </si>
  <si>
    <t>QUELLAVECO</t>
  </si>
  <si>
    <t>GERSON CERVANTES</t>
  </si>
  <si>
    <t>00432229</t>
  </si>
  <si>
    <t>K00432229</t>
  </si>
  <si>
    <t>JUAN RAFAEL</t>
  </si>
  <si>
    <t>INFANTES BARRIOS</t>
  </si>
  <si>
    <t>h43395102</t>
  </si>
  <si>
    <t>ARTURO GUTIERREZ</t>
  </si>
  <si>
    <t>GUTIERREZ UMERES</t>
  </si>
  <si>
    <t>H41242546</t>
  </si>
  <si>
    <t>HIDALGO VILCA</t>
  </si>
  <si>
    <t>U80031581</t>
  </si>
  <si>
    <t>OMAR FERNANDO</t>
  </si>
  <si>
    <t>MELENDEZ CASANOVA</t>
  </si>
  <si>
    <t>04436911</t>
  </si>
  <si>
    <t>J04436911</t>
  </si>
  <si>
    <t>MAQUERA MAMANI</t>
  </si>
  <si>
    <t>RIBELINO YOEL</t>
  </si>
  <si>
    <t>J41347406</t>
  </si>
  <si>
    <t>PACORICONA ZARATE</t>
  </si>
  <si>
    <t>AGUR</t>
  </si>
  <si>
    <t>K42751297</t>
  </si>
  <si>
    <t>CHAMBI ARISACA</t>
  </si>
  <si>
    <t>021170056</t>
  </si>
  <si>
    <t>U021170056</t>
  </si>
  <si>
    <t>GUTIERREZ HUALLPARTUPA</t>
  </si>
  <si>
    <t>FERNANDO HERMOGENES</t>
  </si>
  <si>
    <t>02271414</t>
  </si>
  <si>
    <t>U02271414</t>
  </si>
  <si>
    <t>OPERADOR DE MIXER Y CISTERNA DE AGUA</t>
  </si>
  <si>
    <t>PUTINA</t>
  </si>
  <si>
    <t>SECAPUCA YANAPA</t>
  </si>
  <si>
    <t>CLETO MANSURI</t>
  </si>
  <si>
    <t>U41830633</t>
  </si>
  <si>
    <t>JOSE ORLANDO</t>
  </si>
  <si>
    <t>PEÑA OSORIO</t>
  </si>
  <si>
    <t>N20904676</t>
  </si>
  <si>
    <t>CARDENAS MAMANI</t>
  </si>
  <si>
    <t>LUCIO ELOY</t>
  </si>
  <si>
    <t>01342545</t>
  </si>
  <si>
    <t>U01342545</t>
  </si>
  <si>
    <t>FLORES YANA</t>
  </si>
  <si>
    <t>U80028438</t>
  </si>
  <si>
    <t>CHECALLA PAYE</t>
  </si>
  <si>
    <t>FACUNDO</t>
  </si>
  <si>
    <t>H41482246</t>
  </si>
  <si>
    <t>PUMA VALENCIA</t>
  </si>
  <si>
    <t>H43727385</t>
  </si>
  <si>
    <t>RAUL PUMA</t>
  </si>
  <si>
    <t>H29567451</t>
  </si>
  <si>
    <t>CCASA BETANCUR</t>
  </si>
  <si>
    <t>RUMUALDO</t>
  </si>
  <si>
    <t>H29269325</t>
  </si>
  <si>
    <t>VARIANTE</t>
  </si>
  <si>
    <t>CHOQUE ITALAQUE</t>
  </si>
  <si>
    <t>H44915344</t>
  </si>
  <si>
    <t>HANAMPA HUAYKANI</t>
  </si>
  <si>
    <t>H43061846</t>
  </si>
  <si>
    <t>ANTACHOQUE VERA</t>
  </si>
  <si>
    <t>YAN CARLOS</t>
  </si>
  <si>
    <t>H72304848</t>
  </si>
  <si>
    <t>TEDY JOEL</t>
  </si>
  <si>
    <t>U80670064</t>
  </si>
  <si>
    <t>H29601659</t>
  </si>
  <si>
    <t>MAMANI CASTILLO</t>
  </si>
  <si>
    <t>WILLY JULIO</t>
  </si>
  <si>
    <t>H29295457</t>
  </si>
  <si>
    <t>ALVIS CHAVEZ</t>
  </si>
  <si>
    <t>BACILIDES</t>
  </si>
  <si>
    <t>H41911602</t>
  </si>
  <si>
    <t>LA PODEROSA</t>
  </si>
  <si>
    <t>MENDOZA CRUZ</t>
  </si>
  <si>
    <t>RHILDO ELISBAN</t>
  </si>
  <si>
    <t>H44748404</t>
  </si>
  <si>
    <t>MERMA KANA</t>
  </si>
  <si>
    <t>FREDY WILSON</t>
  </si>
  <si>
    <t>H44746498</t>
  </si>
  <si>
    <t>MONZON MARTINEZ</t>
  </si>
  <si>
    <t>LUIS JOSE</t>
  </si>
  <si>
    <t>H41331964</t>
  </si>
  <si>
    <t>ELIZABETH ANCO</t>
  </si>
  <si>
    <t>CHOQUE BEDOYA</t>
  </si>
  <si>
    <t>DAVID HEBERT</t>
  </si>
  <si>
    <t>H41440210</t>
  </si>
  <si>
    <t>OPERADOR BOMBA ESTACIONARIA - BOMBA TELESCOPICA - CAMIÓN</t>
  </si>
  <si>
    <t>OPERADOR CISTERNA COMBUSTIBLE - VEHICULO LIVIANO</t>
  </si>
  <si>
    <t>OPERADOR CISTERNA DE AGUA</t>
  </si>
  <si>
    <t>OPERADOR BOMBA ESTACIONARIA - BOMBA  TELESCOPICA</t>
  </si>
  <si>
    <t>OPERADOR CARGADOR FRONTAL - EXCAVADORA</t>
  </si>
  <si>
    <t>VILCAS SAMATA</t>
  </si>
  <si>
    <t>H42223544</t>
  </si>
  <si>
    <t>DANTE VELASQUE</t>
  </si>
  <si>
    <t>SERAPIO FILOMENO</t>
  </si>
  <si>
    <t>MERMA CUYO</t>
  </si>
  <si>
    <t>SALUSTIANO</t>
  </si>
  <si>
    <t>H25017071</t>
  </si>
  <si>
    <t>PLANTA GLORIA</t>
  </si>
  <si>
    <t>CHISTIAM MEDINA</t>
  </si>
  <si>
    <t>H45555364</t>
  </si>
  <si>
    <t>MALDONADO HUANACO</t>
  </si>
  <si>
    <t>ELVER EPIFANIO</t>
  </si>
  <si>
    <t>ZAMATA  AROTAYPE</t>
  </si>
  <si>
    <t>ELISBAN MANUEL</t>
  </si>
  <si>
    <t>H29326695</t>
  </si>
  <si>
    <t>ARRIAGA PORTOCARRERO</t>
  </si>
  <si>
    <t>VICTOR HUGO</t>
  </si>
  <si>
    <t>H29625639</t>
  </si>
  <si>
    <t>PROYECTO CERRO VERDE</t>
  </si>
  <si>
    <t>GHERSI CUERVO</t>
  </si>
  <si>
    <t>HELARF CARLOS</t>
  </si>
  <si>
    <t>H42334495</t>
  </si>
  <si>
    <t>CHRISTIAM URETA</t>
  </si>
  <si>
    <t>OPERADOR DE MONTACARGA - CARGADOR FRONTAL - VEHICULO LIVIANO</t>
  </si>
  <si>
    <t>ri</t>
  </si>
  <si>
    <t>CORRALES ORTIZ</t>
  </si>
  <si>
    <t>OMAR ALDO</t>
  </si>
  <si>
    <t>APAZA PAUCAR</t>
  </si>
  <si>
    <t>VALENTIN</t>
  </si>
  <si>
    <t>SIERRA NUÑEZ</t>
  </si>
  <si>
    <t>JUAN JOSE MIGUEL</t>
  </si>
  <si>
    <t>LAZARTE GOMEZ</t>
  </si>
  <si>
    <t>STEVE</t>
  </si>
  <si>
    <t>H41504518</t>
  </si>
  <si>
    <t>OPERADOR DE VOLQUETE -  VEHICULO LIVIANO</t>
  </si>
  <si>
    <t>CANTERA PODEROSA</t>
  </si>
  <si>
    <t>H42900937</t>
  </si>
  <si>
    <t>H29723337</t>
  </si>
  <si>
    <t>H41727358</t>
  </si>
  <si>
    <t>OVIEDO VALDIVIA</t>
  </si>
  <si>
    <t>HERALD ADRIAN</t>
  </si>
  <si>
    <t>H41202645</t>
  </si>
  <si>
    <t>FLORES ACOSTA</t>
  </si>
  <si>
    <t>A3C profesional</t>
  </si>
  <si>
    <t>JULIO</t>
  </si>
  <si>
    <t>H41669592</t>
  </si>
  <si>
    <t>PINEDA SALAZAR</t>
  </si>
  <si>
    <t>JOHN ELVIS</t>
  </si>
  <si>
    <t>H29644990</t>
  </si>
  <si>
    <t>ESQUIVEL TANCAYLLO</t>
  </si>
  <si>
    <t>NILTON</t>
  </si>
  <si>
    <t>H29611573</t>
  </si>
  <si>
    <t>MOSCOL SAENZ</t>
  </si>
  <si>
    <t>JHONNY EDUARDO</t>
  </si>
  <si>
    <t>H3486523</t>
  </si>
  <si>
    <t>PRE NAZCA</t>
  </si>
  <si>
    <t>PROVELEON ANDRADE</t>
  </si>
  <si>
    <t>EDWIN AMALIO</t>
  </si>
  <si>
    <t xml:space="preserve">MARTINEZ ARTEAGA </t>
  </si>
  <si>
    <t>MIGUEL EDWIN</t>
  </si>
  <si>
    <t>H40404824</t>
  </si>
  <si>
    <t>PACHECO CASTILLO</t>
  </si>
  <si>
    <t>ALEXANDER MARTIN</t>
  </si>
  <si>
    <t>H72467803</t>
  </si>
  <si>
    <t>MOGROVEJO GONZALES</t>
  </si>
  <si>
    <t>H10577127</t>
  </si>
  <si>
    <t>YUCRA RODRIGUEZ</t>
  </si>
  <si>
    <t>H45332441</t>
  </si>
  <si>
    <t>NEIRA ATAHUALPA</t>
  </si>
  <si>
    <t>RAUL BELARMINO</t>
  </si>
  <si>
    <t>BARRIENTOS JARA</t>
  </si>
  <si>
    <t>H41239965</t>
  </si>
  <si>
    <t>OPERADOR DE MIXER- CISTERNA</t>
  </si>
  <si>
    <t xml:space="preserve">ARHUIRI MOGOLLON </t>
  </si>
  <si>
    <t>ROBERT WILLIAM</t>
  </si>
  <si>
    <t>H29533201</t>
  </si>
  <si>
    <t>INCA CCALLO</t>
  </si>
  <si>
    <t>H41519371</t>
  </si>
  <si>
    <t>CONCHACALLE HUANCA</t>
  </si>
  <si>
    <t>H29667442</t>
  </si>
  <si>
    <t>HERRERA VILCA</t>
  </si>
  <si>
    <t>NEF NOE</t>
  </si>
  <si>
    <t>H29720666</t>
  </si>
  <si>
    <t>HUAMANI ANDRADA</t>
  </si>
  <si>
    <t>GUIDO</t>
  </si>
  <si>
    <t>H44634371</t>
  </si>
  <si>
    <t>HUANCA YUCRA</t>
  </si>
  <si>
    <t>H40217132</t>
  </si>
  <si>
    <t>GOMEZ ALLHUERCA</t>
  </si>
  <si>
    <t>WILBER YOVANI</t>
  </si>
  <si>
    <t>H45497251</t>
  </si>
  <si>
    <t>VARGAS RAMOS</t>
  </si>
  <si>
    <t>H42415223</t>
  </si>
  <si>
    <t>HUACARPUMA AQQUEPUCHO</t>
  </si>
  <si>
    <t>CECILIO</t>
  </si>
  <si>
    <t>H42758007</t>
  </si>
  <si>
    <t xml:space="preserve">ROMERO RODRIGUEZ </t>
  </si>
  <si>
    <t>JOSE EDUARDO</t>
  </si>
  <si>
    <t>H45340147</t>
  </si>
  <si>
    <t>VALDIVIA ALI</t>
  </si>
  <si>
    <t>H29556631</t>
  </si>
  <si>
    <t>MASCO VALDEZ</t>
  </si>
  <si>
    <t>H40737082</t>
  </si>
  <si>
    <t>GALLEGOS HUARSOCCA</t>
  </si>
  <si>
    <t>OMAR GUIDO</t>
  </si>
  <si>
    <t>H42966593</t>
  </si>
  <si>
    <t>AQUISE PONCE</t>
  </si>
  <si>
    <t>H29607617</t>
  </si>
  <si>
    <t>FARFAN AYAMAMANI</t>
  </si>
  <si>
    <t>VICTOR VICENTE</t>
  </si>
  <si>
    <t>H43178559</t>
  </si>
  <si>
    <t>KANA HUALLPA</t>
  </si>
  <si>
    <t>RENE ELMER</t>
  </si>
  <si>
    <t>H46743191</t>
  </si>
  <si>
    <t>MAYTA CHOQUE</t>
  </si>
  <si>
    <t>JORGE ROMAN</t>
  </si>
  <si>
    <t>H29710355</t>
  </si>
  <si>
    <t>CABEL MOLINA</t>
  </si>
  <si>
    <t>H41649270</t>
  </si>
  <si>
    <t>VELASQUEZ PANCA</t>
  </si>
  <si>
    <t>FREDY MARCELINO</t>
  </si>
  <si>
    <t>H30863469</t>
  </si>
  <si>
    <t>H29553129</t>
  </si>
  <si>
    <t>CASTILLO GOMEZ</t>
  </si>
  <si>
    <t>H80062654</t>
  </si>
  <si>
    <t>HUARSAYA QUISPE</t>
  </si>
  <si>
    <t>H73478944</t>
  </si>
  <si>
    <t>RODRIGUEZ VALENCIA</t>
  </si>
  <si>
    <t>H42185882</t>
  </si>
  <si>
    <t>PRIETO CABANA</t>
  </si>
  <si>
    <t>ANTHONY CHRISTIAN</t>
  </si>
  <si>
    <t>H46433469</t>
  </si>
  <si>
    <t>A RH POSITIVO</t>
  </si>
  <si>
    <t>H41633294</t>
  </si>
  <si>
    <t>OPERADOR CAMIONETA</t>
  </si>
  <si>
    <t>OPERADOR DE TRACTO CAMIÓN-CAMIONETA-MIXER-VOLQUETE</t>
  </si>
  <si>
    <t>OPERADOR DE MIXER-CAMIONETA-CISTERNA DE AGUA</t>
  </si>
  <si>
    <t>PREMEZCLADO VARIANTE</t>
  </si>
  <si>
    <t>CHARAJA ESCOBEDO</t>
  </si>
  <si>
    <t>OMAR RODOLFO</t>
  </si>
  <si>
    <t>H41755960</t>
  </si>
  <si>
    <t>PICHUILLA HUAMANI</t>
  </si>
  <si>
    <t>CESAR POLICARPIO</t>
  </si>
  <si>
    <t>VERGIERE MARTINEZ</t>
  </si>
  <si>
    <t>EDGAR</t>
  </si>
  <si>
    <t>OPERADOR DE MIXER-CISTERNA DE AGUA-CAMIONETA</t>
  </si>
  <si>
    <t>TRACTOR ORUGA-CARGADOR FRONTAL</t>
  </si>
  <si>
    <t>H44871558</t>
  </si>
  <si>
    <t>AGREGADOS</t>
  </si>
  <si>
    <t>QUISPE JOVE</t>
  </si>
  <si>
    <t>FERNANDEZ QUISPE</t>
  </si>
  <si>
    <t>TOMAS ALBERTO</t>
  </si>
  <si>
    <t>JHEYFEL VALDIVIA</t>
  </si>
  <si>
    <t>PREMEZCLADO NAZCA</t>
  </si>
  <si>
    <t>K04642208</t>
  </si>
  <si>
    <t>F45638916</t>
  </si>
  <si>
    <t>TEJADA ROJAS</t>
  </si>
  <si>
    <t>CARLOS GUILLERMO</t>
  </si>
  <si>
    <t>F22061552</t>
  </si>
  <si>
    <t>O4642208</t>
  </si>
  <si>
    <t>CENTENO MOSQUEIRA</t>
  </si>
  <si>
    <t>GIAN LUIS</t>
  </si>
  <si>
    <t>F44961836</t>
  </si>
  <si>
    <t>A3C PROFESIONAL</t>
  </si>
  <si>
    <t>OROSCO AVENDAÑO</t>
  </si>
  <si>
    <t>F42047794</t>
  </si>
  <si>
    <t>OPERACIONES</t>
  </si>
  <si>
    <t>GARRIAZO CONTRERAS</t>
  </si>
  <si>
    <t>DARLYN YASMANY</t>
  </si>
  <si>
    <t>K43078315</t>
  </si>
  <si>
    <t>A2B PROFESIONAL</t>
  </si>
  <si>
    <t>GONZALES CHOQUE</t>
  </si>
  <si>
    <t>CHAÑI TACO</t>
  </si>
  <si>
    <t>ROGER ELISEO</t>
  </si>
  <si>
    <t>H43133097</t>
  </si>
  <si>
    <t>HUAMAN CASTILLO</t>
  </si>
  <si>
    <t>ARMANDO JUAN</t>
  </si>
  <si>
    <t>AB Rh POSITIVO</t>
  </si>
  <si>
    <t>H41669929</t>
  </si>
  <si>
    <t>FLORES PAZOS</t>
  </si>
  <si>
    <t>FERNANDO ANGEL</t>
  </si>
  <si>
    <t>K70404336</t>
  </si>
  <si>
    <t>CUBA FERNANDEZ</t>
  </si>
  <si>
    <t>H41008204</t>
  </si>
  <si>
    <t>MARTINEZ ARDILES</t>
  </si>
  <si>
    <t>OSELI DINKA</t>
  </si>
  <si>
    <t>H29650796</t>
  </si>
  <si>
    <t>CHAVEZ CAMASCA</t>
  </si>
  <si>
    <t>RUDY ELOY</t>
  </si>
  <si>
    <t>H40074850</t>
  </si>
  <si>
    <t>SEGURIDAD INDUSTRIAL</t>
  </si>
  <si>
    <t>MACHACA FOLLANO</t>
  </si>
  <si>
    <t>EVER ALEXANDER</t>
  </si>
  <si>
    <t>H45442016</t>
  </si>
  <si>
    <t>ZARAVIA QUIROZ</t>
  </si>
  <si>
    <t>BRYAN YOSLIN</t>
  </si>
  <si>
    <t>H47393759</t>
  </si>
  <si>
    <t>SALAS RODRIGUEZ</t>
  </si>
  <si>
    <t>ZARATE RIVERA</t>
  </si>
  <si>
    <t>GUSTAVO LUIS</t>
  </si>
  <si>
    <t>V04430616</t>
  </si>
  <si>
    <t>OPERADOR DE MIXER Y CAMIONETA</t>
  </si>
  <si>
    <t>PREMEZCLADO MOQUEGUA</t>
  </si>
  <si>
    <t>FLOR CURO</t>
  </si>
  <si>
    <t>SATURNINO JESUS</t>
  </si>
  <si>
    <t>J04438362</t>
  </si>
  <si>
    <t xml:space="preserve">  </t>
  </si>
  <si>
    <t>BECERRA QUISPE</t>
  </si>
  <si>
    <t>JUAN CIRIACO</t>
  </si>
  <si>
    <t>H29738350</t>
  </si>
  <si>
    <t>PREMEZCLADO LA JOYA</t>
  </si>
  <si>
    <t>FAUSTINO JOSE</t>
  </si>
  <si>
    <t>H29620154</t>
  </si>
  <si>
    <t>H71254599</t>
  </si>
  <si>
    <t>GUTIERREZ AGUIRRE</t>
  </si>
  <si>
    <t>PEDRO PABLO</t>
  </si>
  <si>
    <t>H29418472</t>
  </si>
  <si>
    <t>EGOM</t>
  </si>
  <si>
    <t>OPERADOR DE MIXER - BOMBA TELESCOPICA Y ESTACIONARIA - VEHICULO LIVIANO</t>
  </si>
  <si>
    <t>OPERADOR DE BOMBA ESTACIONARIA Y TELESCOPICA -CAMIONETA</t>
  </si>
  <si>
    <t>LUNA APAZA</t>
  </si>
  <si>
    <t>H43205724</t>
  </si>
  <si>
    <t>QUISPE NUÑEZ</t>
  </si>
  <si>
    <t>JAIME DAVID</t>
  </si>
  <si>
    <t>F43292226</t>
  </si>
  <si>
    <t>CARPIO HUARCAYA</t>
  </si>
  <si>
    <t>LUIS FELIX</t>
  </si>
  <si>
    <t>F21538400</t>
  </si>
  <si>
    <t>OPERADOR DE CISTERNA</t>
  </si>
  <si>
    <t>CRUZ ALCCA</t>
  </si>
  <si>
    <t>MARCOS ISAIAS</t>
  </si>
  <si>
    <t>J44245205</t>
  </si>
  <si>
    <t>F. EMISIÓN MTC</t>
  </si>
  <si>
    <t>F. DE EMISIÓN MTC</t>
  </si>
  <si>
    <t>F. CADUCIDAD MTC</t>
  </si>
  <si>
    <t>F.DE EMISIÓN SSMA</t>
  </si>
  <si>
    <t xml:space="preserve">QUILLI LLANQUE </t>
  </si>
  <si>
    <t>OPERADOR BOMBA ESTACIONARIA Y TELESCOPICA</t>
  </si>
  <si>
    <t>OJEDA CCAMAQUE</t>
  </si>
  <si>
    <t>WILBER SAMUEL</t>
  </si>
  <si>
    <t>H44830203</t>
  </si>
  <si>
    <t>A2 B</t>
  </si>
  <si>
    <t>YARASCA TARAZONA</t>
  </si>
  <si>
    <t>LUIS MARTIN</t>
  </si>
  <si>
    <t>JO4653641</t>
  </si>
  <si>
    <t>PREMEZCLADO ILO</t>
  </si>
  <si>
    <t>CASTRO ALBURQUEQUE</t>
  </si>
  <si>
    <t>ELVIS EFRAIN</t>
  </si>
  <si>
    <t>B40791591</t>
  </si>
  <si>
    <t>WILVER WILFREDO</t>
  </si>
  <si>
    <t>O4430616</t>
  </si>
  <si>
    <t>NEYRA ZAPANA</t>
  </si>
  <si>
    <t>HENRY JOSE</t>
  </si>
  <si>
    <t>H46499521</t>
  </si>
  <si>
    <t>TARQUI DIAZ</t>
  </si>
  <si>
    <t>DENNYS GIANCARLO</t>
  </si>
  <si>
    <t>H45482853</t>
  </si>
  <si>
    <t>OPERADOR DE BOMBA ESTACIONARIA Y TELESCOPICA</t>
  </si>
  <si>
    <t>MEDINA CARBAJAL</t>
  </si>
  <si>
    <t>ROYER JOSEPH</t>
  </si>
  <si>
    <t>H42157740</t>
  </si>
  <si>
    <t>VILCA OLANDA</t>
  </si>
  <si>
    <t>YEIZON ELISEO</t>
  </si>
  <si>
    <t>H44233717</t>
  </si>
  <si>
    <t>PREFABRICADOS DOVELAS</t>
  </si>
  <si>
    <t>OROCHE CALLASI</t>
  </si>
  <si>
    <t>ADOLFO JORGE</t>
  </si>
  <si>
    <t>H40976274</t>
  </si>
  <si>
    <t>AMESQUITA NINA</t>
  </si>
  <si>
    <t>PERCY RICHARD</t>
  </si>
  <si>
    <t>H42601408</t>
  </si>
  <si>
    <t>ALVARO OLIN</t>
  </si>
  <si>
    <t>HARDY GRANDBILL</t>
  </si>
  <si>
    <t>H71457545</t>
  </si>
  <si>
    <t>AQUINO LLUTARI</t>
  </si>
  <si>
    <t>K43764996</t>
  </si>
  <si>
    <t xml:space="preserve">OPERADOR DE CAMION GRUA Y CISTERNA </t>
  </si>
  <si>
    <t>PUMA TURPO</t>
  </si>
  <si>
    <t>JUAN EUCLES</t>
  </si>
  <si>
    <t>U41667273</t>
  </si>
  <si>
    <t>OPERADOR DE MIXER -CARGADOR FRONTAL - CAMIONETA - VOLQUETE</t>
  </si>
  <si>
    <t>PREMEZCLADO JULIACA</t>
  </si>
  <si>
    <t>O RH +</t>
  </si>
  <si>
    <t>O1263400</t>
  </si>
  <si>
    <t>UO1263400</t>
  </si>
  <si>
    <t>AGREGADOS LA PODEROSA</t>
  </si>
  <si>
    <t>CHAMPI QUISPE</t>
  </si>
  <si>
    <t>ELOY ANGEL</t>
  </si>
  <si>
    <t>H45395825</t>
  </si>
  <si>
    <t>RAVELO SARMIENTO</t>
  </si>
  <si>
    <t>DANIEL</t>
  </si>
  <si>
    <t>H80361444</t>
  </si>
  <si>
    <t>NUÑEZ FUENTES</t>
  </si>
  <si>
    <t>JESUS MAXIMO</t>
  </si>
  <si>
    <t>H45589816</t>
  </si>
  <si>
    <t>LOPEZ INGARUCA</t>
  </si>
  <si>
    <t>DARWIN ANDERSON</t>
  </si>
  <si>
    <t>P45692880</t>
  </si>
  <si>
    <t>QUISPE OVADA</t>
  </si>
  <si>
    <t>WILFREDO JESUS</t>
  </si>
  <si>
    <t>H46325437</t>
  </si>
  <si>
    <t>A3B PROFESIONAL</t>
  </si>
  <si>
    <t>JONATHAN</t>
  </si>
  <si>
    <t>H43971654</t>
  </si>
  <si>
    <t>A2a</t>
  </si>
  <si>
    <t>MACHACA QUISPE</t>
  </si>
  <si>
    <t>BENITO BELTRAN</t>
  </si>
  <si>
    <t>H47369295</t>
  </si>
  <si>
    <t>CONDO CHILLCA</t>
  </si>
  <si>
    <t>H70816425</t>
  </si>
  <si>
    <t>CAMARA DAZA</t>
  </si>
  <si>
    <t>GONZALO ANDRES</t>
  </si>
  <si>
    <t>H29736409</t>
  </si>
  <si>
    <t>AGREGADOS PODEROSA</t>
  </si>
  <si>
    <t>ALEJANDRO MATEO</t>
  </si>
  <si>
    <t>H71949127</t>
  </si>
  <si>
    <t>LOPEZ HUAYTANI</t>
  </si>
  <si>
    <t>QUISPE SALAS</t>
  </si>
  <si>
    <t>H45506975</t>
  </si>
  <si>
    <t>CHAMORRO CCOLQUE</t>
  </si>
  <si>
    <t>VIDAL</t>
  </si>
  <si>
    <t>H80467448</t>
  </si>
  <si>
    <t>MARIO MAGDALENO</t>
  </si>
  <si>
    <t>07933545</t>
  </si>
  <si>
    <t>H07933545</t>
  </si>
  <si>
    <t>OPERACIONES BOMBAS</t>
  </si>
  <si>
    <t xml:space="preserve"> OPERADOR DE MIXER - VOLQUETE - CAMION - BOMBA TELESCOPICA Y ESTACIONARIA  - VEHÍCULO LIVIANO-CAMION CISTERNA</t>
  </si>
  <si>
    <t>GLOBER REMY</t>
  </si>
  <si>
    <t>H43535234</t>
  </si>
  <si>
    <t>PREMEZCLADO QUELLAVECO</t>
  </si>
  <si>
    <t>SORIA CHAVEZ</t>
  </si>
  <si>
    <t>OPERADOR DE VOLQUETE - MIXER</t>
  </si>
  <si>
    <t>GARCIA ILAQUITA</t>
  </si>
  <si>
    <t>ROGELIO HUMBERTO</t>
  </si>
  <si>
    <t>U40709223</t>
  </si>
  <si>
    <t>SUCSO LIMACHI</t>
  </si>
  <si>
    <t>JUAN ANDRES</t>
  </si>
  <si>
    <t>U41362517</t>
  </si>
  <si>
    <t>CALISAYA OCHOCHOQUE</t>
  </si>
  <si>
    <t>EULOGIO</t>
  </si>
  <si>
    <t>O2421207</t>
  </si>
  <si>
    <t>UO2421207</t>
  </si>
  <si>
    <t>OPERADOR DE CAMION MIXER-VEHICULO LIVIANO</t>
  </si>
  <si>
    <t>RAMOS CONDORI</t>
  </si>
  <si>
    <t>JUAN RENE</t>
  </si>
  <si>
    <t>O1699413</t>
  </si>
  <si>
    <t>UO1699413</t>
  </si>
  <si>
    <t>CONDORI CARI</t>
  </si>
  <si>
    <t>GUALBERTO</t>
  </si>
  <si>
    <t>U44143819</t>
  </si>
  <si>
    <t>MORALES MAMANI</t>
  </si>
  <si>
    <t>ELISBAN</t>
  </si>
  <si>
    <t>K43404690</t>
  </si>
  <si>
    <t>ALVINO</t>
  </si>
  <si>
    <t>U4200044</t>
  </si>
  <si>
    <t>OHA MORALES</t>
  </si>
  <si>
    <t>JOEL HANS</t>
  </si>
  <si>
    <t>H43419773</t>
  </si>
  <si>
    <t>OPERADOR DE CAMION MIXER</t>
  </si>
  <si>
    <t>CONDORI TUNCO</t>
  </si>
  <si>
    <t>SANTIAGO RICHARD</t>
  </si>
  <si>
    <t>H29723537</t>
  </si>
  <si>
    <t>PREFABRICADOS DIAMANTE</t>
  </si>
  <si>
    <t>BUENO CORNEJO</t>
  </si>
  <si>
    <t>EMILIO JAVIER</t>
  </si>
  <si>
    <t>H29714222</t>
  </si>
  <si>
    <t>CHAUCA MESTAS</t>
  </si>
  <si>
    <t>FRANKY DANIEL</t>
  </si>
  <si>
    <t>H29729942</t>
  </si>
  <si>
    <t>OPERADOR DE VOLQUETE - CAMION CARRETA</t>
  </si>
  <si>
    <t>OPERADOR DE MONTACARGAS</t>
  </si>
  <si>
    <t>ACTIVOS FIJOS</t>
  </si>
  <si>
    <t>LIMACHE CUTIPA</t>
  </si>
  <si>
    <t>VICTOR WASHINGTON</t>
  </si>
  <si>
    <t>H43447971</t>
  </si>
  <si>
    <t>AGUILAR VILLAVICENCIO</t>
  </si>
  <si>
    <t>H29600923</t>
  </si>
  <si>
    <t xml:space="preserve"> QUELLAVECO</t>
  </si>
  <si>
    <t>CCALLOCONDO CHAVEZ</t>
  </si>
  <si>
    <t>H40674515</t>
  </si>
  <si>
    <t>GONZALES PARI</t>
  </si>
  <si>
    <t>HORLANDO JULIO</t>
  </si>
  <si>
    <t>H30675594</t>
  </si>
  <si>
    <t>TUPA VARGAYA</t>
  </si>
  <si>
    <t>EDGAR YASMANI</t>
  </si>
  <si>
    <t>H45214365</t>
  </si>
  <si>
    <t>MAMANI CALCINA</t>
  </si>
  <si>
    <t>ALAN ELVIS</t>
  </si>
  <si>
    <t>H42991411</t>
  </si>
  <si>
    <t>MELGAR VALLEJO</t>
  </si>
  <si>
    <t>Q29700033</t>
  </si>
  <si>
    <t>OPERADOR DE MIXER- CISTERNA-VEHICULO LIVIANO</t>
  </si>
  <si>
    <t>DIAZ PACHECO</t>
  </si>
  <si>
    <t>LUIS MANUEL</t>
  </si>
  <si>
    <t>H41768994</t>
  </si>
  <si>
    <t>COAQUIRA PAREDES</t>
  </si>
  <si>
    <t>FREDDY</t>
  </si>
  <si>
    <t>H45435764</t>
  </si>
  <si>
    <t>PREMEZCLADO CAMANA</t>
  </si>
  <si>
    <t>GARCIA ZUÑIGA</t>
  </si>
  <si>
    <t>PAUL TITO</t>
  </si>
  <si>
    <t>O4437814</t>
  </si>
  <si>
    <t>JO4437814</t>
  </si>
  <si>
    <t>COMERCIAL MOQUEGUA</t>
  </si>
  <si>
    <t>INQUILLA MAMANI</t>
  </si>
  <si>
    <t>RUFINO VIDAL</t>
  </si>
  <si>
    <t>H29684588</t>
  </si>
  <si>
    <t>OPERADOR DE CAMION CARRETA</t>
  </si>
  <si>
    <t xml:space="preserve">FLORES FLORES </t>
  </si>
  <si>
    <t>SANTOS AUGUSTO</t>
  </si>
  <si>
    <t>H45819677</t>
  </si>
  <si>
    <t>CCORIMANYA CHAÑI</t>
  </si>
  <si>
    <t>CRISTINA</t>
  </si>
  <si>
    <t>O2291086</t>
  </si>
  <si>
    <t>U02291086</t>
  </si>
  <si>
    <t>OPERADOR DE MIXER - CAMION CISTERNA - VEHICULO LIVIANO</t>
  </si>
  <si>
    <t>AGUSTIN ENRIQUE</t>
  </si>
  <si>
    <t>H29640155</t>
  </si>
  <si>
    <t>GOHERING TITO</t>
  </si>
  <si>
    <t>ANTHONY MICHAEL</t>
  </si>
  <si>
    <t>Z42631661</t>
  </si>
  <si>
    <t>CHUTA MAMANI</t>
  </si>
  <si>
    <t>JOHNNY VALENTIN</t>
  </si>
  <si>
    <t>H46045051</t>
  </si>
  <si>
    <t>GORBEÑA BUSTINZA</t>
  </si>
  <si>
    <t>HECTOR YONY</t>
  </si>
  <si>
    <t>H29363613</t>
  </si>
  <si>
    <t>CASTRO VILLALOBOS</t>
  </si>
  <si>
    <t>H41760308</t>
  </si>
  <si>
    <t>OPERADOR DE CAMION MIXER - CISTERNA DE AGUA</t>
  </si>
  <si>
    <t>DUEÑAS MARQUEZ</t>
  </si>
  <si>
    <t>CARLOS SANTIAGO</t>
  </si>
  <si>
    <t>K40018615</t>
  </si>
  <si>
    <t xml:space="preserve">OPERADOR CAMION MIXER - VOLQUETE -CISTERNA DE AGUA </t>
  </si>
  <si>
    <t>OPERADOR DE CAMION GRUA - VEHICULO LIVIANO</t>
  </si>
  <si>
    <t>OPERADOR DE  VOLQUETE - CISTERNA  DE  AGUA</t>
  </si>
  <si>
    <t xml:space="preserve">CONDORI SAIRE </t>
  </si>
  <si>
    <t>H23929100</t>
  </si>
  <si>
    <t>QUISPE CUBA</t>
  </si>
  <si>
    <t>H42546617</t>
  </si>
  <si>
    <t>OPERADOR DE VEHICULO LIVIANO - MONTACARAGAS</t>
  </si>
  <si>
    <t>JUAN GABRIEL</t>
  </si>
  <si>
    <t>H46010677</t>
  </si>
  <si>
    <t>OPERADOR DE MIXER- CISTERNA DE AGUA-VEHÍCULO LIVIANO</t>
  </si>
  <si>
    <t>VERA CARPIO</t>
  </si>
  <si>
    <t>EDWAR</t>
  </si>
  <si>
    <t>Z45143060</t>
  </si>
  <si>
    <t>RONDON RODRIGUEZ</t>
  </si>
  <si>
    <t>PAUL ALEXANDER</t>
  </si>
  <si>
    <t>COAQUIRA LIPA</t>
  </si>
  <si>
    <t>ENRIQUE FLORENCIO</t>
  </si>
  <si>
    <t>H29739117</t>
  </si>
  <si>
    <t>ARCE TALAVERA</t>
  </si>
  <si>
    <t>SALVADOR HIPOLITO</t>
  </si>
  <si>
    <t>FLORES MAYTA</t>
  </si>
  <si>
    <t>STALYN PIERRE</t>
  </si>
  <si>
    <t>H46908404</t>
  </si>
  <si>
    <t>OPERADOR DE VEHÍVULO LIVIANO</t>
  </si>
  <si>
    <t>H43714655</t>
  </si>
  <si>
    <t>A2A PROFESIONAL</t>
  </si>
  <si>
    <t>PREMEZCLADO PTAR</t>
  </si>
  <si>
    <t>H29242374</t>
  </si>
  <si>
    <t>OPERADOR DE CAMIÓN MIXER</t>
  </si>
  <si>
    <t>MONROY SALAZAR</t>
  </si>
  <si>
    <t>OSCAR AUGUSTO</t>
  </si>
  <si>
    <t>H45379545</t>
  </si>
  <si>
    <t>A2b</t>
  </si>
  <si>
    <t>PACO HANCCO</t>
  </si>
  <si>
    <t>RUDI</t>
  </si>
  <si>
    <t>H43691920</t>
  </si>
  <si>
    <t>A3c PROFESIONAL</t>
  </si>
  <si>
    <t>LOPEZ TICONA</t>
  </si>
  <si>
    <t>A3c</t>
  </si>
  <si>
    <t>H43411944</t>
  </si>
  <si>
    <t xml:space="preserve">TUCO CHOQUE </t>
  </si>
  <si>
    <t>LENIN EDER</t>
  </si>
  <si>
    <t>K46128787</t>
  </si>
  <si>
    <t>LENIN HUBER</t>
  </si>
  <si>
    <t>K46114121</t>
  </si>
  <si>
    <t>CHURATA QUISPE</t>
  </si>
  <si>
    <t>SANDRO PERCY</t>
  </si>
  <si>
    <t>H43309431</t>
  </si>
  <si>
    <t>SUPO ALFARO</t>
  </si>
  <si>
    <t>K47085629</t>
  </si>
  <si>
    <t>MALAGA LIMA</t>
  </si>
  <si>
    <t>GIAN CARLO</t>
  </si>
  <si>
    <t>H43161416</t>
  </si>
  <si>
    <t>OPERADOR DE EQUIPO LIVIANIO</t>
  </si>
  <si>
    <t>MAMANI MACEDO</t>
  </si>
  <si>
    <t>MILTON CESAR</t>
  </si>
  <si>
    <t>H42568344</t>
  </si>
  <si>
    <t>COAQUIRA HUAMANI</t>
  </si>
  <si>
    <t>ELIAS ELOY</t>
  </si>
  <si>
    <t>H30962421</t>
  </si>
  <si>
    <t>CUSI PARIAPAZA</t>
  </si>
  <si>
    <t>AUGUSTO ALEX</t>
  </si>
  <si>
    <t>H45674100</t>
  </si>
  <si>
    <t>GONGORA RODRIGUEZ</t>
  </si>
  <si>
    <t>GUILLERMO ENRIQUE</t>
  </si>
  <si>
    <t>H29709661</t>
  </si>
  <si>
    <t>MEZA PALOMINO</t>
  </si>
  <si>
    <t>HAROLD CELEDONIO</t>
  </si>
  <si>
    <t>H45907338</t>
  </si>
  <si>
    <t>OPERADOR DE EQUIPO LIVIANO</t>
  </si>
  <si>
    <t>APAZA CONSAMOLLO</t>
  </si>
  <si>
    <t>JAVIER MOISES</t>
  </si>
  <si>
    <t>H29644771</t>
  </si>
  <si>
    <t>AGREGADOS CERRO VERDE</t>
  </si>
  <si>
    <t>MACHUCA ARAGONEZ</t>
  </si>
  <si>
    <t>L41802774</t>
  </si>
  <si>
    <t>MANCILLA ORTIZ</t>
  </si>
  <si>
    <t>GUSTAVO ADOLFO</t>
  </si>
  <si>
    <t>H47247378</t>
  </si>
  <si>
    <t>NEGRON ACERO</t>
  </si>
  <si>
    <t>FRID JILVER</t>
  </si>
  <si>
    <t>H46668324</t>
  </si>
  <si>
    <t>A3b</t>
  </si>
  <si>
    <t>HUARCAYA MOLL</t>
  </si>
  <si>
    <t>RENE ANDRES</t>
  </si>
  <si>
    <t>H43698791</t>
  </si>
  <si>
    <t>CHAMBI DIAZ</t>
  </si>
  <si>
    <t>JUSTO GERMAN</t>
  </si>
  <si>
    <t>H29693348</t>
  </si>
  <si>
    <t>CHAIÑA NOA</t>
  </si>
  <si>
    <t>ROBERTO BELAYA</t>
  </si>
  <si>
    <t>H46287672</t>
  </si>
  <si>
    <t>HUAMAN AÑAMURO</t>
  </si>
  <si>
    <t>NESTOR RUFINO</t>
  </si>
  <si>
    <t>H42600018</t>
  </si>
  <si>
    <t>H43429289</t>
  </si>
  <si>
    <t>MAMANI CHARA</t>
  </si>
  <si>
    <t>FRANK GUBERT</t>
  </si>
  <si>
    <t>H46630899</t>
  </si>
  <si>
    <t>CUNO HUILLCA</t>
  </si>
  <si>
    <t>FIDEL DARWIN</t>
  </si>
  <si>
    <t>H42973311</t>
  </si>
  <si>
    <t>OPERADOR DE CARGARDOR FRONTAL</t>
  </si>
  <si>
    <t>QUISPE CCAPA</t>
  </si>
  <si>
    <t>ROGER</t>
  </si>
  <si>
    <t>Z43342296</t>
  </si>
  <si>
    <t>GOMEZ PARI</t>
  </si>
  <si>
    <t>JESUS VALENTIN</t>
  </si>
  <si>
    <t>H29627654</t>
  </si>
  <si>
    <t>CHUCTAYA HUAMANI</t>
  </si>
  <si>
    <t>GONZALO JHORDAN</t>
  </si>
  <si>
    <t>H72414803</t>
  </si>
  <si>
    <t>GAETE CASTRO</t>
  </si>
  <si>
    <t>SERGIO FRANCISCO</t>
  </si>
  <si>
    <t>OO1553041</t>
  </si>
  <si>
    <t>NAVARRO HUANCA</t>
  </si>
  <si>
    <t>BRANCO ENRIQUE</t>
  </si>
  <si>
    <t>H71865540</t>
  </si>
  <si>
    <t>ALVARO LAROSA</t>
  </si>
  <si>
    <t>CASQUINA CASQUINA</t>
  </si>
  <si>
    <t>HERNAN MOISES</t>
  </si>
  <si>
    <t>H30587060</t>
  </si>
  <si>
    <t>ALLAZO CHITE</t>
  </si>
  <si>
    <t>GONZALO FERNANDO</t>
  </si>
  <si>
    <t>H43205913</t>
  </si>
  <si>
    <t>OPERADPOR DE CARGADOR FRONTAL</t>
  </si>
  <si>
    <t>CARREON SONCCO</t>
  </si>
  <si>
    <t>BORIS FERNANDO</t>
  </si>
  <si>
    <t>H42886814</t>
  </si>
  <si>
    <t>CORDOVA MAMANI</t>
  </si>
  <si>
    <t>DANTE ARMANDO</t>
  </si>
  <si>
    <t>H73441176</t>
  </si>
  <si>
    <t>QUISPE CALLOAPAZA</t>
  </si>
  <si>
    <t>FREDDY ALBERTO</t>
  </si>
  <si>
    <t>H80322235</t>
  </si>
  <si>
    <t>CASANI HUAJARDO</t>
  </si>
  <si>
    <t>CARLOS FLORENCIO</t>
  </si>
  <si>
    <t>H42767054</t>
  </si>
  <si>
    <t>CACCIRE ALVAREZ</t>
  </si>
  <si>
    <t>ENZO</t>
  </si>
  <si>
    <t>H46571525</t>
  </si>
  <si>
    <t>MAMANI CUTIPA</t>
  </si>
  <si>
    <t>ROBELI</t>
  </si>
  <si>
    <t>H45650722</t>
  </si>
  <si>
    <t>OPERADOR  DE CARGADOR FRONTAL</t>
  </si>
  <si>
    <t>CALLA CHAMBI</t>
  </si>
  <si>
    <t>PABLO CESAR</t>
  </si>
  <si>
    <t>H80449998</t>
  </si>
  <si>
    <t>PALMA HERRERA</t>
  </si>
  <si>
    <t>CONCEPCION URVANO</t>
  </si>
  <si>
    <t>H48789641</t>
  </si>
  <si>
    <t>CUTIPA CANAZA</t>
  </si>
  <si>
    <t>U40055742</t>
  </si>
  <si>
    <t>k40448926</t>
  </si>
  <si>
    <t>LOPEZ PAREDES</t>
  </si>
  <si>
    <t>H29665686</t>
  </si>
  <si>
    <t>RECURSOS HUMANOS</t>
  </si>
  <si>
    <t>JUAN CARLOS LOPEZ PAREDES</t>
  </si>
  <si>
    <t>YHUI JORDAN</t>
  </si>
  <si>
    <t>H42271460</t>
  </si>
  <si>
    <t xml:space="preserve">CHOQUE MAMANI </t>
  </si>
  <si>
    <t>YUBER HERMENEGILDO</t>
  </si>
  <si>
    <t>H46328760</t>
  </si>
  <si>
    <t>HUAMANVILCA CORRALES</t>
  </si>
  <si>
    <t>H40173276</t>
  </si>
  <si>
    <t>CHACNAMA LLAMOCCA</t>
  </si>
  <si>
    <t>H42616094</t>
  </si>
  <si>
    <t xml:space="preserve">AGREGADOS </t>
  </si>
  <si>
    <t>JHON LENY</t>
  </si>
  <si>
    <t>H45410739</t>
  </si>
  <si>
    <t>PREMEZCLADO CARACOTO</t>
  </si>
  <si>
    <t>CAPIA MAMANI</t>
  </si>
  <si>
    <t>H41764046</t>
  </si>
  <si>
    <t>CHIVIGORRI CRUZ</t>
  </si>
  <si>
    <t>JAIME RIVEL</t>
  </si>
  <si>
    <t>H40399909</t>
  </si>
  <si>
    <t>HUARILLOCLLA ROSAS</t>
  </si>
  <si>
    <t>HILARIO</t>
  </si>
  <si>
    <t>O2148166</t>
  </si>
  <si>
    <t>H02148166</t>
  </si>
  <si>
    <t>PREMEZCLADO BATEAS</t>
  </si>
  <si>
    <t xml:space="preserve">CRUZ QUISPE </t>
  </si>
  <si>
    <t>EDDY BENIGNO</t>
  </si>
  <si>
    <t>H47525452</t>
  </si>
  <si>
    <t>OPERADOR DE CARGADR FRONTAL - MONTACARGA</t>
  </si>
  <si>
    <t xml:space="preserve">ALEGRE NINA </t>
  </si>
  <si>
    <t>JUAN ERICK</t>
  </si>
  <si>
    <t>H46585628</t>
  </si>
  <si>
    <t>FLORES OCHOA</t>
  </si>
  <si>
    <t>NELSON CRISTOBAL</t>
  </si>
  <si>
    <t>H43312384</t>
  </si>
  <si>
    <t xml:space="preserve">APFATA HUAYHUA </t>
  </si>
  <si>
    <t>H42809947</t>
  </si>
  <si>
    <t xml:space="preserve">A3B </t>
  </si>
  <si>
    <t>LINARES REYES</t>
  </si>
  <si>
    <t>BILL JACKSON</t>
  </si>
  <si>
    <t>H72287639</t>
  </si>
  <si>
    <t>OPERADOR DE VOLQUETE - TRACTOR ORUGA - EQUIPO LIVIANO</t>
  </si>
  <si>
    <t>OPERADOR DE VOLQUETE - MIXER- CARGADOR FRONTAL</t>
  </si>
  <si>
    <t>OPERADOR DE MIXER -EQUIPO LIVIANO - CISTERNA DE AGUA</t>
  </si>
  <si>
    <t>OPERADOR DE MIXER -  VOLQUETE - EQUIPO LIVIANO</t>
  </si>
  <si>
    <t>OPERADOR DE CAMION MIXER - CISTERNA DE AGUA-CAMIONETA</t>
  </si>
  <si>
    <t>TINUCO HUAMAN</t>
  </si>
  <si>
    <t>NELSON</t>
  </si>
  <si>
    <t>H44423869</t>
  </si>
  <si>
    <t>OCHOA VARGAS</t>
  </si>
  <si>
    <t>YHERZIÑO</t>
  </si>
  <si>
    <t>H45456208</t>
  </si>
  <si>
    <t>RUIZ ALARCON</t>
  </si>
  <si>
    <t>ALEXANDER ELVIS</t>
  </si>
  <si>
    <t>H43547024</t>
  </si>
  <si>
    <t>MAXIMO VELEZ</t>
  </si>
  <si>
    <t>PORTILLA OTAZU</t>
  </si>
  <si>
    <t>ALFONSO CESAR</t>
  </si>
  <si>
    <t>H41642726</t>
  </si>
  <si>
    <t>ROSADO FRANCO</t>
  </si>
  <si>
    <t>RENZO FRANCISCO</t>
  </si>
  <si>
    <t>H42787027</t>
  </si>
  <si>
    <t>MACHACA MACHACA</t>
  </si>
  <si>
    <t>DANILO WALTER</t>
  </si>
  <si>
    <t>H44621055</t>
  </si>
  <si>
    <t>AGÜERO ANCALLA</t>
  </si>
  <si>
    <t>ELMER</t>
  </si>
  <si>
    <t>H42138121</t>
  </si>
  <si>
    <t>HUILLCA QUISPE</t>
  </si>
  <si>
    <t>FRANKLIN</t>
  </si>
  <si>
    <t>Z48017511</t>
  </si>
  <si>
    <t>MANTENIMIENTO CUSCO</t>
  </si>
  <si>
    <t>VILCA PINTO</t>
  </si>
  <si>
    <t>YUBER MAXIMILIANO</t>
  </si>
  <si>
    <t>U70340665</t>
  </si>
  <si>
    <t>FLORES ALANOCA</t>
  </si>
  <si>
    <t>U43188679</t>
  </si>
  <si>
    <t xml:space="preserve">DEZA LEON </t>
  </si>
  <si>
    <t>GENRRY</t>
  </si>
  <si>
    <t>U40941386</t>
  </si>
  <si>
    <t>VELIZ PROAÑO</t>
  </si>
  <si>
    <t>MAXIMO RICARDO</t>
  </si>
  <si>
    <t>Q40103053</t>
  </si>
  <si>
    <t>DIAZ HUAMAN</t>
  </si>
  <si>
    <t>H43212927</t>
  </si>
  <si>
    <t>PUCHO CONDE</t>
  </si>
  <si>
    <t>HUGO AMERICO</t>
  </si>
  <si>
    <t>U42391901</t>
  </si>
  <si>
    <t>CHAMBI MAMANI</t>
  </si>
  <si>
    <t>BIENVENIDO</t>
  </si>
  <si>
    <t>H29437302</t>
  </si>
  <si>
    <t>OPERADOR DE BOMBA TELESCÓPICA</t>
  </si>
  <si>
    <t>SULLCA LEON</t>
  </si>
  <si>
    <t>REYNALDO LEONIDAS</t>
  </si>
  <si>
    <t>U41960242</t>
  </si>
  <si>
    <t>COAQUIRA COAQUIRA</t>
  </si>
  <si>
    <t>HIDALGO MAMANI</t>
  </si>
  <si>
    <t>ADDERLY</t>
  </si>
  <si>
    <t>U45146008</t>
  </si>
  <si>
    <t>PREMEZCLADO CUSCO</t>
  </si>
  <si>
    <t>CRUZ LUNA</t>
  </si>
  <si>
    <t>Z23886936</t>
  </si>
  <si>
    <t>TITO ZANABRIA</t>
  </si>
  <si>
    <t>FRISH</t>
  </si>
  <si>
    <t>Z43195229</t>
  </si>
  <si>
    <t>VALDEZ ORDOÑEZ</t>
  </si>
  <si>
    <t>WILSON ERICK</t>
  </si>
  <si>
    <t>Z45314535</t>
  </si>
  <si>
    <t xml:space="preserve">FERNANDEZ REGALADO </t>
  </si>
  <si>
    <t>SEGUNDO ALBERTO</t>
  </si>
  <si>
    <t>C16795395</t>
  </si>
  <si>
    <t>U47437992</t>
  </si>
  <si>
    <t>PALAO PINAREZ</t>
  </si>
  <si>
    <t>GERWER SANTOS</t>
  </si>
  <si>
    <t>H42687467</t>
  </si>
  <si>
    <t>GUZMAN CHAVEZ</t>
  </si>
  <si>
    <t>ELEAZAR OCTAVIO</t>
  </si>
  <si>
    <t>H45195975</t>
  </si>
  <si>
    <t>ARAPA HUANCA</t>
  </si>
  <si>
    <t>HECTOR EFRAIN</t>
  </si>
  <si>
    <t>Q43992282</t>
  </si>
  <si>
    <t>DAVILA ZUÑIGA</t>
  </si>
  <si>
    <t>H45596708</t>
  </si>
  <si>
    <t>DE LA CRUZ LOPEZ</t>
  </si>
  <si>
    <t>JHONY SANTOS</t>
  </si>
  <si>
    <t>H43484938</t>
  </si>
  <si>
    <t>CESPEDES VASQUEZ</t>
  </si>
  <si>
    <t>JOSE ARNALDO</t>
  </si>
  <si>
    <t>C45257855</t>
  </si>
  <si>
    <t>HUAMANI CONDO</t>
  </si>
  <si>
    <t>SILVER</t>
  </si>
  <si>
    <t>H46290697</t>
  </si>
  <si>
    <t>MENDOZA NIEBLES</t>
  </si>
  <si>
    <t>RENE ALFREDO</t>
  </si>
  <si>
    <t>H29661358</t>
  </si>
  <si>
    <t>ANCCO NINA</t>
  </si>
  <si>
    <t>JORGE RICHARD</t>
  </si>
  <si>
    <t>H43178568</t>
  </si>
  <si>
    <t>OPERADOR BOMBA ESTACIONARIA - BOMBA TELESCÓPICA -  VEHICULO LIVIANO</t>
  </si>
  <si>
    <t>HERRERA SALAZAR</t>
  </si>
  <si>
    <t>VISNUPADA DASA</t>
  </si>
  <si>
    <t>H43476354</t>
  </si>
  <si>
    <t>FLOREZ CAMACHO</t>
  </si>
  <si>
    <t>KENYI ENRIQUE</t>
  </si>
  <si>
    <t>H46436204</t>
  </si>
  <si>
    <t>SURCO SURCO</t>
  </si>
  <si>
    <t>SAMUEL</t>
  </si>
  <si>
    <t>Z40854499</t>
  </si>
  <si>
    <t>MAMANI HUILCA</t>
  </si>
  <si>
    <t>Z42931189</t>
  </si>
  <si>
    <t>GUILLEN HERRERA</t>
  </si>
  <si>
    <t>BETZY LIZETH</t>
  </si>
  <si>
    <t>H43178609</t>
  </si>
  <si>
    <t>PREFABRICADOS YURA</t>
  </si>
  <si>
    <t>SUCASACA MAMANI</t>
  </si>
  <si>
    <t>H48150806</t>
  </si>
  <si>
    <t>MANTENIMIENTO YURA</t>
  </si>
  <si>
    <t>MAXIMJO VELIZ</t>
  </si>
  <si>
    <t>COLQUE MAMANI</t>
  </si>
  <si>
    <t>H42833709</t>
  </si>
  <si>
    <t>OPERADOR DE MIKXER</t>
  </si>
  <si>
    <t>CALCINA QUISPE</t>
  </si>
  <si>
    <t>WILI SAUL</t>
  </si>
  <si>
    <t>H41644185</t>
  </si>
  <si>
    <t>PREMEZCLADO  GLORIA</t>
  </si>
  <si>
    <t>PASTOR CARBAJAL</t>
  </si>
  <si>
    <t>JOSE ARTURO</t>
  </si>
  <si>
    <t>H45230891</t>
  </si>
  <si>
    <t>ROLDAN ZELADA</t>
  </si>
  <si>
    <t>HELAR DANIEL</t>
  </si>
  <si>
    <t>O4653458</t>
  </si>
  <si>
    <t>KO4653458</t>
  </si>
  <si>
    <t>MANCHEGO QUISPE</t>
  </si>
  <si>
    <t>EFRAIN EDGARDO</t>
  </si>
  <si>
    <t>H29598064</t>
  </si>
  <si>
    <t>MANTENIMIENTO AGREGADOS 4</t>
  </si>
  <si>
    <t>BOLAÑOS CALLA</t>
  </si>
  <si>
    <t>H41817005</t>
  </si>
  <si>
    <t>ADOLFO ZENON</t>
  </si>
  <si>
    <t>H29735535</t>
  </si>
  <si>
    <t>ZEBALLOS CASTRO</t>
  </si>
  <si>
    <t>H29473038</t>
  </si>
  <si>
    <t>OPERADOR DE MIXER- CISTERNA-EQUIPO LIVIANO</t>
  </si>
  <si>
    <t>CHIRINOS URDAY</t>
  </si>
  <si>
    <t>JAIME ALONSO</t>
  </si>
  <si>
    <t>H29621006</t>
  </si>
  <si>
    <t>BENDITA JIMENEZ</t>
  </si>
  <si>
    <t>H43040676</t>
  </si>
  <si>
    <t>CALLATA PARISUAÑA</t>
  </si>
  <si>
    <t>WALTER DENIS</t>
  </si>
  <si>
    <t>U44179649</t>
  </si>
  <si>
    <t>DELGADO VALDIVIA</t>
  </si>
  <si>
    <t>JORGE MIGUEL</t>
  </si>
  <si>
    <t>H30842289</t>
  </si>
  <si>
    <t>VIZA AYAMAMANI</t>
  </si>
  <si>
    <t>H40307124</t>
  </si>
  <si>
    <t>TITO PEREZ</t>
  </si>
  <si>
    <t>H40709300</t>
  </si>
  <si>
    <t>URRUTIA CCORI</t>
  </si>
  <si>
    <t>ALFREDO SANTOS</t>
  </si>
  <si>
    <t>H44428446</t>
  </si>
  <si>
    <t>MAXIMO VELIZ</t>
  </si>
  <si>
    <t>BUSTAMANTE MEDINA</t>
  </si>
  <si>
    <t>DIEGO MARTIN</t>
  </si>
  <si>
    <t>H43226833</t>
  </si>
  <si>
    <t xml:space="preserve">CASTAÑEDA LAURA </t>
  </si>
  <si>
    <t>ANGEL EDUARDO</t>
  </si>
  <si>
    <t>H44819842</t>
  </si>
  <si>
    <t>PREMEZCLADO CERRO VERDE</t>
  </si>
  <si>
    <t>CHAVEZ PACHECO</t>
  </si>
  <si>
    <t>LUIS FELIPE AARON</t>
  </si>
  <si>
    <t>H41562267</t>
  </si>
  <si>
    <t xml:space="preserve">MANTARI ORTIZ </t>
  </si>
  <si>
    <t>EDY CARLITOS</t>
  </si>
  <si>
    <t>H42554624</t>
  </si>
  <si>
    <t>OPERADOR DE EQUIPO LIVIANO-RETROEXCAVADORA-CARGADOR FRONTAL-MONTACARGA</t>
  </si>
  <si>
    <t>ICHOCAN QUISPE</t>
  </si>
  <si>
    <t>WILLY JAVIER</t>
  </si>
  <si>
    <t>H29636974</t>
  </si>
  <si>
    <t>LUQUE MENDOZA</t>
  </si>
  <si>
    <t>RAMIRO ALAN</t>
  </si>
  <si>
    <t>H45907882</t>
  </si>
  <si>
    <t>LOPEZ COLQUE</t>
  </si>
  <si>
    <t>WAGNER EVERALDO</t>
  </si>
  <si>
    <t>H43479785</t>
  </si>
  <si>
    <t>PAREDES OBANDO</t>
  </si>
  <si>
    <t>FREDDY ANTHONY</t>
  </si>
  <si>
    <t>H48053516</t>
  </si>
  <si>
    <t>PEREZ SALAZAR</t>
  </si>
  <si>
    <t>DIEGO ALONSO</t>
  </si>
  <si>
    <t>H44104470</t>
  </si>
  <si>
    <t>LEON CRISOSTOMO</t>
  </si>
  <si>
    <t>JERRY WILLIAM</t>
  </si>
  <si>
    <t>Q70767018</t>
  </si>
  <si>
    <t>LINARES GALLARDO</t>
  </si>
  <si>
    <t>FERNANDO DANIEL</t>
  </si>
  <si>
    <t>K40391229</t>
  </si>
  <si>
    <t xml:space="preserve">OPERADOR DE BOMBA ESTACIONARIA </t>
  </si>
  <si>
    <t>MOISES EDMUNDO</t>
  </si>
  <si>
    <t>U42044636</t>
  </si>
  <si>
    <t>OPERADOR DE BOMBA ESTACIONARIA -BOMBA TELESCOPICA - EQUIPO LIVIANO</t>
  </si>
  <si>
    <t>OPERADOR DE CISTERNA DE AGUA-VOLQUETE-EQUIPO LIVIANO</t>
  </si>
  <si>
    <t>OPERADOR DE MIXER - EQUIPO LIVIANO</t>
  </si>
  <si>
    <t>MARIÑO ORTIZ</t>
  </si>
  <si>
    <t>WILBERT HUMBERTO</t>
  </si>
  <si>
    <t>H42647787</t>
  </si>
  <si>
    <t>GUILLEN BARRIOS</t>
  </si>
  <si>
    <t>DANIEL ALBERTO</t>
  </si>
  <si>
    <t>H44755174</t>
  </si>
  <si>
    <t>SANDAGORDA CCOYORI</t>
  </si>
  <si>
    <t>H80216108</t>
  </si>
  <si>
    <t>OPERADOR DE VOLQUETE - CISTERNA DE AGUA</t>
  </si>
  <si>
    <t>H41068236</t>
  </si>
  <si>
    <t>OPERADOR DE MIXER - EQUIPO LIVIANO - CISTERNA DE AGUA</t>
  </si>
  <si>
    <t>QUISPE SURCO</t>
  </si>
  <si>
    <t>RIVER</t>
  </si>
  <si>
    <t>U45581042</t>
  </si>
  <si>
    <t>OPERADOR DE EQUIPO LIVIANO - MONTACARGAS</t>
  </si>
  <si>
    <t>DE LA O IRAHETA</t>
  </si>
  <si>
    <t>PABLO ANTONIO</t>
  </si>
  <si>
    <t>H47237581</t>
  </si>
  <si>
    <t>OPERADOR DE CAMIONETA - BOMBA ESTACIONARIA Y TELESCOPICA - CAMIÓN</t>
  </si>
  <si>
    <t>OPERADOR DE VOLQUETE - CAMIONETA</t>
  </si>
  <si>
    <t>ADER JONEL</t>
  </si>
  <si>
    <t>H45126915</t>
  </si>
  <si>
    <t>AGREGADOS 4 CERRO VERDE</t>
  </si>
  <si>
    <t>APAZA RAMOS</t>
  </si>
  <si>
    <t>PEDRO PASCUAL</t>
  </si>
  <si>
    <t>O1318775</t>
  </si>
  <si>
    <t>H01318775</t>
  </si>
  <si>
    <t>FRANCO CHURATA</t>
  </si>
  <si>
    <t>CRISTIAN BREMMEN</t>
  </si>
  <si>
    <t>H73332828</t>
  </si>
  <si>
    <t>APAZA HERNANI</t>
  </si>
  <si>
    <t>RICHARD JOHNNY</t>
  </si>
  <si>
    <t>H41856858</t>
  </si>
  <si>
    <t>GAMARRA ESPETIA</t>
  </si>
  <si>
    <t>PATRICIO</t>
  </si>
  <si>
    <t>H42547611</t>
  </si>
  <si>
    <t>FLORES CASTRO</t>
  </si>
  <si>
    <t>NAZARIO</t>
  </si>
  <si>
    <t>H29354137</t>
  </si>
  <si>
    <t>CHURATA ZARATE</t>
  </si>
  <si>
    <t>H46883436</t>
  </si>
  <si>
    <t>MEDIO AMBIENTE</t>
  </si>
  <si>
    <t>RODRIGO WONG</t>
  </si>
  <si>
    <t>MAMANI APAZA</t>
  </si>
  <si>
    <t>H29466534</t>
  </si>
  <si>
    <t>OPERADOR DE MIXER - VOLQUETE - CISTERNA DE AGUA - CAMIONETA</t>
  </si>
  <si>
    <t>CARRERA CAHUADA</t>
  </si>
  <si>
    <t>YVAN JESUS</t>
  </si>
  <si>
    <t>H73601941</t>
  </si>
  <si>
    <t>LUQUE OJEDA</t>
  </si>
  <si>
    <t>GINO MAURICIO</t>
  </si>
  <si>
    <t>H29687856</t>
  </si>
  <si>
    <t>OPERADOR CARGADOR FRONTAL - VOLQUETE</t>
  </si>
  <si>
    <t>PODEROSA</t>
  </si>
  <si>
    <t>HUAMAN QUISPE</t>
  </si>
  <si>
    <t>GONZALO WILLIAM</t>
  </si>
  <si>
    <t>H44045116</t>
  </si>
  <si>
    <t xml:space="preserve">OPERADOR DE MONTACARGAS </t>
  </si>
  <si>
    <t>MACHACA CONDORI</t>
  </si>
  <si>
    <t>GLEDY</t>
  </si>
  <si>
    <t>H44830126</t>
  </si>
  <si>
    <t>SILLO CALLATA</t>
  </si>
  <si>
    <t>FERMIN URIEL</t>
  </si>
  <si>
    <t>H70480175</t>
  </si>
  <si>
    <t>HUANCA VALDEON</t>
  </si>
  <si>
    <t>JESUS VICTOR</t>
  </si>
  <si>
    <t>H45676111</t>
  </si>
  <si>
    <t>DOVELAS</t>
  </si>
  <si>
    <t>RAMOS PORTO</t>
  </si>
  <si>
    <t>VICTOR ANDRE</t>
  </si>
  <si>
    <t>H41791097</t>
  </si>
  <si>
    <t>VARIANTE PREMEZCLADO</t>
  </si>
  <si>
    <t>SALAZAR OLANDA</t>
  </si>
  <si>
    <t>JOEL RODRIGO</t>
  </si>
  <si>
    <t>H45263434</t>
  </si>
  <si>
    <t>FREDY MANUEL</t>
  </si>
  <si>
    <t>H44292764</t>
  </si>
  <si>
    <t>JORGES 3</t>
  </si>
  <si>
    <t>CHURA HUALPA</t>
  </si>
  <si>
    <t>JUAN RICHARD</t>
  </si>
  <si>
    <t>K44201650</t>
  </si>
  <si>
    <t>PREMEZCLADO GLORIA</t>
  </si>
  <si>
    <t>MAURICIO JESUS</t>
  </si>
  <si>
    <t>H40782321</t>
  </si>
  <si>
    <t>OPERADOR DE MIXER -CAMIONETA -BOMBA TELESCOPICA</t>
  </si>
  <si>
    <t>Q09630348</t>
  </si>
  <si>
    <t>O+ Rh POSITIVO</t>
  </si>
  <si>
    <t>AGREGADOS JORGES 3</t>
  </si>
  <si>
    <t>GALLEGOS YQUIRA</t>
  </si>
  <si>
    <t>H41238909</t>
  </si>
  <si>
    <t>H45525076</t>
  </si>
  <si>
    <t>CHIRINOS GUERRA</t>
  </si>
  <si>
    <t>ANTONIETA LORENA</t>
  </si>
  <si>
    <t>H40694429</t>
  </si>
  <si>
    <t>OPERADOR DE MIXER - VOLQUETE - CAMIONETA</t>
  </si>
  <si>
    <t>YERETH EMMANUEL</t>
  </si>
  <si>
    <t>OPERADOR DE MONTACARGA Y CAMIONETA</t>
  </si>
  <si>
    <t>OPERADOR DE MIXER-VOLQUETE-EQUIPO LIVIANO-CISTERNA DE AGUA-BOMBA TELESCOPICA</t>
  </si>
  <si>
    <t xml:space="preserve">OPERADOR DE MIXER - CAMIONETA-CISTERNA DE AGUA </t>
  </si>
  <si>
    <t>HANCCO ALARCON</t>
  </si>
  <si>
    <t>PERCY UBALDO</t>
  </si>
  <si>
    <t>H41800655</t>
  </si>
  <si>
    <t xml:space="preserve"> MANEJO DEFENSIVO - INDUCCIÓN DE SSMA</t>
  </si>
  <si>
    <t>PANCA CHARCA</t>
  </si>
  <si>
    <t>EDGAR ABEL</t>
  </si>
  <si>
    <t>H44472289</t>
  </si>
  <si>
    <t>JOSEC TURPO</t>
  </si>
  <si>
    <t>H47330965</t>
  </si>
  <si>
    <t>APARICIO QUISPE</t>
  </si>
  <si>
    <t>WASHINGTON CAYETANO</t>
  </si>
  <si>
    <t>H45787651</t>
  </si>
  <si>
    <t>OPERADOR DE VOLQUETE - CAMIONETA -CISTERNA COMBUSTIBLE</t>
  </si>
  <si>
    <t>MARTINEZ CONTRERAS</t>
  </si>
  <si>
    <t>D18068173</t>
  </si>
  <si>
    <t>OPERADOR DE MIXER-BOMBA ESTACIONARIA-BOMBA TELESCOPICA</t>
  </si>
  <si>
    <t>PREMEZCLADO PUERTO MALDONADO</t>
  </si>
  <si>
    <t>VARGAS AYQUI</t>
  </si>
  <si>
    <t>U72197710</t>
  </si>
  <si>
    <t xml:space="preserve">      OPERADOR DE CARGADOR FRONTAL</t>
  </si>
  <si>
    <t xml:space="preserve">OPERADOR DE VOLQUETE Y CAMIONETA </t>
  </si>
  <si>
    <t>VALDIVIA CHECA</t>
  </si>
  <si>
    <t>MARIO GERARDO</t>
  </si>
  <si>
    <t>H80358371</t>
  </si>
  <si>
    <t>OPERADOR DE VOLQUETE Y CISTERNA DE AGUA</t>
  </si>
  <si>
    <t>RODRIGUEZ DEL CARPIO</t>
  </si>
  <si>
    <t>JONATHAN RAY</t>
  </si>
  <si>
    <t>H41147065</t>
  </si>
  <si>
    <t>ARESTEGUI  CATACORA</t>
  </si>
  <si>
    <t>JORGE POUL</t>
  </si>
  <si>
    <t>H41282376</t>
  </si>
  <si>
    <t>BONIFACIO LLOCLLA</t>
  </si>
  <si>
    <t>ISAAC EDUARDO</t>
  </si>
  <si>
    <t>H46031685</t>
  </si>
  <si>
    <t>CORDOVA QUIROZ</t>
  </si>
  <si>
    <t>ALEJANDRO ALBERTO</t>
  </si>
  <si>
    <t>Q40829701</t>
  </si>
  <si>
    <t>ESTRADA QUISPE</t>
  </si>
  <si>
    <t>Z25139999</t>
  </si>
  <si>
    <t xml:space="preserve">MINSUR </t>
  </si>
  <si>
    <t>CHIPA TEJADA</t>
  </si>
  <si>
    <t>VALERIO ALEJANDRO</t>
  </si>
  <si>
    <t>H72290996</t>
  </si>
  <si>
    <t>ALMACEN</t>
  </si>
  <si>
    <t>AREA</t>
  </si>
  <si>
    <t>CRISTIAN URIBE</t>
  </si>
  <si>
    <t>CAÑARI CAÑARI</t>
  </si>
  <si>
    <t>Z45285709</t>
  </si>
  <si>
    <t>A3 C PROFESIONAL</t>
  </si>
  <si>
    <t>JOSE VIEIRA</t>
  </si>
  <si>
    <t>OPERADOR BOMBA ESTACIONARIA - BOMBA TELESCOPICA  -  CAMIONETA</t>
  </si>
  <si>
    <t>USO DE LENTES</t>
  </si>
  <si>
    <t>PATRICIA DEL CARPIO</t>
  </si>
  <si>
    <t>GINO LUQUE</t>
  </si>
  <si>
    <t>OPERADOR DE MIXER  -CAMIONETA-VOLQUETE-CISTERNA-BOMBA</t>
  </si>
  <si>
    <t>CARGADOR FRONTAL</t>
  </si>
  <si>
    <t>OPERADOR DE BOMBA TELESCOPICA - CAMIONETA</t>
  </si>
  <si>
    <t>OPERADOR BOMBA TELESCOPICA - CAMIONETA</t>
  </si>
  <si>
    <t xml:space="preserve">MANEJO DEFENSIVO </t>
  </si>
  <si>
    <t>CARGO</t>
  </si>
  <si>
    <t>LICENCIA  INTERNA DE  CONDUCIR</t>
  </si>
  <si>
    <t xml:space="preserve">Nota: Esta licencia constituye un permiso interno obligatorio según RISSO.Incumplir este requisito se considera una FALTA MUY GRAVE </t>
  </si>
  <si>
    <t>MANEJO DEFENSIVO</t>
  </si>
  <si>
    <t>NINGUNA</t>
  </si>
  <si>
    <t xml:space="preserve"> CARGADOR FRONTAL</t>
  </si>
  <si>
    <t>OPERADOR CARGADOR F.</t>
  </si>
  <si>
    <t>H29622428</t>
  </si>
  <si>
    <t>VOLQUETE</t>
  </si>
  <si>
    <t>VERA CALLAÑAUPA</t>
  </si>
  <si>
    <t>H45076865</t>
  </si>
  <si>
    <t>EDWING</t>
  </si>
  <si>
    <t>ALEX</t>
  </si>
  <si>
    <t xml:space="preserve">GINO LUQUE </t>
  </si>
  <si>
    <t>OPERADOR CISTERNA AGUA</t>
  </si>
  <si>
    <t xml:space="preserve"> MIXER</t>
  </si>
  <si>
    <t xml:space="preserve"> MIXER Y CAMIONETA</t>
  </si>
  <si>
    <t>PINO SANTOS</t>
  </si>
  <si>
    <t xml:space="preserve"> MAX ARTURO</t>
  </si>
  <si>
    <t>Z43763960</t>
  </si>
  <si>
    <t>VIEIRA RODRIGUEZ</t>
  </si>
  <si>
    <t>JOSE MANUEL</t>
  </si>
  <si>
    <t>H001917113</t>
  </si>
  <si>
    <t>OMAR CUEVA</t>
  </si>
  <si>
    <t>OO1917113</t>
  </si>
  <si>
    <t>SUPERINTENDENTE  AGREG.</t>
  </si>
  <si>
    <t>JAUJA CASQUINA</t>
  </si>
  <si>
    <t>DIEVE</t>
  </si>
  <si>
    <t>H47024625</t>
  </si>
  <si>
    <t>CAMIÓN 8 TONELADAS</t>
  </si>
  <si>
    <t>OPERADOR CAMION</t>
  </si>
  <si>
    <t xml:space="preserve"> VOLQUETE Y CAMIONETA</t>
  </si>
  <si>
    <t>MOGROVEJO LUQUE</t>
  </si>
  <si>
    <t>REYNALDO JULIO</t>
  </si>
  <si>
    <t>U41539924</t>
  </si>
  <si>
    <t>BOMBA TELESCOPICA - CAMIONETA</t>
  </si>
  <si>
    <t>BOMBAS VARIANTE</t>
  </si>
  <si>
    <t>OPERADOR DE BOMBA</t>
  </si>
  <si>
    <t xml:space="preserve">CURASI AQUINO </t>
  </si>
  <si>
    <t>DEMETRIO</t>
  </si>
  <si>
    <t>OPERADOR DE CARGADOR F.</t>
  </si>
  <si>
    <t xml:space="preserve">MERMA ARONE </t>
  </si>
  <si>
    <t>JOSE FERNANDO</t>
  </si>
  <si>
    <t>O POSITIVO</t>
  </si>
  <si>
    <t>Z45899882</t>
  </si>
  <si>
    <t>CAMIONETA</t>
  </si>
  <si>
    <t>MANTENIMIENTO WANCHAQ</t>
  </si>
  <si>
    <t>MECÁNICO</t>
  </si>
  <si>
    <t xml:space="preserve"> MIXER - CAMIONETA Y VOLQUETE</t>
  </si>
  <si>
    <t>MACHACA PELAEZ</t>
  </si>
  <si>
    <t>EDGAR HERNAN</t>
  </si>
  <si>
    <t>H43188443</t>
  </si>
  <si>
    <t>CALIDAD GLORIA</t>
  </si>
  <si>
    <t>PATRICIA CARPIO</t>
  </si>
  <si>
    <t>LABORATORISTA DE PLANTA</t>
  </si>
  <si>
    <t xml:space="preserve">   </t>
  </si>
  <si>
    <t>MIXER Y CAMIONETA</t>
  </si>
  <si>
    <t>QUISPE CONDORI</t>
  </si>
  <si>
    <t>NEIL RUBEN</t>
  </si>
  <si>
    <t>Z24887042</t>
  </si>
  <si>
    <t>MARQUEZ ZUÑIGA</t>
  </si>
  <si>
    <t>EDGARD JULIO</t>
  </si>
  <si>
    <t>H29469218</t>
  </si>
  <si>
    <t>CHOQUE FLORES</t>
  </si>
  <si>
    <t>J29482370</t>
  </si>
  <si>
    <t>MIXER</t>
  </si>
  <si>
    <t xml:space="preserve"> VOLQUETE</t>
  </si>
  <si>
    <t>DARIO</t>
  </si>
  <si>
    <t>HUAYTA CABANA</t>
  </si>
  <si>
    <t>O2172789</t>
  </si>
  <si>
    <t>H02172789</t>
  </si>
  <si>
    <t>FONSECA FONSECA</t>
  </si>
  <si>
    <t>H42298066</t>
  </si>
  <si>
    <t>YAURI MENDOZA</t>
  </si>
  <si>
    <t>H41077718</t>
  </si>
  <si>
    <t>CONDO CHIPA</t>
  </si>
  <si>
    <t>MARIO CIPRIANO</t>
  </si>
  <si>
    <t>H42594428</t>
  </si>
  <si>
    <t>OPERADOR CISTERNA  AGUA</t>
  </si>
  <si>
    <t>Z40650652</t>
  </si>
  <si>
    <t>ACUTA MAYNA</t>
  </si>
  <si>
    <t>OPERADOR CDE VOLQUETE</t>
  </si>
  <si>
    <t>PATRICIA GALLEGOS</t>
  </si>
  <si>
    <t>OP. CARGADOR FRONTAL</t>
  </si>
  <si>
    <t>SUPERVISOR DE SEGURIDAD</t>
  </si>
  <si>
    <t>TORRES MOLINA</t>
  </si>
  <si>
    <t>ANTONIO REMY</t>
  </si>
  <si>
    <t>H40079552</t>
  </si>
  <si>
    <t>ASISTENTE DE OPERACIONES</t>
  </si>
  <si>
    <t>SUPERVISOR PREFABRICADOS</t>
  </si>
  <si>
    <t>CONDUCTOR  CAMIONETA</t>
  </si>
  <si>
    <t>CAMIONETA-MONTACARGA-CAMION SIMPLE</t>
  </si>
  <si>
    <t>ALCCAMARI CHUCTAYA</t>
  </si>
  <si>
    <t>H44475017</t>
  </si>
  <si>
    <t>CARGADOR FRONTAL Y MONTACARGAS</t>
  </si>
  <si>
    <t>ATOCHE HERRERA</t>
  </si>
  <si>
    <t>CESAR NATAN</t>
  </si>
  <si>
    <t>H29471868</t>
  </si>
  <si>
    <t>MIXER Y CISTERNA DE AGUA</t>
  </si>
  <si>
    <t>SOSA CATACORA</t>
  </si>
  <si>
    <t>U01303065</t>
  </si>
  <si>
    <t>O1303065</t>
  </si>
  <si>
    <t>VOLQUETE Y CAMIONETA</t>
  </si>
  <si>
    <t>VARA PHOCCO</t>
  </si>
  <si>
    <t>H80688731</t>
  </si>
  <si>
    <t>QUISPE ZEVILLANOS</t>
  </si>
  <si>
    <t>H29680089</t>
  </si>
  <si>
    <t>QUISPE MAMANI</t>
  </si>
  <si>
    <t>HUGO HERBERT</t>
  </si>
  <si>
    <t>U40790583</t>
  </si>
  <si>
    <t>PEMEZCLADO</t>
  </si>
  <si>
    <t>OPERADOR DE PLANTA</t>
  </si>
  <si>
    <t>SUPERVISOR DE MANTENIMIENTO</t>
  </si>
  <si>
    <t>CUERVO ESPINOZA</t>
  </si>
  <si>
    <t>H40655089</t>
  </si>
  <si>
    <t xml:space="preserve">CONTROL DE CALIDAD </t>
  </si>
  <si>
    <t>SUPERVISOR DE CALIDAD</t>
  </si>
  <si>
    <t>TTITO QUISPE</t>
  </si>
  <si>
    <t>ANDRADE GUTIERREZ</t>
  </si>
  <si>
    <t>DIONICIO</t>
  </si>
  <si>
    <t>H29700712</t>
  </si>
  <si>
    <t>MIXER-CAMIONETA Y BOMBA TELESCOPICA</t>
  </si>
  <si>
    <t xml:space="preserve">JUAREZ AUCCA </t>
  </si>
  <si>
    <t>Z44279151</t>
  </si>
  <si>
    <t>14/08/2'17</t>
  </si>
  <si>
    <t>CARGADOR FRONTAL - CAMIONETA</t>
  </si>
  <si>
    <t xml:space="preserve">     DNI</t>
  </si>
  <si>
    <t xml:space="preserve"> MIXER - CAMIONETA</t>
  </si>
  <si>
    <t>CALLA TAPIA</t>
  </si>
  <si>
    <t>NORBERHT BRUMER</t>
  </si>
  <si>
    <t>U44427157</t>
  </si>
  <si>
    <t>JEFE DE PLANTA</t>
  </si>
  <si>
    <t>MIXER-VOLQUETE</t>
  </si>
  <si>
    <t xml:space="preserve">ALVAREZ VIZCARRA </t>
  </si>
  <si>
    <t xml:space="preserve"> CISTERNA DE AGUA - CAMIONETA - MINIBUS</t>
  </si>
  <si>
    <t>MIXER - CAMIONETA</t>
  </si>
  <si>
    <t>VOLQUETE CARRETA - CAMIONETA</t>
  </si>
  <si>
    <t>SANZ DAVID</t>
  </si>
  <si>
    <t>LUIGI JAVIER</t>
  </si>
  <si>
    <t>H43054542</t>
  </si>
  <si>
    <t>AGREGADOS QUELLAVECO</t>
  </si>
  <si>
    <t>GEOLOGO</t>
  </si>
  <si>
    <t>9/0672016</t>
  </si>
  <si>
    <t>OPERADOR DE CAMION VOLUMETRICO</t>
  </si>
  <si>
    <t>CAMIONETA - CAMA BAJA - MONTACARGAS</t>
  </si>
  <si>
    <t>OPERADOR DE TRACTO CAMION</t>
  </si>
  <si>
    <t>YUCRA PARI</t>
  </si>
  <si>
    <t>O2168696</t>
  </si>
  <si>
    <t>U02168696</t>
  </si>
  <si>
    <t>SUPERVISOR DE PRODUCCIÓN</t>
  </si>
  <si>
    <t>RAMOS ROJAS</t>
  </si>
  <si>
    <t>ANTHONY JOSEPH</t>
  </si>
  <si>
    <t>H44813033</t>
  </si>
  <si>
    <t>MONTACARGAS</t>
  </si>
  <si>
    <t>AUXILIAR DE ACTIVOS FIJOS</t>
  </si>
  <si>
    <t>BERTHA  MAMANI</t>
  </si>
  <si>
    <t>QUIROZ MEDINA</t>
  </si>
  <si>
    <t>ANTHONY ADIEL</t>
  </si>
  <si>
    <t>H44245979</t>
  </si>
  <si>
    <t>COAGUILA FLORES</t>
  </si>
  <si>
    <t>J44058611</t>
  </si>
  <si>
    <t>DANI MIGUEL</t>
  </si>
  <si>
    <t xml:space="preserve">BECERRA DIAZ </t>
  </si>
  <si>
    <t>YEHISSON YAMIR</t>
  </si>
  <si>
    <t>H72739913</t>
  </si>
  <si>
    <t>FREDY SALAZAR</t>
  </si>
  <si>
    <t>OPERADOR DE MIXER - CAMIONETA - BOMBA TELESCOPICA</t>
  </si>
  <si>
    <t>ELECTRICISTA DE PLANTA</t>
  </si>
  <si>
    <t>DUVERLY</t>
  </si>
  <si>
    <t>K43655998</t>
  </si>
  <si>
    <t>TECNICO MECANICO</t>
  </si>
  <si>
    <t>MAMANI CARI</t>
  </si>
  <si>
    <t>PERCY TEOFILO</t>
  </si>
  <si>
    <t>H71828507</t>
  </si>
  <si>
    <t>ELECTRICISTA EQUIPO MOVIL</t>
  </si>
  <si>
    <t>OP.BOMBA ESTACIONARIA</t>
  </si>
  <si>
    <t>MECANICO ESPECIALISTA</t>
  </si>
  <si>
    <t xml:space="preserve"> CAMION GRUA Y CAMIONETA</t>
  </si>
  <si>
    <t>OPERADOR DE GRUA</t>
  </si>
  <si>
    <t>SUCASACA AYALA</t>
  </si>
  <si>
    <t>H47647997</t>
  </si>
  <si>
    <t>OP. TRACTO CAMION</t>
  </si>
  <si>
    <t>PILCO PACO</t>
  </si>
  <si>
    <t>GILBERTO</t>
  </si>
  <si>
    <t>U44130028</t>
  </si>
  <si>
    <t>VELARDE LOPEZ</t>
  </si>
  <si>
    <t>CARLOS VALENTIN</t>
  </si>
  <si>
    <t>H41302237</t>
  </si>
  <si>
    <t>BENEGAS MIRANDA</t>
  </si>
  <si>
    <t>JULIO WASHINGTON</t>
  </si>
  <si>
    <t>H44634254</t>
  </si>
  <si>
    <t>CALIDAD</t>
  </si>
  <si>
    <t>ALA SURI</t>
  </si>
  <si>
    <t>H42323252</t>
  </si>
  <si>
    <t xml:space="preserve"> BOMBA ESTACIONARIA</t>
  </si>
  <si>
    <t>OP. BOMBA ESTACIONARIA</t>
  </si>
  <si>
    <t>JULIAN WALTHER</t>
  </si>
  <si>
    <t>H40582347</t>
  </si>
  <si>
    <t>CHUNGA APAZA</t>
  </si>
  <si>
    <t>LUIS ALEJANDRO</t>
  </si>
  <si>
    <t>H45465603</t>
  </si>
  <si>
    <t>HAÑARI CHOQUEHUANCA</t>
  </si>
  <si>
    <t>RAUL MOISES</t>
  </si>
  <si>
    <t>Q29670565</t>
  </si>
  <si>
    <t>LOLI CARI</t>
  </si>
  <si>
    <t>CAPRISTRANO EDGARDO</t>
  </si>
  <si>
    <t>H29698579</t>
  </si>
  <si>
    <t>SUPERVISOR DE DESPACHOS</t>
  </si>
  <si>
    <t>ADMINISTRATIVO</t>
  </si>
  <si>
    <t xml:space="preserve"> CAMIONETA</t>
  </si>
  <si>
    <t>ARANA TORRES</t>
  </si>
  <si>
    <t>ISRAEL DAVID</t>
  </si>
  <si>
    <t>H46212546</t>
  </si>
  <si>
    <t>FRANCISCO VARGAS</t>
  </si>
  <si>
    <t>ASESOR COMERCIAL</t>
  </si>
  <si>
    <t>JOSE MORALES</t>
  </si>
  <si>
    <t>CAMIONETA-BOMBA TELESCOPICA</t>
  </si>
  <si>
    <t>AQUIMA SARAYASI</t>
  </si>
  <si>
    <t>H24888615</t>
  </si>
  <si>
    <t>OPERAOR CAMIONETA -</t>
  </si>
  <si>
    <t>TACO ALI</t>
  </si>
  <si>
    <t>JUAN CESAR</t>
  </si>
  <si>
    <t>H40319056</t>
  </si>
  <si>
    <t>CHUQUIJA CHARCCAHUANA</t>
  </si>
  <si>
    <t>MICHAEL HUGO</t>
  </si>
  <si>
    <t>H70467189</t>
  </si>
  <si>
    <t>OPERADOR CAMION CARRETA</t>
  </si>
  <si>
    <t>BOMBA TELESCOPICA</t>
  </si>
  <si>
    <t xml:space="preserve">GALDOS POSTIGO </t>
  </si>
  <si>
    <t>WILDER JESUS</t>
  </si>
  <si>
    <t>H41829453</t>
  </si>
  <si>
    <t>CHAIÑA QUISPE</t>
  </si>
  <si>
    <t>U41268126</t>
  </si>
  <si>
    <t>SUPERVISOR DE CAMPO</t>
  </si>
  <si>
    <t>OP. DE BOMBATELESCOPICA</t>
  </si>
  <si>
    <t xml:space="preserve"> MIXER </t>
  </si>
  <si>
    <t>BUSTAMANTE QUISPE</t>
  </si>
  <si>
    <t>ROBERTO ANGEL</t>
  </si>
  <si>
    <t>H30960023</t>
  </si>
  <si>
    <t>OPERADOR  DE MIXER</t>
  </si>
  <si>
    <t>MEDINA PACHECO</t>
  </si>
  <si>
    <t>JOHAN EDWIN</t>
  </si>
  <si>
    <t>H40733059</t>
  </si>
  <si>
    <t>SUPERVISOR DE RUTA</t>
  </si>
  <si>
    <t>HUILLCA CCOLQUE</t>
  </si>
  <si>
    <t>BELTRAN</t>
  </si>
  <si>
    <t>H47360200</t>
  </si>
  <si>
    <t xml:space="preserve">PREMEZCLADO </t>
  </si>
  <si>
    <t>DESPACHOS PODEROSA</t>
  </si>
  <si>
    <t>CASTILLO GUZMAN</t>
  </si>
  <si>
    <t>ROLANDO DYLAN</t>
  </si>
  <si>
    <t>LLANOS VILLALTA</t>
  </si>
  <si>
    <t>H72946052</t>
  </si>
  <si>
    <t>ARROSPIDE ROLDAN</t>
  </si>
  <si>
    <t>BILLY YOY</t>
  </si>
  <si>
    <t>H29714700</t>
  </si>
  <si>
    <t>OPEARDOR DE VOLQUETE</t>
  </si>
  <si>
    <t>AMPUERO SOLORZANO</t>
  </si>
  <si>
    <t>PAULO CESAR</t>
  </si>
  <si>
    <t>Q43351325</t>
  </si>
  <si>
    <t>COORDINADOR PATRIMONIAL</t>
  </si>
  <si>
    <t>MIXER - CARGADOR FRONTAL</t>
  </si>
  <si>
    <t>DESPACHOS</t>
  </si>
  <si>
    <t>ASISTENTE DE PROGRAMACIÓN</t>
  </si>
  <si>
    <t>VELA MEJIA</t>
  </si>
  <si>
    <t>ALEJANDRO MANUEL</t>
  </si>
  <si>
    <t>H47127223</t>
  </si>
  <si>
    <t>RUTH FALCON</t>
  </si>
  <si>
    <t>ASISTENTE GESTION HUMANA</t>
  </si>
  <si>
    <t>GESTION HUMANA</t>
  </si>
  <si>
    <t>LOZA DELGADO</t>
  </si>
  <si>
    <t>SUELLEN SOFIA</t>
  </si>
  <si>
    <t>H42288244</t>
  </si>
  <si>
    <t>AUXILIAR DE ALMACEN</t>
  </si>
  <si>
    <t>OP. DE BOMBA TELESCOPICA</t>
  </si>
  <si>
    <t>PAREDES FERNANDEZ</t>
  </si>
  <si>
    <t>DANIEL FERNANDO</t>
  </si>
  <si>
    <t>H46198881</t>
  </si>
  <si>
    <t>ANALISTA SSGG</t>
  </si>
  <si>
    <t>CHOQUE RAMIREZ</t>
  </si>
  <si>
    <t>BRESLY ANGEL</t>
  </si>
  <si>
    <t>H41680944</t>
  </si>
  <si>
    <t>SUPERVISOR</t>
  </si>
  <si>
    <t>LUNA GOMEZ</t>
  </si>
  <si>
    <t>ELLIOT MAURICIO</t>
  </si>
  <si>
    <t>H45621747</t>
  </si>
  <si>
    <t>GUERRERO CHOCAN</t>
  </si>
  <si>
    <t>ETHER ELIAZAR</t>
  </si>
  <si>
    <t>H73739993</t>
  </si>
  <si>
    <t>ESPINAL TAPIA</t>
  </si>
  <si>
    <t>H40358325</t>
  </si>
  <si>
    <t>MECANICO MOVIL</t>
  </si>
  <si>
    <t>LARICO GARCIA</t>
  </si>
  <si>
    <t>MARIA ANGELICA</t>
  </si>
  <si>
    <t>K45798051</t>
  </si>
  <si>
    <t>MIXER-VOLQUETE-CAMIONETA</t>
  </si>
  <si>
    <t>INSTRUCTOR EQUIPO MOVIL</t>
  </si>
  <si>
    <t>MIXER Y VOLQUETE</t>
  </si>
  <si>
    <t>SUMA SUMA</t>
  </si>
  <si>
    <t>EUSEBIO</t>
  </si>
  <si>
    <t>Z41093070</t>
  </si>
  <si>
    <t>OPEADOR DE MIXER</t>
  </si>
  <si>
    <t>PFUYO GUTIERREZ</t>
  </si>
  <si>
    <t>DANIEL JUVENAL</t>
  </si>
  <si>
    <t>Z23940737</t>
  </si>
  <si>
    <t>MIXER-VOLQUETE Y CAMIONETA</t>
  </si>
  <si>
    <t>AGUILAR VILLEGAS</t>
  </si>
  <si>
    <t>ALEXANDER</t>
  </si>
  <si>
    <t>Z41831149</t>
  </si>
  <si>
    <t>ALVAREZ ABARCA</t>
  </si>
  <si>
    <t>BRIAN</t>
  </si>
  <si>
    <t>Z70616400</t>
  </si>
  <si>
    <t>OCSA CARRASCO</t>
  </si>
  <si>
    <t>WILBER OSCAR</t>
  </si>
  <si>
    <t>Z70464605</t>
  </si>
  <si>
    <t>OP. CARGADR FRONTAL</t>
  </si>
  <si>
    <t>MIXER  VOLQUETE Y CAMIONETA</t>
  </si>
  <si>
    <t>VELASQUEZ RAMOS</t>
  </si>
  <si>
    <t>FERNANDO OSMAR</t>
  </si>
  <si>
    <t>H45523722</t>
  </si>
  <si>
    <t>ESPECIALISTA MECANICO</t>
  </si>
  <si>
    <t>CUEVAS CHACON</t>
  </si>
  <si>
    <t>OMAR JOSE</t>
  </si>
  <si>
    <t>OO1979371</t>
  </si>
  <si>
    <t>HOO1979371</t>
  </si>
  <si>
    <t>GERENCIA GENERAL</t>
  </si>
  <si>
    <t>JULIO CACERES</t>
  </si>
  <si>
    <t>GERENTE DE OPERACIONES</t>
  </si>
  <si>
    <t>SUPERVISOR CALIDAD</t>
  </si>
  <si>
    <t>NUÑEZ DELDADO</t>
  </si>
  <si>
    <t>JAIME OSCAR</t>
  </si>
  <si>
    <t>H40574928</t>
  </si>
  <si>
    <t>JOSE  MORALES</t>
  </si>
  <si>
    <t>JEFE DE MANTENIMIENTO</t>
  </si>
  <si>
    <t>WILBER BENJAMIN</t>
  </si>
  <si>
    <t>H40162735</t>
  </si>
  <si>
    <t>ASISTENTE DE PROGRAMACION</t>
  </si>
  <si>
    <t xml:space="preserve"> MIXER -CAMIONETA-VOLQUETE</t>
  </si>
  <si>
    <t>VOLQUETE-CAMIONETA Y CARGADOR FRONTAL</t>
  </si>
  <si>
    <t xml:space="preserve"> EXCAVADORA Y CARGADOR FRONTAL</t>
  </si>
  <si>
    <t>ERNESTO VICTOR</t>
  </si>
  <si>
    <t>AGREGADOS-JORGES 3</t>
  </si>
  <si>
    <t>CCOLQQUE AYME</t>
  </si>
  <si>
    <t>U46057366</t>
  </si>
  <si>
    <t>EXCAVADORA</t>
  </si>
  <si>
    <t>OPERADOR DEMIXER</t>
  </si>
  <si>
    <t>VILCA AYQUI</t>
  </si>
  <si>
    <t>AMAT JHON</t>
  </si>
  <si>
    <t>U70765304</t>
  </si>
  <si>
    <t>CONDO PILA</t>
  </si>
  <si>
    <t>WAGNER</t>
  </si>
  <si>
    <t>H46006451</t>
  </si>
  <si>
    <t>CISTERNA DE AGUA - VOLQUETE</t>
  </si>
  <si>
    <t>FRISANCHO COLLANTES</t>
  </si>
  <si>
    <t>PERCY JESUS</t>
  </si>
  <si>
    <t>H41814221</t>
  </si>
  <si>
    <t xml:space="preserve">ASISTENTE CONTRATACIONES </t>
  </si>
  <si>
    <t>CARDENAS PATIÑO</t>
  </si>
  <si>
    <t>BRUMER RORY</t>
  </si>
  <si>
    <t>H46230358</t>
  </si>
  <si>
    <t>A 1</t>
  </si>
  <si>
    <t>ASISTENTE</t>
  </si>
  <si>
    <t>MEDINA PORTUGAL</t>
  </si>
  <si>
    <t>JOHNNY EDGAR</t>
  </si>
  <si>
    <t>H29230536</t>
  </si>
  <si>
    <t>MENDOZA HILACHOQUE</t>
  </si>
  <si>
    <t>H43877504</t>
  </si>
  <si>
    <t>ALVARO HUANCA</t>
  </si>
  <si>
    <t>ALEX ISAU</t>
  </si>
  <si>
    <t>H29647120</t>
  </si>
  <si>
    <t>OPERADOR DE BOMBA TELESCOPICA</t>
  </si>
  <si>
    <t xml:space="preserve">TICONA MACHACA </t>
  </si>
  <si>
    <t>RENE YASMANI</t>
  </si>
  <si>
    <t>H43094642</t>
  </si>
  <si>
    <t>BOMBA ESTACIONARIA</t>
  </si>
  <si>
    <t>OP. DE BOMBA ESTACIONARIA</t>
  </si>
  <si>
    <t xml:space="preserve">  MIXER - VOLQUETE - CAMION GRUA - BOMBA TELESCOPICA Y ESTACIONARIA  - CAMIONETA-MONTACARGA-BUS</t>
  </si>
  <si>
    <t>LABORATORISTA DE CAMPO</t>
  </si>
  <si>
    <t>CHOQUE CCOSI</t>
  </si>
  <si>
    <t>J40635426</t>
  </si>
  <si>
    <t>ZEA BENIQUE</t>
  </si>
  <si>
    <t>LUIS ALEXANDER</t>
  </si>
  <si>
    <t>U43380836</t>
  </si>
  <si>
    <t>VILLAROEL MOLINA</t>
  </si>
  <si>
    <t>WILSEN GROVER</t>
  </si>
  <si>
    <t>H10763590</t>
  </si>
  <si>
    <t>SUPERVISOR PATRIMONIAL</t>
  </si>
  <si>
    <t>CAMIONETA-MIXER</t>
  </si>
  <si>
    <t>CAMALA BARRETO</t>
  </si>
  <si>
    <t>CRISTOBAL</t>
  </si>
  <si>
    <t>Z42211191</t>
  </si>
  <si>
    <t>MIXER - VOLQUETE</t>
  </si>
  <si>
    <t xml:space="preserve">         </t>
  </si>
  <si>
    <t xml:space="preserve"> CAMIONETA - MONTACARGAS</t>
  </si>
  <si>
    <t>LOGISTICA Y ALMACENES</t>
  </si>
  <si>
    <t>CCASA PAUCAR</t>
  </si>
  <si>
    <t>CELESTINO</t>
  </si>
  <si>
    <t>Q25221427</t>
  </si>
  <si>
    <t>CAMIONETA - CAMION GRUA</t>
  </si>
  <si>
    <t xml:space="preserve"> EXCAVADORA</t>
  </si>
  <si>
    <t>MILLIO MAMANI</t>
  </si>
  <si>
    <t>RAUL JESUS</t>
  </si>
  <si>
    <t>H43384111</t>
  </si>
  <si>
    <t>SEGURIDAD PATRIMONIAL</t>
  </si>
  <si>
    <t>|</t>
  </si>
  <si>
    <t>MIXER-CAMIONETA-BOMBA ESTACIONARIA-BOMBA TELESCOPICA</t>
  </si>
  <si>
    <t>HANCCO PARI</t>
  </si>
  <si>
    <t>GUILLERMO ALEJANDRO</t>
  </si>
  <si>
    <t>U40120610</t>
  </si>
  <si>
    <t>MECANICO DE PLANTA</t>
  </si>
  <si>
    <t>CAMIONETA Y MONTACARGA</t>
  </si>
  <si>
    <t>MONTACARGA</t>
  </si>
  <si>
    <t>TURPO HUARACALLO</t>
  </si>
  <si>
    <t>JHOERSINO RENSON</t>
  </si>
  <si>
    <t>H41972024</t>
  </si>
  <si>
    <t>SANTOS LUPACA</t>
  </si>
  <si>
    <t>HUBER IVAN</t>
  </si>
  <si>
    <t>K47089311</t>
  </si>
  <si>
    <t>MANTENIMIENTO TACNA</t>
  </si>
  <si>
    <t xml:space="preserve">JOSE MORALES </t>
  </si>
  <si>
    <t>TÉCNICO ELECTRO MECÁNICO</t>
  </si>
  <si>
    <t>ARCE RAMOS</t>
  </si>
  <si>
    <t>ELMER DAVID</t>
  </si>
  <si>
    <t>Q42920588</t>
  </si>
  <si>
    <t xml:space="preserve"> VOLQUETE S/C CARRETA</t>
  </si>
  <si>
    <t>OPERADOR DE VOLQUETE CARRETA</t>
  </si>
  <si>
    <t>CAMIONETA Y CAMION GRUA</t>
  </si>
  <si>
    <t>SOLDADOR DE PLANTA</t>
  </si>
  <si>
    <t>MANTENIMIENTO-PODEROSA</t>
  </si>
  <si>
    <t xml:space="preserve">MIXER </t>
  </si>
  <si>
    <t>OPERADOR DE MIXER -CAMIONETA-CISTERNA DE AGUA</t>
  </si>
  <si>
    <t>TITO ZAPANA</t>
  </si>
  <si>
    <t>H47359172</t>
  </si>
  <si>
    <t>CAMIONETA-MONTACARGAS</t>
  </si>
  <si>
    <t>TECNICO NEUMATICO</t>
  </si>
  <si>
    <t>HUILLCA SUMIRE</t>
  </si>
  <si>
    <t>H42866389</t>
  </si>
  <si>
    <t>MISCO ASCUE</t>
  </si>
  <si>
    <t>LENER EDUARDO</t>
  </si>
  <si>
    <t>H29661601</t>
  </si>
  <si>
    <t>CHULLO HUAMAN</t>
  </si>
  <si>
    <t>EDISON</t>
  </si>
  <si>
    <t>H70668538</t>
  </si>
  <si>
    <t>MECANICO HIDRAULICO</t>
  </si>
  <si>
    <t>MONTACARGA - CARGADOR FRONTAL</t>
  </si>
  <si>
    <t>TIZON SENCIA</t>
  </si>
  <si>
    <t>DIONIFACIO</t>
  </si>
  <si>
    <t>H42172539</t>
  </si>
  <si>
    <t>MAMANI PALOMINO</t>
  </si>
  <si>
    <t>H41972032</t>
  </si>
  <si>
    <t>OPERADOR DE CISTERNA DE AGUA</t>
  </si>
  <si>
    <t>CISTERNA DE AGUA - CAMIONETA</t>
  </si>
  <si>
    <t>OP. VOLQUETE CARRETA</t>
  </si>
  <si>
    <t>PACCO YAULLI</t>
  </si>
  <si>
    <t>JUAN MAURO CESAR</t>
  </si>
  <si>
    <t>H40189449</t>
  </si>
  <si>
    <t>ROCA MENDEZ</t>
  </si>
  <si>
    <t>EUSEBIO VICTOR</t>
  </si>
  <si>
    <t>H43702751</t>
  </si>
  <si>
    <t>MANEJO DEFENSIVO - INDUCCIÓN DE SS</t>
  </si>
  <si>
    <t>QUISPE PEÑA</t>
  </si>
  <si>
    <t>H29528841</t>
  </si>
  <si>
    <t>CAMIONETA - MONTACARGAS - CARGADOR FRONTAL</t>
  </si>
  <si>
    <t>CAMIONETA - MONTACARGA</t>
  </si>
  <si>
    <t xml:space="preserve"> MONTACARGA Y CAMIONETA</t>
  </si>
  <si>
    <t>TORRES CABRERA</t>
  </si>
  <si>
    <t>JOSE JILBER</t>
  </si>
  <si>
    <t>H41206163</t>
  </si>
  <si>
    <t>OPERADOR DE MIXCRET</t>
  </si>
  <si>
    <t>HERRERA ZUÑIGA</t>
  </si>
  <si>
    <t>ROMARIO DANIEL</t>
  </si>
  <si>
    <t>H71844538</t>
  </si>
  <si>
    <t xml:space="preserve">ZEGARRA AGUILAR </t>
  </si>
  <si>
    <t>FIORELLA KAREN</t>
  </si>
  <si>
    <t>H70023297</t>
  </si>
  <si>
    <t xml:space="preserve">SUPERVISOR DE SEGURIDAD </t>
  </si>
  <si>
    <t>COLQUE CHAVEZ</t>
  </si>
  <si>
    <t>FRANCISCO VICENTE</t>
  </si>
  <si>
    <t>H29638106</t>
  </si>
  <si>
    <t>AGENTE DE SEGURIDAD</t>
  </si>
  <si>
    <t>BOLAÑOS CHAVEZ</t>
  </si>
  <si>
    <t>FREDY RICHARD</t>
  </si>
  <si>
    <t>H29548323</t>
  </si>
  <si>
    <t>TICONA AMANQUI</t>
  </si>
  <si>
    <t>WILLY HENRY</t>
  </si>
  <si>
    <t>H29668278</t>
  </si>
  <si>
    <t xml:space="preserve"> CARGADOR FRONTAL Y VOLQUETE</t>
  </si>
  <si>
    <t xml:space="preserve"> CISTERNA DE AGUA Y VOLQUETE</t>
  </si>
  <si>
    <t xml:space="preserve"> MIXER - CISTERNA DE AGUA Y CAMIONETA</t>
  </si>
  <si>
    <t>MOGROVEJO VERA</t>
  </si>
  <si>
    <t>MILTON DAVID</t>
  </si>
  <si>
    <t>O NEGATIVO</t>
  </si>
  <si>
    <t>H29738100</t>
  </si>
  <si>
    <t xml:space="preserve"> MIXER-CAMIONETA-CISTERNA DE AGUA</t>
  </si>
  <si>
    <t>ZABALA JACOBO</t>
  </si>
  <si>
    <t>VICTOR ENRIQUE</t>
  </si>
  <si>
    <t>H40986622</t>
  </si>
  <si>
    <t>OPERADOR DE EXCAVADORA Y CARGADOR FRONTAL</t>
  </si>
  <si>
    <t>OPERADOR DE CAMIONETA-CAMION VOLUMETRICO-CISTERNA DE AGUA - MINIBUS - MIXER-MONTACARGAS</t>
  </si>
  <si>
    <t>CARRIZALES CASTILLA</t>
  </si>
  <si>
    <t xml:space="preserve"> CARGADOR FRONTAL  </t>
  </si>
  <si>
    <t>CAMIONETA-VOLQUETE</t>
  </si>
  <si>
    <t xml:space="preserve">TALAVERA MENDOZA </t>
  </si>
  <si>
    <t>ALEJANDRA VICTORIA</t>
  </si>
  <si>
    <t>H70295654</t>
  </si>
  <si>
    <t>30/102017</t>
  </si>
  <si>
    <t>MIXER-CARGADOR FRONTAL Y CAMIONETA</t>
  </si>
  <si>
    <t>COLLANTES HUARCA</t>
  </si>
  <si>
    <t>PAUL ROGER</t>
  </si>
  <si>
    <t>H40838949</t>
  </si>
  <si>
    <t>AYUDANTE DE BOMBA</t>
  </si>
  <si>
    <t>MIXER -BOMBA TELESCOPICA Y CARGADOR FRONTAL</t>
  </si>
  <si>
    <t>BOMBA TELESCOPICA -CAMIONETA Y MONTACARGAS</t>
  </si>
  <si>
    <t>HUAMANI MENDOZA</t>
  </si>
  <si>
    <t>WILLIAM MIGUEL</t>
  </si>
  <si>
    <t>H45726764</t>
  </si>
  <si>
    <t>FLORES PORTUGAL</t>
  </si>
  <si>
    <t>LEONARDO FAVIO</t>
  </si>
  <si>
    <t>U42764415</t>
  </si>
  <si>
    <t>MIXER -CAMIONETA-BOMBA TELESCOPICA</t>
  </si>
  <si>
    <t xml:space="preserve"> MONTACARGAS</t>
  </si>
  <si>
    <t>CAMIONETA Y MIXER</t>
  </si>
  <si>
    <t>CATACORA ZUÑIGA</t>
  </si>
  <si>
    <t>WILBER JULIO</t>
  </si>
  <si>
    <t>O4428934</t>
  </si>
  <si>
    <t>J04428934</t>
  </si>
  <si>
    <t>BOMBA TELESCOPICA-MIXER -VOLQUETE Y CAMIONETA</t>
  </si>
  <si>
    <t>DELGADO GARCIA</t>
  </si>
  <si>
    <t>FRANZ SERGIO</t>
  </si>
  <si>
    <t>H29423296</t>
  </si>
  <si>
    <t>OLIVA CHURA</t>
  </si>
  <si>
    <t>U41174585</t>
  </si>
  <si>
    <t xml:space="preserve"> CAMIONETA Y MONTACARGAS</t>
  </si>
  <si>
    <t>QUISPE ACCOSTUPA</t>
  </si>
  <si>
    <t>JOHN HENRY</t>
  </si>
  <si>
    <t>Z45954126</t>
  </si>
  <si>
    <t>PREMEZCLADO HUASAO</t>
  </si>
  <si>
    <t>MIXER-CAMIONETA-CISTERNA AGUA</t>
  </si>
  <si>
    <t>VELASQUEZ ANAYA</t>
  </si>
  <si>
    <t>LUIS HIPOLITO</t>
  </si>
  <si>
    <t>Z23961494</t>
  </si>
  <si>
    <t>CALIZAYA CAIRA</t>
  </si>
  <si>
    <t>VIZNNEY SHANEL</t>
  </si>
  <si>
    <t>U45256246</t>
  </si>
  <si>
    <t>CAMIONETA Y CARGADOR FRONTAL</t>
  </si>
  <si>
    <t>CORRALES RIVERA</t>
  </si>
  <si>
    <t>H29738009</t>
  </si>
  <si>
    <t>CAMIONETA- MONTACARGA- CAMIÓN-MIXER</t>
  </si>
  <si>
    <t>MARIO ANTONIO</t>
  </si>
  <si>
    <t>H42760503</t>
  </si>
  <si>
    <t>ALARCON HUALLPA</t>
  </si>
  <si>
    <t>O8148102</t>
  </si>
  <si>
    <t>Q08148102</t>
  </si>
  <si>
    <t>MENDOZA ROMACCA</t>
  </si>
  <si>
    <t>Z47737600</t>
  </si>
  <si>
    <t>CAMIONETA-BOMBA TELESCOPICA-MIXER</t>
  </si>
  <si>
    <t>CCASO HUANCA</t>
  </si>
  <si>
    <t>O4653645</t>
  </si>
  <si>
    <t>JO4653645</t>
  </si>
  <si>
    <t>COLAN ANGLAS</t>
  </si>
  <si>
    <t>ORLANDO RIGOBERTO</t>
  </si>
  <si>
    <t>O9129167</t>
  </si>
  <si>
    <t>H09129167</t>
  </si>
  <si>
    <t>ENRIQUE SALAS</t>
  </si>
  <si>
    <t>MIXER-CAMIONETA - BOMBA TELESCOPICA Y VOLQUETE</t>
  </si>
  <si>
    <t>MIXER-CAMIONETA-BOMBA TELESCOPICA Y CARGADOR FRONTAL</t>
  </si>
  <si>
    <t xml:space="preserve">CUTIPA QUISPE </t>
  </si>
  <si>
    <t>BENITO SIXTO</t>
  </si>
  <si>
    <t>U42197549</t>
  </si>
  <si>
    <t xml:space="preserve"> CARGADOR FRONTAL - VEHICULO LIVIANO - CISTERNA DE AGUA Y MIXER</t>
  </si>
  <si>
    <t>SALCEDO CONDORI</t>
  </si>
  <si>
    <t>RUBEN ELIAS</t>
  </si>
  <si>
    <t>H40799594</t>
  </si>
  <si>
    <t>RUBEN SALCEDO</t>
  </si>
  <si>
    <t>GERENTE DE SEGURIDAD QUELLAVECO</t>
  </si>
  <si>
    <t>PAREDES MALAGA</t>
  </si>
  <si>
    <t>DIEGO ANDRES</t>
  </si>
  <si>
    <t>H46457188</t>
  </si>
  <si>
    <t xml:space="preserve">PEREZ MAMANI </t>
  </si>
  <si>
    <t>SEBASTIAN</t>
  </si>
  <si>
    <t>OO419379</t>
  </si>
  <si>
    <t>K00419379</t>
  </si>
  <si>
    <t>MANTENIMIEMTO</t>
  </si>
  <si>
    <t xml:space="preserve"> MONTACARGA</t>
  </si>
  <si>
    <t>ASISTENTE ACTIVOS</t>
  </si>
  <si>
    <t>MIXER- CISTERNA - CAMIONETA</t>
  </si>
  <si>
    <t>SALINAS GUZMAN</t>
  </si>
  <si>
    <t>EDWAR ALEXANDRO</t>
  </si>
  <si>
    <t>H40190496</t>
  </si>
  <si>
    <t>PLANER MANTENIMIENTO</t>
  </si>
  <si>
    <t>PILCO CONDORI</t>
  </si>
  <si>
    <t>EDGAR JAVIER</t>
  </si>
  <si>
    <t>H44479007</t>
  </si>
  <si>
    <t>OPERADOR DE MONTACRAGAS</t>
  </si>
  <si>
    <t>CARGADOR FRONTAL - CISTERNA DE AGUA- CAMIONETA -MONTACARGAS-MIXER</t>
  </si>
  <si>
    <t>RODRIGUEZ LEON</t>
  </si>
  <si>
    <t>JOHN JACQUIER</t>
  </si>
  <si>
    <t>H29534220</t>
  </si>
  <si>
    <t>MIXER-CAMIONETA</t>
  </si>
  <si>
    <t xml:space="preserve"> MIXER- CISTERNA DE AGUA-CAMIONETA</t>
  </si>
  <si>
    <t>OPERADOR D EMIXER</t>
  </si>
  <si>
    <t>SAICO CHUCTAYA</t>
  </si>
  <si>
    <t>ROGER ALFREDO</t>
  </si>
  <si>
    <t>H47643228</t>
  </si>
  <si>
    <t>CUBA SANGA</t>
  </si>
  <si>
    <t>ALEXANDER ANSBERT</t>
  </si>
  <si>
    <t>U47311138</t>
  </si>
  <si>
    <t>CCAÑIHUA PUMA</t>
  </si>
  <si>
    <t>Z44394414</t>
  </si>
  <si>
    <t>PREMEZCADO</t>
  </si>
  <si>
    <t>LAZO PINTO</t>
  </si>
  <si>
    <t>ARTURO ALONSO</t>
  </si>
  <si>
    <t>H73238398</t>
  </si>
  <si>
    <t>PLANNER MANTENIMIENTO</t>
  </si>
  <si>
    <t xml:space="preserve"> CISTERNA - VOLQUETE Y CAMIONETA</t>
  </si>
  <si>
    <t>ANGEL CASTAÑEDA</t>
  </si>
  <si>
    <t>CAMION GRUA- CAMIONETA</t>
  </si>
  <si>
    <t>VOLQUETE-CAMIONETA-MIXER Y CISTERNA DE AGUA</t>
  </si>
  <si>
    <t>BOMBA TELESCOPICA Y CAMIONETA</t>
  </si>
  <si>
    <t>EXCAVADORA-MONTACARGA-CARGADOR FRONTAL-RETROEXCAVADORA - MIXER - CISTERNA DE AGUA - VOLQUETE - CAMIONETA-TRACTOR ORUGA-CAMION GRUA-BOMBA TELESCOPICA</t>
  </si>
  <si>
    <t>LUIS GONGORA</t>
  </si>
  <si>
    <t>TAIPE CHALLCO</t>
  </si>
  <si>
    <t>U46307367</t>
  </si>
  <si>
    <t>ZEBALLOS CORZO</t>
  </si>
  <si>
    <t>Q40796635</t>
  </si>
  <si>
    <t>PIZARRO CENTENO</t>
  </si>
  <si>
    <t>HECTOR DAVID</t>
  </si>
  <si>
    <t>H42017416</t>
  </si>
  <si>
    <t>OPERDOR DE CARGADOR FRONTAL</t>
  </si>
  <si>
    <t>HUANACUNI CONDORI</t>
  </si>
  <si>
    <t>SAUL ISAAC</t>
  </si>
  <si>
    <t>J73486219</t>
  </si>
  <si>
    <t>CARGADOR FRONTAL Y CAMIONETA</t>
  </si>
  <si>
    <t>GUTIERREZ CRUZ</t>
  </si>
  <si>
    <t>CHRISTIAN HUMBERTO</t>
  </si>
  <si>
    <t>H46057854</t>
  </si>
  <si>
    <t>OMAR CUEVAS</t>
  </si>
  <si>
    <t>JEFE DE PRODUCCION</t>
  </si>
  <si>
    <t xml:space="preserve">CAMIONETA Y MONTACARGAS </t>
  </si>
  <si>
    <t>MIXER Y BOMBA TELESCOPICA</t>
  </si>
  <si>
    <t>OPERADOR DE MIXER -CISTERNA DEAGUA</t>
  </si>
  <si>
    <t>CARGADOR FRONTAL - MONTACARGAS-MIXER Y CISTERNA DE AGUA</t>
  </si>
  <si>
    <t xml:space="preserve"> MONTACARGA - CARGADOR FRONTAL - CAMIONETA-MIXER Y CISTERNA DE AGUA</t>
  </si>
  <si>
    <t>CAMIONETA -CAMION PICKUP</t>
  </si>
  <si>
    <t xml:space="preserve">GOMEZ SALAS </t>
  </si>
  <si>
    <t>RUSSELLY RAUL</t>
  </si>
  <si>
    <t>H71432322</t>
  </si>
  <si>
    <t>HARDAN BASANTA</t>
  </si>
  <si>
    <t>QUISPE APAZA</t>
  </si>
  <si>
    <t>MOISES</t>
  </si>
  <si>
    <t>Z75539923</t>
  </si>
  <si>
    <t>DEL CARPIO BELTRAN</t>
  </si>
  <si>
    <t>GLORIA KARELIA</t>
  </si>
  <si>
    <t>H72518754</t>
  </si>
  <si>
    <t>PEREZ MONTESINOS</t>
  </si>
  <si>
    <t>ABED MISHAEL</t>
  </si>
  <si>
    <t>H73444266</t>
  </si>
  <si>
    <t>JEFE DE SEGURIDAD</t>
  </si>
  <si>
    <t>FLORES CARBAJAL</t>
  </si>
  <si>
    <t>MILLER</t>
  </si>
  <si>
    <t>J43928680</t>
  </si>
  <si>
    <t>A 3C PROFESIONAL</t>
  </si>
  <si>
    <t>CISTERNA DE AGUA-VOLQUETE</t>
  </si>
  <si>
    <t xml:space="preserve">FLORES VALLES </t>
  </si>
  <si>
    <t>CHRISTIAN</t>
  </si>
  <si>
    <t>M43529756</t>
  </si>
  <si>
    <t xml:space="preserve">ZANABRIA HUILLCA </t>
  </si>
  <si>
    <t>GAMARRA CONDORI</t>
  </si>
  <si>
    <t>H43557164</t>
  </si>
  <si>
    <t xml:space="preserve">MAMANI BARRETO </t>
  </si>
  <si>
    <t>U42349603</t>
  </si>
  <si>
    <t>CISTERNA DE AGUA</t>
  </si>
  <si>
    <t>HUILLCA INCA</t>
  </si>
  <si>
    <t>ROLY IVAN</t>
  </si>
  <si>
    <t>H72566240</t>
  </si>
  <si>
    <t>HUANCA MAMANI</t>
  </si>
  <si>
    <t>MARCOS CLETO</t>
  </si>
  <si>
    <t>U41961569</t>
  </si>
  <si>
    <t>HUILLCA MOYA</t>
  </si>
  <si>
    <t>SALVADOR</t>
  </si>
  <si>
    <t>Z44942035</t>
  </si>
  <si>
    <t>CHOQUE NUÑONCA</t>
  </si>
  <si>
    <t>ABIMAEL</t>
  </si>
  <si>
    <t>Z43475208</t>
  </si>
  <si>
    <t xml:space="preserve">CARGADOR FRONTAL </t>
  </si>
  <si>
    <t>MAMANI LINARES</t>
  </si>
  <si>
    <t>EDER</t>
  </si>
  <si>
    <t>Z48310938</t>
  </si>
  <si>
    <t>CONZA ENRIQUEZ</t>
  </si>
  <si>
    <t>JOHN NINO</t>
  </si>
  <si>
    <t>Z42770393</t>
  </si>
  <si>
    <t>GUZMAN BERRIO</t>
  </si>
  <si>
    <t>LIBIO</t>
  </si>
  <si>
    <t>Z43133034</t>
  </si>
  <si>
    <t>CHOQUEÑA HUANACUNI</t>
  </si>
  <si>
    <t>U411117843</t>
  </si>
  <si>
    <t>CANTANI HUARACHA</t>
  </si>
  <si>
    <t>UBALDO</t>
  </si>
  <si>
    <t>Z45032356</t>
  </si>
  <si>
    <t>CONCHA CRUZ</t>
  </si>
  <si>
    <t>GEREMIAS</t>
  </si>
  <si>
    <t>Z24709274</t>
  </si>
  <si>
    <t>QUILLAHUAMAN LEVITA</t>
  </si>
  <si>
    <t>DAVID WILBER</t>
  </si>
  <si>
    <t>Z25322469</t>
  </si>
  <si>
    <t>PAREDES SANCA</t>
  </si>
  <si>
    <t>FREDDY HIDALGO</t>
  </si>
  <si>
    <t>H71316930</t>
  </si>
  <si>
    <t>12/02/201</t>
  </si>
  <si>
    <t>J47164790</t>
  </si>
  <si>
    <t>QUINTANA GUTIERREZ</t>
  </si>
  <si>
    <t>ELAR JEAN CARLO</t>
  </si>
  <si>
    <t>H44993222</t>
  </si>
  <si>
    <t>BOMBA TELESCOPICA - CAMIONETA Y MIXER</t>
  </si>
  <si>
    <t>JUAREZ LLERENA</t>
  </si>
  <si>
    <t>ISMAEL ANTONIO</t>
  </si>
  <si>
    <t>H70128599</t>
  </si>
  <si>
    <t>LUIS VASQUEZ</t>
  </si>
  <si>
    <t>TAPIA TITO</t>
  </si>
  <si>
    <t>H40658883</t>
  </si>
  <si>
    <t>ANGEL MORONI</t>
  </si>
  <si>
    <t xml:space="preserve"> MIXER -BOMBAS TELESCOPICA Y ESTACIONARIA -CAMIONETA</t>
  </si>
  <si>
    <t>CALISAYA MUSAJA</t>
  </si>
  <si>
    <t>WILLIAMS</t>
  </si>
  <si>
    <t>K44948020</t>
  </si>
  <si>
    <t>CARGADOR FRONTAL-CAMIONETA-CISTERNA DE AGUA</t>
  </si>
  <si>
    <t xml:space="preserve"> CARGADOR FRONTAL - MONTACARGA</t>
  </si>
  <si>
    <t>OPERADOR DE EQUIPO MOVIL</t>
  </si>
  <si>
    <t>PUMA RAMOS</t>
  </si>
  <si>
    <t>U29698132</t>
  </si>
  <si>
    <t>PACO APAZA</t>
  </si>
  <si>
    <t>U43307446</t>
  </si>
  <si>
    <t xml:space="preserve"> CAMIÓN CARRETA-CAMIONETA</t>
  </si>
  <si>
    <t>HARDAM BASANTA</t>
  </si>
  <si>
    <t>SULLA HUILLCA</t>
  </si>
  <si>
    <t>Z44328518</t>
  </si>
  <si>
    <t xml:space="preserve"> MIXER - VOLQUETE - CAMIONETA</t>
  </si>
  <si>
    <t>DANILO SIMEON</t>
  </si>
  <si>
    <t>H43291477</t>
  </si>
  <si>
    <t>CORONEL BARREDA</t>
  </si>
  <si>
    <t>ALEX RICHARD</t>
  </si>
  <si>
    <t>H43806413</t>
  </si>
  <si>
    <t>OSELI MARTINEZ</t>
  </si>
  <si>
    <t>MONTACARGA Y CARGADOR FRONTAL</t>
  </si>
  <si>
    <t>GUTIERREZ MENDOZA</t>
  </si>
  <si>
    <t>WILLY</t>
  </si>
  <si>
    <t>U44437548</t>
  </si>
  <si>
    <t>DANIEL CARCAMO</t>
  </si>
  <si>
    <t xml:space="preserve"> CARGADOR FRONTAL-MIXER-CISTERNA DE AGUA-MONTACARGAS</t>
  </si>
  <si>
    <t>VILAVILA LINARES</t>
  </si>
  <si>
    <t>H75523307</t>
  </si>
  <si>
    <t>WALTER ENRIQUE</t>
  </si>
  <si>
    <t>PINTO TEJADA</t>
  </si>
  <si>
    <t>DEYBER</t>
  </si>
  <si>
    <t>H47343247</t>
  </si>
  <si>
    <t xml:space="preserve">PUMA SULLA </t>
  </si>
  <si>
    <t>RICHARD</t>
  </si>
  <si>
    <t>H46855021</t>
  </si>
  <si>
    <t>RIVERA VILLALOBOS</t>
  </si>
  <si>
    <t>EDWARD RIVELINO</t>
  </si>
  <si>
    <t>H29558722</t>
  </si>
  <si>
    <t>RODRIGUEZ LAZARTE</t>
  </si>
  <si>
    <t>JESUS RICARDO</t>
  </si>
  <si>
    <t>H29260174</t>
  </si>
  <si>
    <t>SUPERINTENDENTE DE PREMEZCLADO</t>
  </si>
  <si>
    <t>GRANDES CUENTAS</t>
  </si>
  <si>
    <t>SUB GERENTE DE GRANDES CUENTAS</t>
  </si>
  <si>
    <t>VASQUEZ DIAZ</t>
  </si>
  <si>
    <t>BRAHIAN ARTURO</t>
  </si>
  <si>
    <t>H73146851</t>
  </si>
  <si>
    <t>MAMANI SANCHEZ</t>
  </si>
  <si>
    <t>U43653839</t>
  </si>
  <si>
    <t>QUICO TITO</t>
  </si>
  <si>
    <t>SANDRO RIGOBERTO</t>
  </si>
  <si>
    <t>H41782860</t>
  </si>
  <si>
    <t>COLLANTES ORTEGA</t>
  </si>
  <si>
    <t>STEEV JEFFERSON</t>
  </si>
  <si>
    <t>H44095094</t>
  </si>
  <si>
    <t>FLORES CESPEDES</t>
  </si>
  <si>
    <t>H29396529</t>
  </si>
  <si>
    <t>COAQUIRA OXA</t>
  </si>
  <si>
    <t>JHONATAN MICHELL</t>
  </si>
  <si>
    <t>H46300203</t>
  </si>
  <si>
    <t>DAMIAN DALMECIO</t>
  </si>
  <si>
    <t>H29602278</t>
  </si>
  <si>
    <t>RIVERA FERNANDEZ</t>
  </si>
  <si>
    <t>DEYVIS FERNANDO</t>
  </si>
  <si>
    <t>H43209245</t>
  </si>
  <si>
    <t>CARGADOR FRONTAL-EXCAVADORA -TRACTOR ORUGA-VOLQUETE</t>
  </si>
  <si>
    <t>FERNANDO</t>
  </si>
  <si>
    <t>H41409017</t>
  </si>
  <si>
    <t>RONDON ALI</t>
  </si>
  <si>
    <t>KELVIN JORMAN</t>
  </si>
  <si>
    <t>H71438746</t>
  </si>
  <si>
    <t>CAMION MIXER</t>
  </si>
  <si>
    <t>CARGADOR FRONTAL -MONTACARGAS-CAMIONETA Y MIXER</t>
  </si>
  <si>
    <t>BOMBA TELESCOPICA  Y MIXER</t>
  </si>
  <si>
    <t>SILVA SALAZAR</t>
  </si>
  <si>
    <t>GISELA JESUS</t>
  </si>
  <si>
    <t>O9391278</t>
  </si>
  <si>
    <t>QO9391278</t>
  </si>
  <si>
    <t>PORTILLO CURI</t>
  </si>
  <si>
    <t>CRISTHIAN GIOVANNI</t>
  </si>
  <si>
    <t>H45207840</t>
  </si>
  <si>
    <t>VOLQUETE-CAMIONETA- Y CISTERNA DE AGUA</t>
  </si>
  <si>
    <t>HERMOSILLA CUSIHUAMAN</t>
  </si>
  <si>
    <t>ELMER CARMELO</t>
  </si>
  <si>
    <t>O1344832</t>
  </si>
  <si>
    <t>UO1344832</t>
  </si>
  <si>
    <t>PERCA FLORES</t>
  </si>
  <si>
    <t>EFRAIN GORETII</t>
  </si>
  <si>
    <t>J43047838</t>
  </si>
  <si>
    <t>PALOMINO QUISPE</t>
  </si>
  <si>
    <t>GUNNAR BENGT</t>
  </si>
  <si>
    <t>J44425385</t>
  </si>
  <si>
    <t>CAMION BOMBA - BOMBA TELESCOPICA - CAMIONETA-MIXER</t>
  </si>
  <si>
    <t xml:space="preserve"> CAMION BOMBA - BOMBA TELESCOPICA - MIXER  Y CAMIONETA</t>
  </si>
  <si>
    <t xml:space="preserve">VOLQUETE - CAMIONETA - CISTERNA DE AGUA </t>
  </si>
  <si>
    <t>AYMA QUISPE</t>
  </si>
  <si>
    <t>EVER</t>
  </si>
  <si>
    <t>Z44944558</t>
  </si>
  <si>
    <t>CHASIN PFURO</t>
  </si>
  <si>
    <t>GUIDO YUDI</t>
  </si>
  <si>
    <t>Z47848661</t>
  </si>
  <si>
    <t>MARCA YANQUI</t>
  </si>
  <si>
    <t>ERASMO</t>
  </si>
  <si>
    <t>Z80015796</t>
  </si>
  <si>
    <t>ZARAVIA TURPO</t>
  </si>
  <si>
    <t>LEOPOLDO ALFREDO</t>
  </si>
  <si>
    <t>H44951165</t>
  </si>
  <si>
    <t>BANDERA HUAMAN</t>
  </si>
  <si>
    <t>GIOVANNI</t>
  </si>
  <si>
    <t>U25321753</t>
  </si>
  <si>
    <t>MINIBUS</t>
  </si>
  <si>
    <t>OPERADOR DE MINIBUS</t>
  </si>
  <si>
    <t>SOTILLO GONZALES</t>
  </si>
  <si>
    <t>H41834016</t>
  </si>
  <si>
    <t>ANDRES SOTILLO</t>
  </si>
  <si>
    <t>JORGE  HEBERTH</t>
  </si>
  <si>
    <t>QUISPE ALVAREZ</t>
  </si>
  <si>
    <t>H45355793</t>
  </si>
  <si>
    <t>A 3B PROFESIONAL</t>
  </si>
  <si>
    <t>A 3C</t>
  </si>
  <si>
    <t>A 2B PROFESIONAL</t>
  </si>
  <si>
    <t>A 2A PROFESIONAL</t>
  </si>
  <si>
    <t>IQUEÑO CHALLCO</t>
  </si>
  <si>
    <t>MAMANI LOPEZ</t>
  </si>
  <si>
    <t>YURI FRANCHEST</t>
  </si>
  <si>
    <t>Z44306843</t>
  </si>
  <si>
    <t>QQUENAYA MEZA</t>
  </si>
  <si>
    <t>Z25218948</t>
  </si>
  <si>
    <t>CARRILLO SERRANO</t>
  </si>
  <si>
    <t>JOHN FRANCIS</t>
  </si>
  <si>
    <t>J43687935</t>
  </si>
  <si>
    <t>CAUNA CHAMBILLA</t>
  </si>
  <si>
    <t>RENE EDGAR</t>
  </si>
  <si>
    <t>K44743158</t>
  </si>
  <si>
    <t>PAUCAR CONDORI</t>
  </si>
  <si>
    <t>Z40717346</t>
  </si>
  <si>
    <t>Q41451792</t>
  </si>
  <si>
    <t>K40913003</t>
  </si>
  <si>
    <t>SAYCO HALANOCCA</t>
  </si>
  <si>
    <t>RAUL DINO</t>
  </si>
  <si>
    <t>Z47145827</t>
  </si>
  <si>
    <t>CALLE GIRE</t>
  </si>
  <si>
    <t>UBER</t>
  </si>
  <si>
    <t>H43815177</t>
  </si>
  <si>
    <t>VELA RIVERA</t>
  </si>
  <si>
    <t>JAIME RODOLFO</t>
  </si>
  <si>
    <t>H29296098</t>
  </si>
  <si>
    <t>YLLA PILLCO</t>
  </si>
  <si>
    <t>Z45001809</t>
  </si>
  <si>
    <t>VILLAR ARANDA</t>
  </si>
  <si>
    <t>ALDO ANIBAL</t>
  </si>
  <si>
    <t>H48949818</t>
  </si>
  <si>
    <t>CAPARO GUEVARA</t>
  </si>
  <si>
    <t>ANDRE</t>
  </si>
  <si>
    <t>H72126200</t>
  </si>
  <si>
    <t>A2 B PROFESIONAL</t>
  </si>
  <si>
    <t>A3 B PROFESIONAL</t>
  </si>
  <si>
    <t>A3 B Profesional</t>
  </si>
  <si>
    <t>A3 C Profesional</t>
  </si>
  <si>
    <t>RODRIGUEZ YAÑEZ</t>
  </si>
  <si>
    <t>MARCOS ROGER</t>
  </si>
  <si>
    <t>H30862768</t>
  </si>
  <si>
    <t>QUISPE ARIZACA</t>
  </si>
  <si>
    <t xml:space="preserve">WILFREDO ELOY </t>
  </si>
  <si>
    <t>H41980387</t>
  </si>
  <si>
    <t>VASQUEZ VALDIVIA</t>
  </si>
  <si>
    <t>LUIS ALONSO</t>
  </si>
  <si>
    <t>H44425715</t>
  </si>
  <si>
    <t>OPERADOR DE MIXER - CISTERNA DE AGUA - CAMIONETA Y MINIBUS - BOMBA TELESCOPICA</t>
  </si>
  <si>
    <t>MIXER - VOLQUETE - CAMIONETA - BOMBA TELESCOPICA</t>
  </si>
  <si>
    <t>ARQUE HUAMANI</t>
  </si>
  <si>
    <t>JESUS ROLAND</t>
  </si>
  <si>
    <t>H40222720</t>
  </si>
  <si>
    <t>LLACHO CHOQUEHUANCA</t>
  </si>
  <si>
    <t>JUAN GUALBERTO</t>
  </si>
  <si>
    <t>H41297761</t>
  </si>
  <si>
    <t>PAREDES OCHOA</t>
  </si>
  <si>
    <t>EVER WILLIAMS</t>
  </si>
  <si>
    <t>H44890887</t>
  </si>
  <si>
    <t>ELECTRICISTA</t>
  </si>
  <si>
    <t>CALLAÑAUPA PUMA</t>
  </si>
  <si>
    <t>CALACHUA ARAUJO</t>
  </si>
  <si>
    <t>CARDENAS TORRES</t>
  </si>
  <si>
    <t>FRANCISCO BLAS</t>
  </si>
  <si>
    <t>H29462192</t>
  </si>
  <si>
    <t>LOZADA OCHARAU DAVID</t>
  </si>
  <si>
    <t>LOZADA OCHARAN DAVID</t>
  </si>
  <si>
    <t>VOLQUETE - CISTERNA DE AGUA - MIXER</t>
  </si>
  <si>
    <t>DAVID LOZADA OCHARAN</t>
  </si>
  <si>
    <t>CAMIONETA - VOLQUETE - MIXER - CISTERNA DE AGUA</t>
  </si>
  <si>
    <t>LLOCLLE HANCCO</t>
  </si>
  <si>
    <t>Z46399359</t>
  </si>
  <si>
    <t>GARCIA SUAREZ</t>
  </si>
  <si>
    <t>TORRES OBREGON</t>
  </si>
  <si>
    <t>YOBANI</t>
  </si>
  <si>
    <t>Z41892097</t>
  </si>
  <si>
    <t>AARON CARDENAS</t>
  </si>
  <si>
    <t>CJURO RAYA</t>
  </si>
  <si>
    <t>U41211371</t>
  </si>
  <si>
    <t xml:space="preserve"> MIXER - CAMIONETA - CISTERNA DE AGUA - BOMBA TELESCOPICA</t>
  </si>
  <si>
    <t>CAMION GRUA - MONTACARGA - CAMIONETA - SOLO TRASALDO MIXER</t>
  </si>
  <si>
    <t>CAMIONETA - MIXER - MONTACARGA - CISTERNA DE AGUA</t>
  </si>
  <si>
    <t>VILLALBA QUISPE</t>
  </si>
  <si>
    <t>Z46287249</t>
  </si>
  <si>
    <t>CCOPA CARHUAS</t>
  </si>
  <si>
    <t>Z45592561</t>
  </si>
  <si>
    <t>HENRY SERAPIO</t>
  </si>
  <si>
    <t xml:space="preserve"> BOMBA TELESOPICA - BOMBA ESTACIONARIA -  MIXER - CAMIONETA</t>
  </si>
  <si>
    <t>MIXER - CAMIONETA - BOMBA TELESCOPICA</t>
  </si>
  <si>
    <t>MIXER-VOLQUETE - CAMIONETA - CISTERNA DE AGUA - BOMBA TELESCOPICA</t>
  </si>
  <si>
    <t>MONTACARGAS - CAMIONETA</t>
  </si>
  <si>
    <t>BOMBA TELESCOPICA - MIXER - CAMIONETA</t>
  </si>
  <si>
    <t>EXCAVADORA - CARGADOR FRONTAL</t>
  </si>
  <si>
    <t>CAMIONETA - VOLQUETE</t>
  </si>
  <si>
    <t>CCARI  MOLLOCAHUANA</t>
  </si>
  <si>
    <t>DIEGO</t>
  </si>
  <si>
    <t>H73031204</t>
  </si>
  <si>
    <t>CON RESTRICCIONES</t>
  </si>
  <si>
    <t>CAMIONETA - CARGADOR FRONTAL - MONTACARGAS</t>
  </si>
  <si>
    <t xml:space="preserve"> MIXER - CAMIONETA-VOLQUETE-CISTERNA DE AGUA</t>
  </si>
  <si>
    <t>ORTIZ DE ORUE PINO</t>
  </si>
  <si>
    <t>CIRO JESUS</t>
  </si>
  <si>
    <t>Z41086135</t>
  </si>
  <si>
    <t>RESTRICCIONES: CON LENTES</t>
  </si>
  <si>
    <t>GUEVERA QUISPE</t>
  </si>
  <si>
    <t>ROBERTO NOE</t>
  </si>
  <si>
    <t>H40736593</t>
  </si>
  <si>
    <t>SUPERVISOR DE EQUIPO MOVIL</t>
  </si>
  <si>
    <t>MIXER - CAMIONETA - CARGADOR FRONTAL -  BOMBA TELESCOPICA - VOLQUETE</t>
  </si>
  <si>
    <t>Z72433165</t>
  </si>
  <si>
    <t>HANCCO HANCCO</t>
  </si>
  <si>
    <t>MIXER - BOMBA TELESCOPICA</t>
  </si>
  <si>
    <t>CONDORI TTITO</t>
  </si>
  <si>
    <t>Z72652301</t>
  </si>
  <si>
    <t>APAZA ZAPANA</t>
  </si>
  <si>
    <t>U46870598</t>
  </si>
  <si>
    <t>GOMEZ CAUNA</t>
  </si>
  <si>
    <t>ADEMIR</t>
  </si>
  <si>
    <t>U45096474</t>
  </si>
  <si>
    <t>CONDORI IDME</t>
  </si>
  <si>
    <t>YOSET JOEL</t>
  </si>
  <si>
    <t>U70411160</t>
  </si>
  <si>
    <t>BOMBA ESTACIONARIA - CAMIONETA</t>
  </si>
  <si>
    <t>UMERES QUISPE</t>
  </si>
  <si>
    <t>Z43570966</t>
  </si>
  <si>
    <t>SUPERVISOR DE PLANTA</t>
  </si>
  <si>
    <t>CONDUCTOR DE CAMIONETA</t>
  </si>
  <si>
    <t>CUTIMBO CHARCA</t>
  </si>
  <si>
    <t>U01344749</t>
  </si>
  <si>
    <t>01344749</t>
  </si>
  <si>
    <t>VOLQUETE - CARGADOR FRONTAL</t>
  </si>
  <si>
    <t>RIVERA HANCCO</t>
  </si>
  <si>
    <t>H29736629</t>
  </si>
  <si>
    <t>MARTINEZ JIMENEZ</t>
  </si>
  <si>
    <t>ROBERTO FERNANDO</t>
  </si>
  <si>
    <t>J42785521</t>
  </si>
  <si>
    <t>VILCAHUAMAN CHURATA</t>
  </si>
  <si>
    <t>JESUS DANTE</t>
  </si>
  <si>
    <t>H44295496</t>
  </si>
  <si>
    <t>URDAY BUSTINZA</t>
  </si>
  <si>
    <t>ABNER JONATHAN</t>
  </si>
  <si>
    <t>H40601925</t>
  </si>
  <si>
    <t>CORNEJO SOBARZO</t>
  </si>
  <si>
    <t>MARIO RODRIGO</t>
  </si>
  <si>
    <t>P13057113</t>
  </si>
  <si>
    <t>B</t>
  </si>
  <si>
    <t>MARIO CORNEJO</t>
  </si>
  <si>
    <t>GERENTE GENERAL</t>
  </si>
  <si>
    <t xml:space="preserve">F. DE EMISIÓN </t>
  </si>
  <si>
    <t xml:space="preserve">F. CADUCIDAD </t>
  </si>
  <si>
    <t xml:space="preserve">LIC CONDUCIR </t>
  </si>
  <si>
    <t xml:space="preserve">TELLO CONDE </t>
  </si>
  <si>
    <t>EDGARDO JESUS</t>
  </si>
  <si>
    <t>D40804642</t>
  </si>
  <si>
    <t>RRHH</t>
  </si>
  <si>
    <t>JEFE DE GESTION HUMANA</t>
  </si>
  <si>
    <t>MIXER - CAMIONETA - CISTERNA DE AGUA - VOLQUETE</t>
  </si>
  <si>
    <t>AMERICO</t>
  </si>
  <si>
    <t>K04427969</t>
  </si>
  <si>
    <t xml:space="preserve">VELASQUE GUIZADO </t>
  </si>
  <si>
    <t>EDGAR ISAIAS</t>
  </si>
  <si>
    <t>PLANILLA</t>
  </si>
  <si>
    <t>NO</t>
  </si>
  <si>
    <t>SI</t>
  </si>
  <si>
    <t>04653641</t>
  </si>
  <si>
    <t>VOLQUETE-MIXER-CAMIONETA Y CISTERNA DE AGUA</t>
  </si>
  <si>
    <t>LICENCIA RETENIDA</t>
  </si>
  <si>
    <t>AIIB</t>
  </si>
  <si>
    <t>AI</t>
  </si>
  <si>
    <t>CANCELADA / CONDUCTOR INHABILITADO</t>
  </si>
  <si>
    <t>SITUACION LICENCIA MTC
VENCIDA = 0
POR VENCER = 15 DIAS ANTICIPACION</t>
  </si>
  <si>
    <t>SEGURIDAD SIG</t>
  </si>
  <si>
    <t>SUPERINTENDENTE SEGURIDAD SIG</t>
  </si>
  <si>
    <t>SALINAS ROSAS</t>
  </si>
  <si>
    <t>LUIS EDUARDO</t>
  </si>
  <si>
    <t>H73932647</t>
  </si>
  <si>
    <t>PLANNER</t>
  </si>
  <si>
    <t>TARIFA HUAMANQUISPE</t>
  </si>
  <si>
    <t>H41574840</t>
  </si>
  <si>
    <t>GYNO LUQUE</t>
  </si>
  <si>
    <t>CONDUCTOR DE MINUBUS</t>
  </si>
  <si>
    <t>CAMIÓN MIXER Y CISTERNA DE AGUA</t>
  </si>
  <si>
    <t>MIXER - CISTERNA AGUA - CAMIONETA</t>
  </si>
  <si>
    <t>OPERADOR DE VOLQUETE Y CARGADOR FRONTAL</t>
  </si>
  <si>
    <t xml:space="preserve">SACA CONDORI </t>
  </si>
  <si>
    <t>AMADEO</t>
  </si>
  <si>
    <t>H77384800</t>
  </si>
  <si>
    <t>PREFABRICADO</t>
  </si>
  <si>
    <t>CARLOS MARTEL</t>
  </si>
  <si>
    <t>OP. DE MONTACARGAS</t>
  </si>
  <si>
    <t xml:space="preserve">CHAVEZ GONZALES </t>
  </si>
  <si>
    <t>H70272826</t>
  </si>
  <si>
    <t>VILCA OVIEDO</t>
  </si>
  <si>
    <t>H44907279</t>
  </si>
  <si>
    <t>OP. DE VOLQUETE</t>
  </si>
  <si>
    <t>VALDIVIA CALLO</t>
  </si>
  <si>
    <t>J70132865</t>
  </si>
  <si>
    <t>VOLQUETE-CISTERNA DE AGUA-MIXER Y CAMIONETA</t>
  </si>
  <si>
    <t>CHACON MAMANI</t>
  </si>
  <si>
    <t>MARCO ALFFREDO</t>
  </si>
  <si>
    <t>H41638553</t>
  </si>
  <si>
    <t>MANRIQUE MARQUEZ</t>
  </si>
  <si>
    <t>JESUS TRIMEGISTRO</t>
  </si>
  <si>
    <t>H44727426</t>
  </si>
  <si>
    <t>MINIBUS Y CAMIONETA</t>
  </si>
  <si>
    <t>CARCAMO GOTTSCHALG</t>
  </si>
  <si>
    <t>DANIEL MARCIO</t>
  </si>
  <si>
    <t>B02816279</t>
  </si>
  <si>
    <t>SUB GERENTE COMERCIAL</t>
  </si>
  <si>
    <t>ALVAREZ MORALES</t>
  </si>
  <si>
    <t>K42783710</t>
  </si>
  <si>
    <t>JEFE DE CONTROL DE CALIDAD</t>
  </si>
  <si>
    <t>HUICHE AGUILAR</t>
  </si>
  <si>
    <t>JUVER ARNALDO</t>
  </si>
  <si>
    <t>PATRIMONIAL</t>
  </si>
  <si>
    <t>H29628570</t>
  </si>
  <si>
    <t>a</t>
  </si>
  <si>
    <t xml:space="preserve">AQUINO SAICO </t>
  </si>
  <si>
    <t>JOEL ENRIQUE</t>
  </si>
  <si>
    <t>H73376822</t>
  </si>
  <si>
    <t>PLANIFICADOR</t>
  </si>
  <si>
    <t>ANAYHUACHACA MAMANI</t>
  </si>
  <si>
    <t>H47629940</t>
  </si>
  <si>
    <t>TINUCO HUAMANI</t>
  </si>
  <si>
    <t>LLAVILLA ALARCON</t>
  </si>
  <si>
    <t>ARTURO ALEJANDRO</t>
  </si>
  <si>
    <t>H43066439</t>
  </si>
  <si>
    <t xml:space="preserve">CCOLQQUE AYME </t>
  </si>
  <si>
    <t xml:space="preserve">EXCAVADORA Y CARGADOR FRONTAL </t>
  </si>
  <si>
    <t>CUBA GALLEGOS</t>
  </si>
  <si>
    <t>H40590802</t>
  </si>
  <si>
    <t>ALCCA HUAMANI</t>
  </si>
  <si>
    <t>H42988103</t>
  </si>
  <si>
    <t>OPERADOR DE EQUIPO MOVIL 2</t>
  </si>
  <si>
    <t>QUINCHO PAREDES</t>
  </si>
  <si>
    <t>CRISTIAN ENRIQUE</t>
  </si>
  <si>
    <t>H62757501</t>
  </si>
  <si>
    <t>OPERADOR DE EQUIPO MOVIL1</t>
  </si>
  <si>
    <t>PASTOR MEDINA</t>
  </si>
  <si>
    <t>Q41804320</t>
  </si>
  <si>
    <t>MANTENIMI9ENTO</t>
  </si>
  <si>
    <t>LOPEZ GONZALES</t>
  </si>
  <si>
    <t>YOSIMAR</t>
  </si>
  <si>
    <t>H43585627</t>
  </si>
  <si>
    <t>SUPERVISOR DE PRODUCCION</t>
  </si>
  <si>
    <t>OK</t>
  </si>
  <si>
    <t>HUANCA AINAYA</t>
  </si>
  <si>
    <t>ALEX MARIN</t>
  </si>
  <si>
    <t xml:space="preserve">PATRICIA CARPIO </t>
  </si>
  <si>
    <t>H41798247</t>
  </si>
  <si>
    <t>LIDER  COMERCIAL</t>
  </si>
  <si>
    <t>TAPIA QUISPE</t>
  </si>
  <si>
    <t>YONY RICHARD</t>
  </si>
  <si>
    <t>U42458865</t>
  </si>
  <si>
    <t>PEREZ VARGAS</t>
  </si>
  <si>
    <t>CARLOS HUMBERTO</t>
  </si>
  <si>
    <t>H45981193</t>
  </si>
  <si>
    <t xml:space="preserve">VARGAS HUARANCA </t>
  </si>
  <si>
    <t>ENZO LUIS</t>
  </si>
  <si>
    <t>J73210735</t>
  </si>
  <si>
    <t>Jefe de Calidad</t>
  </si>
  <si>
    <t xml:space="preserve"> MIXER-CAMIONETA</t>
  </si>
  <si>
    <t>CASTRO CCOSAÑA</t>
  </si>
  <si>
    <t>H47586874</t>
  </si>
  <si>
    <t xml:space="preserve">QUISPE LAURA </t>
  </si>
  <si>
    <t xml:space="preserve">JULIAN </t>
  </si>
  <si>
    <t>H43122447</t>
  </si>
  <si>
    <t>MINIBUS - CAMIONETA</t>
  </si>
  <si>
    <t>CONDUNTOR DE MINIBUS</t>
  </si>
  <si>
    <t>QUISPE NOA</t>
  </si>
  <si>
    <t xml:space="preserve">RAUL </t>
  </si>
  <si>
    <t>Z48765854</t>
  </si>
  <si>
    <t>ESQUIVES VELASQUEZ</t>
  </si>
  <si>
    <t>MANUEL ENRIQUE</t>
  </si>
  <si>
    <t>K42397072</t>
  </si>
  <si>
    <t>LLAVE GILLEN</t>
  </si>
  <si>
    <t>J71461030</t>
  </si>
  <si>
    <t>VOLQUETE - CARGADOR FRONTAL - MIXER</t>
  </si>
  <si>
    <t>VOLQUETE - MIXER</t>
  </si>
  <si>
    <t>DIAZ CHAVEZ</t>
  </si>
  <si>
    <t>H46574340</t>
  </si>
  <si>
    <t>H71560446</t>
  </si>
  <si>
    <t>VILLA HUAMANI</t>
  </si>
  <si>
    <t>ERICK OSWALDO</t>
  </si>
  <si>
    <t>H73212630</t>
  </si>
  <si>
    <t>BAUTISTA MUÑOZ</t>
  </si>
  <si>
    <t>U43254890</t>
  </si>
  <si>
    <t>LOPEZ ARENAS</t>
  </si>
  <si>
    <t>H29534747</t>
  </si>
  <si>
    <t xml:space="preserve">ARAGON SOLIS </t>
  </si>
  <si>
    <t>ERWIN MELVIN</t>
  </si>
  <si>
    <t>H40174205</t>
  </si>
  <si>
    <t>SEGURA ROJAS</t>
  </si>
  <si>
    <t>HELBER STEVEN</t>
  </si>
  <si>
    <t>H43061853</t>
  </si>
  <si>
    <t>H29474368</t>
  </si>
  <si>
    <t>CHANCAHUAÑA HUAMANI</t>
  </si>
  <si>
    <t>RAMON YON</t>
  </si>
  <si>
    <t>H77231384</t>
  </si>
  <si>
    <t>RETAMOZO ILACOPA</t>
  </si>
  <si>
    <t>NELSON BENJAMIN</t>
  </si>
  <si>
    <t>H48311404</t>
  </si>
  <si>
    <t>ANCCO ACHATA</t>
  </si>
  <si>
    <t>Z42809199</t>
  </si>
  <si>
    <t>ARI ADCO</t>
  </si>
  <si>
    <t>DAVID MISAEL</t>
  </si>
  <si>
    <t>Z71704506</t>
  </si>
  <si>
    <t>CAHUAPAZA HUAMANI</t>
  </si>
  <si>
    <t>ELEUTERIO FERNANDO</t>
  </si>
  <si>
    <t>H80338992</t>
  </si>
  <si>
    <t>QUISPE TICONA</t>
  </si>
  <si>
    <t>FREDDY NELSON</t>
  </si>
  <si>
    <t>H40864378</t>
  </si>
  <si>
    <t>FLORES SANTILLANA</t>
  </si>
  <si>
    <t>JONATHAN FRANK</t>
  </si>
  <si>
    <t>H46154935</t>
  </si>
  <si>
    <t>CAYLLAHUA CHOQUEHUAYTA</t>
  </si>
  <si>
    <t>PALERMO</t>
  </si>
  <si>
    <t>U71833228</t>
  </si>
  <si>
    <t>PATRCIA CARPIO</t>
  </si>
  <si>
    <t>TECNICO DE CAMPO</t>
  </si>
  <si>
    <t xml:space="preserve">OPERADOR DE MIXER  </t>
  </si>
  <si>
    <t>HEBERTH</t>
  </si>
  <si>
    <t>HUAMAN ESPINOZA</t>
  </si>
  <si>
    <t>Z46130458</t>
  </si>
  <si>
    <t>OPERADOR  DE BOMBA TELESCOPICA</t>
  </si>
  <si>
    <t>NUÑEZ MAMANI</t>
  </si>
  <si>
    <t>ELMER RENE</t>
  </si>
  <si>
    <t>H71807507</t>
  </si>
  <si>
    <t>fan</t>
  </si>
  <si>
    <t>FARFAN CHACON</t>
  </si>
  <si>
    <t>JOEL GUSTAVO</t>
  </si>
  <si>
    <t>H44775056</t>
  </si>
  <si>
    <t>OPERADOR DE VOLQUETE CAMIONETA</t>
  </si>
  <si>
    <t>el</t>
  </si>
  <si>
    <t>VILCA RODRIGO</t>
  </si>
  <si>
    <t>CRISTHIAN JOEL</t>
  </si>
  <si>
    <t>H72943011</t>
  </si>
  <si>
    <t>ORTIZ MAMANI</t>
  </si>
  <si>
    <t>HEBERT</t>
  </si>
  <si>
    <t>H46122727</t>
  </si>
  <si>
    <t>MIXER - CAMIONETA-BOMBA TELESCOPICA</t>
  </si>
  <si>
    <t>K29314977</t>
  </si>
  <si>
    <t xml:space="preserve">GUILLEN HERRERA </t>
  </si>
  <si>
    <t>PAYE MEZA</t>
  </si>
  <si>
    <t>YERMIN ORLANDO</t>
  </si>
  <si>
    <t>H70525580</t>
  </si>
  <si>
    <t>PIZANGO CONDORI</t>
  </si>
  <si>
    <t>H29609263</t>
  </si>
  <si>
    <t>LUIS EDGAR</t>
  </si>
  <si>
    <t>SANCHEZ GAMARRA</t>
  </si>
  <si>
    <t>ALEX JAVIER</t>
  </si>
  <si>
    <t>H29411547</t>
  </si>
  <si>
    <t>OPERADOR DE CISTERMA</t>
  </si>
  <si>
    <t>PAREDES SONCCO</t>
  </si>
  <si>
    <t>F72321835</t>
  </si>
  <si>
    <t>PAREDES TALAVERA</t>
  </si>
  <si>
    <t>OSCAR ANIBAL</t>
  </si>
  <si>
    <t>B NEGATIVO</t>
  </si>
  <si>
    <t>H71249084</t>
  </si>
  <si>
    <t>OPERADOR DE EQUIPO MULTIPLE</t>
  </si>
  <si>
    <t>TTIRA TAIPE</t>
  </si>
  <si>
    <t>H48763638</t>
  </si>
  <si>
    <t>QUISPE PILCO</t>
  </si>
  <si>
    <t>ALEX WILLIAM</t>
  </si>
  <si>
    <t>H46739263</t>
  </si>
  <si>
    <t>PINTO OLIN</t>
  </si>
  <si>
    <t>GUILLERMO GABRIEL</t>
  </si>
  <si>
    <t>H76539701</t>
  </si>
  <si>
    <t>MIXER- VOLQUETE</t>
  </si>
  <si>
    <t>RIOS POQUIOMA</t>
  </si>
  <si>
    <t>GINO RANDY</t>
  </si>
  <si>
    <t>Z44691976</t>
  </si>
  <si>
    <t>HANCCO CAYRA</t>
  </si>
  <si>
    <t>DEYBIS VICTOR</t>
  </si>
  <si>
    <t>H46000769</t>
  </si>
  <si>
    <t xml:space="preserve">PARI CRISTOBAL </t>
  </si>
  <si>
    <t>RANILLA RODRIGUEZ</t>
  </si>
  <si>
    <t>NICOLAS YSMAEL</t>
  </si>
  <si>
    <t>Q00239408</t>
  </si>
  <si>
    <t>SERRANO CORRALES</t>
  </si>
  <si>
    <t>H29602462</t>
  </si>
  <si>
    <t>PACHECO AVALOS</t>
  </si>
  <si>
    <t>GERSON OTONIEL</t>
  </si>
  <si>
    <t>H42659090</t>
  </si>
  <si>
    <t>MAYTA HUANCHOQUE</t>
  </si>
  <si>
    <t>H29626641</t>
  </si>
  <si>
    <t>GIHUAÑA CCOYORI</t>
  </si>
  <si>
    <t>Z48403784</t>
  </si>
  <si>
    <t>ANTHONY ZUÑIGA</t>
  </si>
  <si>
    <t>TIPO HILARES</t>
  </si>
  <si>
    <t>H47028018</t>
  </si>
  <si>
    <t>U70972062</t>
  </si>
  <si>
    <t>MIXER - CISTERNA DE AGUA - CARGADOR FRONTAL - CAMIONETA - MONTACARGAS</t>
  </si>
  <si>
    <t>OPERADOR MULTIPLE</t>
  </si>
  <si>
    <t xml:space="preserve">SUCAPUCA QUISPE </t>
  </si>
  <si>
    <t>MAX</t>
  </si>
  <si>
    <t>H46999083</t>
  </si>
  <si>
    <t>CISTERNA DE AGUA - MIXER</t>
  </si>
  <si>
    <t>PEREA GONZALES</t>
  </si>
  <si>
    <t>CARLOS RODRIGO</t>
  </si>
  <si>
    <t>H71217921</t>
  </si>
  <si>
    <t>CALLME CHIVIGORRI</t>
  </si>
  <si>
    <t>CHRISTIAN MARCIAL</t>
  </si>
  <si>
    <t>H71711120</t>
  </si>
  <si>
    <t>MIXER - BOMBA TELESCOPICA - VOLQUETE CAMIONETA</t>
  </si>
  <si>
    <t>TURPO SOSA</t>
  </si>
  <si>
    <t>DIEGO LUIS</t>
  </si>
  <si>
    <t>H70482990</t>
  </si>
  <si>
    <t>CHUCTAYA QUISPE</t>
  </si>
  <si>
    <t>H73384374</t>
  </si>
  <si>
    <t>CHAVEZ MENDOZA</t>
  </si>
  <si>
    <t>NOE CLEMENTE</t>
  </si>
  <si>
    <t>H75287430</t>
  </si>
  <si>
    <t>HUAMAN CORNEJO</t>
  </si>
  <si>
    <t>J70779731</t>
  </si>
  <si>
    <t>SUPERVISOR DE CONTROL DE CALIDAD</t>
  </si>
  <si>
    <t>PAYE FLORES</t>
  </si>
  <si>
    <t>H42749028</t>
  </si>
  <si>
    <t>CONDUCTOR DE MINIBUS</t>
  </si>
  <si>
    <t xml:space="preserve"> MIXER-CISTERNA DE AGUA-CAMIONETA-CAMION GRUA-VOLQUETE-BOMBA TELESCOPICA-CAMION CARRETA</t>
  </si>
  <si>
    <t>LAYME PERALTA</t>
  </si>
  <si>
    <t xml:space="preserve">EDILBERTO </t>
  </si>
  <si>
    <t>H41723603</t>
  </si>
  <si>
    <t>MECANICO ELECTRICISTA</t>
  </si>
  <si>
    <t>SUCLLE SULLA</t>
  </si>
  <si>
    <t>AMAWET GRACIELA</t>
  </si>
  <si>
    <t>H72244326</t>
  </si>
  <si>
    <t>AYMARA PEREZ</t>
  </si>
  <si>
    <t>CARLOS ALEXANDER</t>
  </si>
  <si>
    <t>H70403469</t>
  </si>
  <si>
    <t>ISIDRO GUERRA</t>
  </si>
  <si>
    <t>F42206444</t>
  </si>
  <si>
    <t>ALCAHUAMAN JARATA</t>
  </si>
  <si>
    <t>H71075751</t>
  </si>
  <si>
    <t>CONDORI LAURA</t>
  </si>
  <si>
    <t>K29553114</t>
  </si>
  <si>
    <t>SUPERVISOR CONTROL DE CALIDAD</t>
  </si>
  <si>
    <t>QUICO GUTIERREZ</t>
  </si>
  <si>
    <t>JOHN JIMMY</t>
  </si>
  <si>
    <t>H70286968</t>
  </si>
  <si>
    <t>MEDINA CCELLCCA</t>
  </si>
  <si>
    <t>JOSE</t>
  </si>
  <si>
    <t>Q10107450</t>
  </si>
  <si>
    <t>GIL CUSIHUALLPA</t>
  </si>
  <si>
    <t>Z45578309</t>
  </si>
  <si>
    <t>MANTENIENTO</t>
  </si>
  <si>
    <t>PILARES PUMA</t>
  </si>
  <si>
    <t>RUBEN ELVIS</t>
  </si>
  <si>
    <t>H71077355</t>
  </si>
  <si>
    <t xml:space="preserve"> MONTACARGA CAMIONETA</t>
  </si>
  <si>
    <t>PEÑA DE LA CUBA</t>
  </si>
  <si>
    <t>MARIO FERNANDO</t>
  </si>
  <si>
    <t>Y40473489</t>
  </si>
  <si>
    <t>BOMBA TELESCOPICA - CAMION MIXER - CAMION GRUA - VOLQUETE - CAMIONETA - MONTACARGA</t>
  </si>
  <si>
    <t>MONTACARGAS - CARGADOR FRONTAL</t>
  </si>
  <si>
    <t>SIMBALA BALLENA</t>
  </si>
  <si>
    <t>H40736572</t>
  </si>
  <si>
    <t>QUISPE GUZMAN</t>
  </si>
  <si>
    <t>ABDON EMILIANO</t>
  </si>
  <si>
    <t>H71850992</t>
  </si>
  <si>
    <t>SENCIA CCAÑA</t>
  </si>
  <si>
    <t>EDWIN SAUL</t>
  </si>
  <si>
    <t>H47050964</t>
  </si>
  <si>
    <t>CERVANTES VALDIVIA</t>
  </si>
  <si>
    <t>PABLO STEVEN</t>
  </si>
  <si>
    <t>H45044273</t>
  </si>
  <si>
    <t>SUPERVISOR SSOMA</t>
  </si>
  <si>
    <t>BELTRAN LAZO</t>
  </si>
  <si>
    <t>H46522490</t>
  </si>
  <si>
    <t>CHICAÑA RAMOS</t>
  </si>
  <si>
    <t>ALVARO JOSE</t>
  </si>
  <si>
    <t>H77032927</t>
  </si>
  <si>
    <t>MEDINA QUISPE</t>
  </si>
  <si>
    <t>RENE RONALDO</t>
  </si>
  <si>
    <t>H71050662</t>
  </si>
  <si>
    <t>DELGADO CORRALES</t>
  </si>
  <si>
    <t>GABRIEL ANDRES</t>
  </si>
  <si>
    <t>H70795490</t>
  </si>
  <si>
    <t>ZEBALLOS AMOROS</t>
  </si>
  <si>
    <t>DANIEL ANIBAL</t>
  </si>
  <si>
    <t>H42355710</t>
  </si>
  <si>
    <t xml:space="preserve">VALDIVIA RAMIREZ </t>
  </si>
  <si>
    <t>OMAR ARGELIO</t>
  </si>
  <si>
    <t>H29680102</t>
  </si>
  <si>
    <t>ZAVALAGA SUAREZ</t>
  </si>
  <si>
    <t>DIEGO SAMIR</t>
  </si>
  <si>
    <t>H70545043</t>
  </si>
  <si>
    <t>ASISTENTE DE PLANTA</t>
  </si>
  <si>
    <t>TAIPE MAYNA</t>
  </si>
  <si>
    <t>H46807406</t>
  </si>
  <si>
    <t xml:space="preserve">ARROYO ESPINOZA </t>
  </si>
  <si>
    <t>MAYCOL YOR</t>
  </si>
  <si>
    <t>H70345181</t>
  </si>
  <si>
    <t>CHANCOLLA FLORES</t>
  </si>
  <si>
    <t>SANTOS MARTIN</t>
  </si>
  <si>
    <t>K42161277</t>
  </si>
  <si>
    <t>RIVALDO</t>
  </si>
  <si>
    <t>H70395726</t>
  </si>
  <si>
    <t>AYUDANTE DE PLANTA</t>
  </si>
  <si>
    <t xml:space="preserve">SALGADO SALAS </t>
  </si>
  <si>
    <t>HANS DANIEL</t>
  </si>
  <si>
    <t>H40803385</t>
  </si>
  <si>
    <t>JEFE SSOMA</t>
  </si>
  <si>
    <t xml:space="preserve">PILLCO LLOCLLE </t>
  </si>
  <si>
    <t>OSMAR</t>
  </si>
  <si>
    <t>Z48557922</t>
  </si>
  <si>
    <t>CCANA APAZA</t>
  </si>
  <si>
    <t>ECTOR REY</t>
  </si>
  <si>
    <t>Q47815115</t>
  </si>
  <si>
    <t>CISTERNA DE AGUA - VOLQUETE - CAMIONETA</t>
  </si>
  <si>
    <t xml:space="preserve"> EXCAVADORA - CARGADOR FRONTAL - CAMIONETA</t>
  </si>
  <si>
    <t>LOAYZA PUMA</t>
  </si>
  <si>
    <t>JUAN JESUS</t>
  </si>
  <si>
    <t>H46527712</t>
  </si>
  <si>
    <t>QUISPE PACORI</t>
  </si>
  <si>
    <t>VENTURA MAMANI</t>
  </si>
  <si>
    <t>RUSBEL LEONEL</t>
  </si>
  <si>
    <t>J45206997</t>
  </si>
  <si>
    <t xml:space="preserve">CARGADOR FRONTAL - RETROEXCAVADORA - CAMION GRUA  </t>
  </si>
  <si>
    <t xml:space="preserve">BOMBA TELESCOPICA - MIXER </t>
  </si>
  <si>
    <t>CRUZ SALCEDO</t>
  </si>
  <si>
    <t>K29409336</t>
  </si>
  <si>
    <t>TURPO TURPO</t>
  </si>
  <si>
    <t>Z43890815</t>
  </si>
  <si>
    <t xml:space="preserve">CUTIPA LLALLACACHI </t>
  </si>
  <si>
    <t>PIO</t>
  </si>
  <si>
    <t>H30666605</t>
  </si>
  <si>
    <t>PACHA MACHACA</t>
  </si>
  <si>
    <t>HERLIN TOMAS</t>
  </si>
  <si>
    <t>H42816676</t>
  </si>
  <si>
    <t>MAMANI YTO</t>
  </si>
  <si>
    <t>WILFREDO NEMESIO</t>
  </si>
  <si>
    <t>H42693579</t>
  </si>
  <si>
    <t>CHUA HUAMANI</t>
  </si>
  <si>
    <t>H42130049</t>
  </si>
  <si>
    <t>AGUIRRE PERALTA</t>
  </si>
  <si>
    <t>ALEJANDRO CIBOR</t>
  </si>
  <si>
    <t>H42512885</t>
  </si>
  <si>
    <t>AEDO PERALTA</t>
  </si>
  <si>
    <t>EDGARD FELIPE</t>
  </si>
  <si>
    <t>H29604414</t>
  </si>
  <si>
    <t>MAX ARTURO</t>
  </si>
  <si>
    <t>H42558700</t>
  </si>
  <si>
    <t>ESCALANTE ALEGRIA</t>
  </si>
  <si>
    <t>Y06794726</t>
  </si>
  <si>
    <t>BOLAÑOS RIVERA</t>
  </si>
  <si>
    <t>ARIANA BETZABETH</t>
  </si>
  <si>
    <t>H71949191</t>
  </si>
  <si>
    <t>FERNANDO PEÑA</t>
  </si>
  <si>
    <t>ASISTENTE COMERCIAL</t>
  </si>
  <si>
    <t>A3C Profesional</t>
  </si>
  <si>
    <t>CAMIONETA - MIXER</t>
  </si>
  <si>
    <t>BORDA LUQUE</t>
  </si>
  <si>
    <t>GIANCARLO MANUEL</t>
  </si>
  <si>
    <t>Q411138026</t>
  </si>
  <si>
    <t>SUBGERENTE COMERCIAL PREFABRICADOS</t>
  </si>
  <si>
    <t>MAMANI MINA</t>
  </si>
  <si>
    <t>DENIS EDWIN</t>
  </si>
  <si>
    <t>H48363003</t>
  </si>
  <si>
    <t>SOLIS GONZALES</t>
  </si>
  <si>
    <t>JEAN PIER ALEJANDRO</t>
  </si>
  <si>
    <t>J72114572</t>
  </si>
  <si>
    <t>DE ALMEIDA OLIVEIRA</t>
  </si>
  <si>
    <t>TATIANE</t>
  </si>
  <si>
    <t>GL741725</t>
  </si>
  <si>
    <t>LIDER CALIDAD</t>
  </si>
  <si>
    <t>VALERIANO MAMANI</t>
  </si>
  <si>
    <t>ALFREDO NESTOR</t>
  </si>
  <si>
    <t>H45881968</t>
  </si>
  <si>
    <t>PAIPAY QUISPE</t>
  </si>
  <si>
    <t>PUMA FLORES</t>
  </si>
  <si>
    <t>H72150571</t>
  </si>
  <si>
    <t>VERA YUFRA</t>
  </si>
  <si>
    <t>H29565508</t>
  </si>
  <si>
    <t>FRANK RAUL</t>
  </si>
  <si>
    <t>CHACONDORI COA</t>
  </si>
  <si>
    <t>H71430608</t>
  </si>
  <si>
    <t>CAMION MIXER / CARGADOR FRONTAL</t>
  </si>
  <si>
    <t>VILCA TURPO</t>
  </si>
  <si>
    <t>JULIANA CAROLINA</t>
  </si>
  <si>
    <t>H74038373</t>
  </si>
  <si>
    <t>ASISTENTE SS.GG.</t>
  </si>
  <si>
    <t>EDGARDO TELLO</t>
  </si>
  <si>
    <t>ROJAS PEÑA</t>
  </si>
  <si>
    <t>JOSE CUPERTINO</t>
  </si>
  <si>
    <t>Q47867175</t>
  </si>
  <si>
    <t>ALVARO SOTO</t>
  </si>
  <si>
    <t>JOSE GABRIEL</t>
  </si>
  <si>
    <t>H43698132</t>
  </si>
  <si>
    <t>TEJADA MALAGA</t>
  </si>
  <si>
    <t>EDWIN JOHN</t>
  </si>
  <si>
    <t>H44071456</t>
  </si>
  <si>
    <t>MIXER - CAMIONETA - CAMABAJA - PLATAFORMA - BOMBA TELESCOPICA</t>
  </si>
  <si>
    <t>A 3B</t>
  </si>
  <si>
    <t>GLORIA DEL CARPIO</t>
  </si>
  <si>
    <t>A 2</t>
  </si>
  <si>
    <t>MARRON FLORES</t>
  </si>
  <si>
    <t>WILFORD</t>
  </si>
  <si>
    <t>H29605369</t>
  </si>
  <si>
    <t>PREMZCLADO</t>
  </si>
  <si>
    <t>COORDINADOR SEGURIDAD</t>
  </si>
  <si>
    <t>SOTO HIPOLITO</t>
  </si>
  <si>
    <t>JEANCARLO</t>
  </si>
  <si>
    <t>Q47722796</t>
  </si>
  <si>
    <t>BETZY GUILLEN</t>
  </si>
  <si>
    <t>SUPERVISOR LOGISTICA</t>
  </si>
  <si>
    <t>HERRERA TAPIA</t>
  </si>
  <si>
    <t>WINNY JOSSELINE</t>
  </si>
  <si>
    <t>H74023440</t>
  </si>
  <si>
    <t>A1</t>
  </si>
  <si>
    <t>ANALISTA DE RIESGO Y CONTROL INTERNO</t>
  </si>
  <si>
    <t>JOSE TALAVERA</t>
  </si>
  <si>
    <t>HUAMAN BENITES</t>
  </si>
  <si>
    <t>PAUL GUSTAVO</t>
  </si>
  <si>
    <t>H70149382</t>
  </si>
  <si>
    <t>PEDRO SEQUEIRA</t>
  </si>
  <si>
    <t>NUÑEZ FLORES</t>
  </si>
  <si>
    <t>MIGUEL FERNANDO</t>
  </si>
  <si>
    <t>Q73038801</t>
  </si>
  <si>
    <t>LIDER CENTRAL DE PLANTA</t>
  </si>
  <si>
    <t>SOBENES POLAR</t>
  </si>
  <si>
    <t>IGNACIO ALEJANDRO</t>
  </si>
  <si>
    <t>H72670031</t>
  </si>
  <si>
    <t>TRAINNER LIDER DE UNIDAD</t>
  </si>
  <si>
    <t>SALAS PUMA</t>
  </si>
  <si>
    <t>LUIS ANGELO</t>
  </si>
  <si>
    <t>H73107909</t>
  </si>
  <si>
    <t>A IIIc</t>
  </si>
  <si>
    <t xml:space="preserve"> MIXER -  CAMIONETA</t>
  </si>
  <si>
    <t>JIMENEZ SANCHEZ</t>
  </si>
  <si>
    <t>CHRISTIAN JOEL</t>
  </si>
  <si>
    <t>H29738784</t>
  </si>
  <si>
    <t>PROYECTOS ESPECIALES</t>
  </si>
  <si>
    <t>FREDY RODRIGUEZ</t>
  </si>
  <si>
    <t>GERENTE DE PROYECTOS ESPECIALES</t>
  </si>
  <si>
    <t xml:space="preserve">IZQUIERDO CASTILLO </t>
  </si>
  <si>
    <t>DIEGO FABRIZZIO</t>
  </si>
  <si>
    <t>J71220097</t>
  </si>
  <si>
    <t>LIDER UNIDAD</t>
  </si>
  <si>
    <t>Operador de Mixer</t>
  </si>
  <si>
    <t xml:space="preserve"> BOMBA ESTACIONARIA - BOMBA TELESCOPICA - CAMIONETA - MINIVAN</t>
  </si>
  <si>
    <t>APAZA CHAMBI</t>
  </si>
  <si>
    <t>JUVENAL RICHARD</t>
  </si>
  <si>
    <t>H40844633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</si>
</sst>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0.0;[Red]0.0"/>
    <numFmt numFmtId="166" formatCode="_(* #,##0_);_(* \(#,##0\);_(* &quot;-&quot;??_);_(@_)"/>
  </numFmts>
  <fonts count="5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6"/>
      <name val="Arial"/>
      <family val="2"/>
    </font>
    <font>
      <b/>
      <sz val="5"/>
      <name val="Arial"/>
      <family val="2"/>
    </font>
    <font>
      <sz val="7"/>
      <name val="Arial"/>
      <family val="2"/>
    </font>
    <font>
      <sz val="8"/>
      <name val="Arial"/>
      <family val="2"/>
    </font>
    <font>
      <b/>
      <vertAlign val="superscript"/>
      <sz val="5"/>
      <name val="Arial"/>
      <family val="2"/>
    </font>
    <font>
      <b/>
      <sz val="6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u/>
      <sz val="7.5"/>
      <color theme="10"/>
      <name val="Arial"/>
      <family val="2"/>
    </font>
    <font>
      <sz val="8"/>
      <color theme="1"/>
      <name val="Arial"/>
      <family val="2"/>
    </font>
    <font>
      <b/>
      <i/>
      <sz val="8"/>
      <color rgb="FFFF0000"/>
      <name val="Arial"/>
      <family val="2"/>
    </font>
    <font>
      <b/>
      <sz val="9"/>
      <color rgb="FFFF000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8"/>
      <color rgb="FF0070C0"/>
      <name val="Cooper Black"/>
      <family val="1"/>
    </font>
    <font>
      <b/>
      <sz val="6"/>
      <color rgb="FF0070C0"/>
      <name val="Berlin Sans FB"/>
      <family val="2"/>
    </font>
    <font>
      <b/>
      <sz val="8"/>
      <color theme="3" tint="-0.249977111117893"/>
      <name val="Arial"/>
      <family val="2"/>
    </font>
    <font>
      <i/>
      <sz val="8"/>
      <name val="Arial"/>
      <family val="2"/>
    </font>
    <font>
      <sz val="5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7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sz val="10"/>
      <color indexed="8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Arial"/>
      <family val="2"/>
    </font>
    <font>
      <sz val="11"/>
      <name val="Calibri Light"/>
      <family val="2"/>
    </font>
    <font>
      <sz val="8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1">
    <xf numFmtId="0" fontId="0" fillId="0" borderId="0"/>
    <xf numFmtId="164" fontId="1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1" fillId="0" borderId="0" applyFont="0" applyFill="0" applyBorder="0" applyAlignment="0" applyProtection="0"/>
    <xf numFmtId="164" fontId="16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8" fillId="0" borderId="0"/>
    <xf numFmtId="0" fontId="15" fillId="0" borderId="0"/>
    <xf numFmtId="0" fontId="2" fillId="0" borderId="0"/>
    <xf numFmtId="0" fontId="2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296">
    <xf numFmtId="0" fontId="0" fillId="0" borderId="0" xfId="0"/>
    <xf numFmtId="0" fontId="0" fillId="2" borderId="0" xfId="0" applyFill="1"/>
    <xf numFmtId="0" fontId="13" fillId="2" borderId="1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" xfId="0" applyFill="1" applyBorder="1"/>
    <xf numFmtId="0" fontId="4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6" fillId="2" borderId="0" xfId="0" applyFont="1" applyFill="1" applyBorder="1"/>
    <xf numFmtId="0" fontId="0" fillId="2" borderId="0" xfId="0" applyFill="1" applyBorder="1" applyAlignment="1"/>
    <xf numFmtId="0" fontId="6" fillId="2" borderId="0" xfId="0" applyFont="1" applyFill="1" applyBorder="1" applyAlignment="1"/>
    <xf numFmtId="0" fontId="12" fillId="2" borderId="0" xfId="0" applyFont="1" applyFill="1" applyBorder="1"/>
    <xf numFmtId="0" fontId="0" fillId="2" borderId="10" xfId="0" applyFill="1" applyBorder="1"/>
    <xf numFmtId="0" fontId="4" fillId="2" borderId="8" xfId="0" applyFont="1" applyFill="1" applyBorder="1"/>
    <xf numFmtId="0" fontId="5" fillId="2" borderId="8" xfId="0" applyFont="1" applyFill="1" applyBorder="1" applyAlignment="1">
      <alignment horizontal="center"/>
    </xf>
    <xf numFmtId="0" fontId="7" fillId="2" borderId="8" xfId="0" applyFont="1" applyFill="1" applyBorder="1"/>
    <xf numFmtId="0" fontId="0" fillId="2" borderId="14" xfId="0" applyFill="1" applyBorder="1"/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22" fillId="2" borderId="4" xfId="0" applyFont="1" applyFill="1" applyBorder="1" applyAlignment="1"/>
    <xf numFmtId="0" fontId="22" fillId="2" borderId="5" xfId="0" applyFont="1" applyFill="1" applyBorder="1" applyAlignment="1"/>
    <xf numFmtId="0" fontId="27" fillId="2" borderId="17" xfId="0" applyFont="1" applyFill="1" applyBorder="1" applyAlignment="1">
      <alignment vertical="center"/>
    </xf>
    <xf numFmtId="0" fontId="27" fillId="2" borderId="9" xfId="0" applyFont="1" applyFill="1" applyBorder="1" applyAlignment="1">
      <alignment vertical="center"/>
    </xf>
    <xf numFmtId="0" fontId="27" fillId="2" borderId="19" xfId="0" applyFont="1" applyFill="1" applyBorder="1" applyAlignment="1">
      <alignment vertical="center"/>
    </xf>
    <xf numFmtId="0" fontId="27" fillId="2" borderId="3" xfId="0" applyFont="1" applyFill="1" applyBorder="1" applyAlignment="1">
      <alignment vertical="center"/>
    </xf>
    <xf numFmtId="0" fontId="29" fillId="2" borderId="0" xfId="0" applyFont="1" applyFill="1" applyBorder="1" applyAlignment="1"/>
    <xf numFmtId="0" fontId="1" fillId="2" borderId="1" xfId="0" applyFont="1" applyFill="1" applyBorder="1"/>
    <xf numFmtId="0" fontId="0" fillId="2" borderId="8" xfId="0" applyFill="1" applyBorder="1"/>
    <xf numFmtId="0" fontId="0" fillId="2" borderId="11" xfId="0" applyFill="1" applyBorder="1"/>
    <xf numFmtId="0" fontId="8" fillId="2" borderId="0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 wrapText="1"/>
    </xf>
    <xf numFmtId="0" fontId="21" fillId="2" borderId="2" xfId="0" applyFont="1" applyFill="1" applyBorder="1" applyAlignment="1">
      <alignment horizontal="center" wrapText="1"/>
    </xf>
    <xf numFmtId="0" fontId="10" fillId="2" borderId="8" xfId="0" applyFont="1" applyFill="1" applyBorder="1" applyAlignment="1">
      <alignment horizontal="left"/>
    </xf>
    <xf numFmtId="0" fontId="10" fillId="0" borderId="0" xfId="11" applyFont="1" applyProtection="1">
      <protection locked="0"/>
    </xf>
    <xf numFmtId="0" fontId="10" fillId="0" borderId="6" xfId="11" applyFont="1" applyBorder="1" applyAlignment="1" applyProtection="1">
      <alignment horizontal="center" vertical="center"/>
      <protection locked="0"/>
    </xf>
    <xf numFmtId="0" fontId="10" fillId="0" borderId="6" xfId="11" applyFont="1" applyBorder="1" applyAlignment="1" applyProtection="1">
      <alignment horizontal="left" vertical="center"/>
      <protection locked="0"/>
    </xf>
    <xf numFmtId="0" fontId="10" fillId="0" borderId="6" xfId="11" applyFont="1" applyBorder="1" applyAlignment="1" applyProtection="1">
      <alignment vertical="center"/>
      <protection locked="0"/>
    </xf>
    <xf numFmtId="0" fontId="10" fillId="0" borderId="6" xfId="11" applyFont="1" applyBorder="1" applyAlignment="1" applyProtection="1">
      <alignment horizontal="center" vertical="center" wrapText="1"/>
      <protection locked="0"/>
    </xf>
    <xf numFmtId="0" fontId="3" fillId="0" borderId="0" xfId="11" applyFont="1" applyAlignment="1" applyProtection="1">
      <alignment horizontal="center" wrapText="1"/>
      <protection locked="0"/>
    </xf>
    <xf numFmtId="0" fontId="10" fillId="0" borderId="6" xfId="11" applyFont="1" applyBorder="1" applyAlignment="1">
      <alignment horizontal="center" vertical="center"/>
    </xf>
    <xf numFmtId="0" fontId="10" fillId="0" borderId="0" xfId="11" applyFont="1"/>
    <xf numFmtId="0" fontId="10" fillId="4" borderId="0" xfId="11" applyFont="1" applyFill="1"/>
    <xf numFmtId="0" fontId="10" fillId="2" borderId="0" xfId="11" applyFont="1" applyFill="1"/>
    <xf numFmtId="165" fontId="6" fillId="2" borderId="0" xfId="0" applyNumberFormat="1" applyFont="1" applyFill="1" applyBorder="1" applyAlignment="1"/>
    <xf numFmtId="0" fontId="25" fillId="2" borderId="0" xfId="0" applyFont="1" applyFill="1" applyBorder="1" applyAlignment="1">
      <alignment wrapText="1"/>
    </xf>
    <xf numFmtId="0" fontId="25" fillId="2" borderId="2" xfId="0" applyFont="1" applyFill="1" applyBorder="1" applyAlignment="1">
      <alignment wrapText="1"/>
    </xf>
    <xf numFmtId="0" fontId="21" fillId="2" borderId="0" xfId="0" applyFont="1" applyFill="1" applyBorder="1" applyAlignment="1">
      <alignment wrapText="1"/>
    </xf>
    <xf numFmtId="0" fontId="21" fillId="2" borderId="2" xfId="0" applyFont="1" applyFill="1" applyBorder="1" applyAlignment="1">
      <alignment wrapText="1"/>
    </xf>
    <xf numFmtId="0" fontId="21" fillId="2" borderId="24" xfId="0" applyFont="1" applyFill="1" applyBorder="1" applyAlignment="1">
      <alignment horizontal="center" wrapText="1"/>
    </xf>
    <xf numFmtId="0" fontId="17" fillId="2" borderId="0" xfId="0" applyFont="1" applyFill="1" applyBorder="1" applyAlignment="1"/>
    <xf numFmtId="0" fontId="0" fillId="0" borderId="26" xfId="0" applyBorder="1"/>
    <xf numFmtId="0" fontId="1" fillId="0" borderId="26" xfId="0" applyFont="1" applyBorder="1"/>
    <xf numFmtId="14" fontId="0" fillId="0" borderId="0" xfId="0" applyNumberFormat="1"/>
    <xf numFmtId="0" fontId="10" fillId="2" borderId="0" xfId="11" applyFont="1" applyFill="1" applyProtection="1">
      <protection locked="0"/>
    </xf>
    <xf numFmtId="0" fontId="5" fillId="0" borderId="0" xfId="0" applyFont="1"/>
    <xf numFmtId="0" fontId="30" fillId="3" borderId="6" xfId="11" applyFont="1" applyFill="1" applyBorder="1" applyAlignment="1">
      <alignment horizontal="center" vertical="center"/>
    </xf>
    <xf numFmtId="0" fontId="10" fillId="3" borderId="0" xfId="11" applyFont="1" applyFill="1" applyProtection="1">
      <protection locked="0"/>
    </xf>
    <xf numFmtId="0" fontId="31" fillId="3" borderId="6" xfId="11" applyFont="1" applyFill="1" applyBorder="1" applyAlignment="1" applyProtection="1">
      <alignment horizontal="center" vertical="center" wrapText="1"/>
      <protection locked="0"/>
    </xf>
    <xf numFmtId="0" fontId="31" fillId="3" borderId="6" xfId="11" applyFont="1" applyFill="1" applyBorder="1" applyAlignment="1" applyProtection="1">
      <alignment horizontal="center" vertical="center"/>
      <protection locked="0"/>
    </xf>
    <xf numFmtId="14" fontId="31" fillId="3" borderId="6" xfId="11" applyNumberFormat="1" applyFont="1" applyFill="1" applyBorder="1" applyAlignment="1" applyProtection="1">
      <alignment horizontal="center" vertical="center"/>
      <protection locked="0"/>
    </xf>
    <xf numFmtId="0" fontId="10" fillId="3" borderId="0" xfId="11" applyFont="1" applyFill="1"/>
    <xf numFmtId="0" fontId="3" fillId="3" borderId="0" xfId="11" applyFont="1" applyFill="1" applyAlignment="1" applyProtection="1">
      <alignment horizontal="center" wrapText="1"/>
      <protection locked="0"/>
    </xf>
    <xf numFmtId="0" fontId="3" fillId="0" borderId="12" xfId="11" applyFont="1" applyBorder="1" applyAlignment="1" applyProtection="1">
      <alignment horizontal="center" vertical="center" wrapText="1"/>
      <protection locked="0"/>
    </xf>
    <xf numFmtId="0" fontId="3" fillId="0" borderId="27" xfId="11" applyFont="1" applyBorder="1" applyAlignment="1" applyProtection="1">
      <alignment horizontal="center" vertical="center" wrapText="1"/>
      <protection locked="0"/>
    </xf>
    <xf numFmtId="0" fontId="3" fillId="4" borderId="27" xfId="11" applyFont="1" applyFill="1" applyBorder="1" applyAlignment="1" applyProtection="1">
      <alignment horizontal="center" vertical="center" wrapText="1"/>
      <protection locked="0"/>
    </xf>
    <xf numFmtId="0" fontId="3" fillId="0" borderId="27" xfId="11" applyFont="1" applyBorder="1" applyAlignment="1" applyProtection="1">
      <alignment horizontal="center" vertical="center" textRotation="90" wrapText="1"/>
      <protection locked="0"/>
    </xf>
    <xf numFmtId="0" fontId="3" fillId="0" borderId="4" xfId="11" applyFont="1" applyBorder="1" applyAlignment="1" applyProtection="1">
      <alignment horizontal="center" vertical="center" wrapText="1"/>
      <protection locked="0"/>
    </xf>
    <xf numFmtId="0" fontId="33" fillId="0" borderId="27" xfId="11" applyFont="1" applyBorder="1" applyAlignment="1" applyProtection="1">
      <alignment horizontal="center" vertical="center" textRotation="90" wrapText="1"/>
      <protection locked="0"/>
    </xf>
    <xf numFmtId="0" fontId="20" fillId="0" borderId="6" xfId="11" applyFont="1" applyBorder="1" applyAlignment="1" applyProtection="1">
      <alignment horizontal="left" vertical="center"/>
      <protection locked="0"/>
    </xf>
    <xf numFmtId="0" fontId="10" fillId="8" borderId="0" xfId="11" applyFont="1" applyFill="1"/>
    <xf numFmtId="0" fontId="8" fillId="2" borderId="0" xfId="0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left"/>
    </xf>
    <xf numFmtId="164" fontId="6" fillId="2" borderId="0" xfId="5" applyFont="1" applyFill="1" applyBorder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 wrapText="1"/>
    </xf>
    <xf numFmtId="0" fontId="9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/>
    <xf numFmtId="166" fontId="31" fillId="3" borderId="6" xfId="6" applyNumberFormat="1" applyFont="1" applyFill="1" applyBorder="1" applyAlignment="1" applyProtection="1">
      <alignment horizontal="center" vertical="center" wrapText="1"/>
      <protection locked="0"/>
    </xf>
    <xf numFmtId="0" fontId="30" fillId="3" borderId="6" xfId="11" applyFont="1" applyFill="1" applyBorder="1" applyAlignment="1" applyProtection="1">
      <alignment horizontal="center" vertical="center"/>
      <protection locked="0"/>
    </xf>
    <xf numFmtId="49" fontId="31" fillId="3" borderId="6" xfId="11" applyNumberFormat="1" applyFont="1" applyFill="1" applyBorder="1" applyAlignment="1" applyProtection="1">
      <alignment horizontal="center" vertical="center"/>
      <protection locked="0"/>
    </xf>
    <xf numFmtId="14" fontId="39" fillId="3" borderId="6" xfId="11" applyNumberFormat="1" applyFont="1" applyFill="1" applyBorder="1" applyAlignment="1" applyProtection="1">
      <alignment horizontal="center" vertical="center"/>
      <protection locked="0"/>
    </xf>
    <xf numFmtId="0" fontId="40" fillId="3" borderId="6" xfId="11" applyFont="1" applyFill="1" applyBorder="1" applyAlignment="1" applyProtection="1">
      <alignment horizontal="center" vertical="center" wrapText="1"/>
      <protection locked="0"/>
    </xf>
    <xf numFmtId="14" fontId="31" fillId="3" borderId="6" xfId="11" applyNumberFormat="1" applyFont="1" applyFill="1" applyBorder="1" applyAlignment="1" applyProtection="1">
      <alignment horizontal="center" vertical="center" wrapText="1"/>
      <protection locked="0"/>
    </xf>
    <xf numFmtId="166" fontId="31" fillId="3" borderId="6" xfId="6" applyNumberFormat="1" applyFont="1" applyFill="1" applyBorder="1" applyAlignment="1" applyProtection="1">
      <alignment horizontal="center" vertical="center"/>
      <protection locked="0"/>
    </xf>
    <xf numFmtId="0" fontId="31" fillId="3" borderId="6" xfId="11" applyFont="1" applyFill="1" applyBorder="1" applyAlignment="1">
      <alignment horizontal="center" vertical="center"/>
    </xf>
    <xf numFmtId="166" fontId="31" fillId="3" borderId="6" xfId="6" applyNumberFormat="1" applyFont="1" applyFill="1" applyBorder="1" applyAlignment="1">
      <alignment horizontal="center" vertical="center"/>
    </xf>
    <xf numFmtId="0" fontId="31" fillId="3" borderId="6" xfId="11" applyFont="1" applyFill="1" applyBorder="1" applyAlignment="1">
      <alignment horizontal="center" vertical="center" wrapText="1"/>
    </xf>
    <xf numFmtId="14" fontId="31" fillId="3" borderId="6" xfId="11" applyNumberFormat="1" applyFont="1" applyFill="1" applyBorder="1" applyAlignment="1">
      <alignment horizontal="center" vertical="center"/>
    </xf>
    <xf numFmtId="14" fontId="31" fillId="3" borderId="6" xfId="11" applyNumberFormat="1" applyFont="1" applyFill="1" applyBorder="1" applyAlignment="1">
      <alignment horizontal="center" vertical="center" wrapText="1"/>
    </xf>
    <xf numFmtId="0" fontId="31" fillId="0" borderId="6" xfId="11" applyFont="1" applyBorder="1" applyAlignment="1">
      <alignment horizontal="center" vertical="center"/>
    </xf>
    <xf numFmtId="166" fontId="31" fillId="0" borderId="6" xfId="6" applyNumberFormat="1" applyFont="1" applyFill="1" applyBorder="1" applyAlignment="1">
      <alignment horizontal="center" vertical="center"/>
    </xf>
    <xf numFmtId="0" fontId="31" fillId="0" borderId="6" xfId="11" applyFont="1" applyBorder="1" applyAlignment="1">
      <alignment horizontal="center" vertical="center" wrapText="1"/>
    </xf>
    <xf numFmtId="14" fontId="31" fillId="0" borderId="6" xfId="11" applyNumberFormat="1" applyFont="1" applyBorder="1" applyAlignment="1">
      <alignment horizontal="center" vertical="center"/>
    </xf>
    <xf numFmtId="14" fontId="31" fillId="0" borderId="6" xfId="11" applyNumberFormat="1" applyFont="1" applyBorder="1" applyAlignment="1">
      <alignment horizontal="center" vertical="center" wrapText="1"/>
    </xf>
    <xf numFmtId="0" fontId="31" fillId="0" borderId="6" xfId="11" quotePrefix="1" applyFont="1" applyBorder="1" applyAlignment="1">
      <alignment horizontal="center" vertical="center" wrapText="1"/>
    </xf>
    <xf numFmtId="0" fontId="31" fillId="3" borderId="6" xfId="11" quotePrefix="1" applyFont="1" applyFill="1" applyBorder="1" applyAlignment="1">
      <alignment horizontal="center" vertical="center" wrapText="1"/>
    </xf>
    <xf numFmtId="0" fontId="31" fillId="0" borderId="6" xfId="11" applyFont="1" applyBorder="1" applyAlignment="1" applyProtection="1">
      <alignment horizontal="center" vertical="center"/>
      <protection locked="0"/>
    </xf>
    <xf numFmtId="166" fontId="31" fillId="0" borderId="6" xfId="6" applyNumberFormat="1" applyFont="1" applyFill="1" applyBorder="1" applyAlignment="1" applyProtection="1">
      <alignment horizontal="center" vertical="center"/>
      <protection locked="0"/>
    </xf>
    <xf numFmtId="0" fontId="31" fillId="0" borderId="6" xfId="11" applyFont="1" applyBorder="1" applyAlignment="1" applyProtection="1">
      <alignment horizontal="center" vertical="center" wrapText="1"/>
      <protection locked="0"/>
    </xf>
    <xf numFmtId="14" fontId="31" fillId="0" borderId="6" xfId="11" applyNumberFormat="1" applyFont="1" applyBorder="1" applyAlignment="1" applyProtection="1">
      <alignment horizontal="center" vertical="center"/>
      <protection locked="0"/>
    </xf>
    <xf numFmtId="14" fontId="31" fillId="0" borderId="6" xfId="11" applyNumberFormat="1" applyFont="1" applyBorder="1" applyAlignment="1" applyProtection="1">
      <alignment horizontal="center" vertical="center" wrapText="1"/>
      <protection locked="0"/>
    </xf>
    <xf numFmtId="0" fontId="30" fillId="3" borderId="6" xfId="12" applyFont="1" applyFill="1" applyBorder="1" applyAlignment="1">
      <alignment horizontal="center" vertical="center"/>
    </xf>
    <xf numFmtId="0" fontId="41" fillId="0" borderId="6" xfId="11" applyFont="1" applyBorder="1" applyAlignment="1">
      <alignment horizontal="center" vertical="center"/>
    </xf>
    <xf numFmtId="49" fontId="31" fillId="3" borderId="6" xfId="11" applyNumberFormat="1" applyFont="1" applyFill="1" applyBorder="1" applyAlignment="1">
      <alignment horizontal="center" vertical="center" wrapText="1"/>
    </xf>
    <xf numFmtId="14" fontId="31" fillId="4" borderId="6" xfId="11" applyNumberFormat="1" applyFont="1" applyFill="1" applyBorder="1" applyAlignment="1">
      <alignment horizontal="center" vertical="center"/>
    </xf>
    <xf numFmtId="0" fontId="31" fillId="3" borderId="6" xfId="12" applyFont="1" applyFill="1" applyBorder="1" applyAlignment="1">
      <alignment horizontal="center" vertical="center"/>
    </xf>
    <xf numFmtId="49" fontId="31" fillId="0" borderId="6" xfId="11" applyNumberFormat="1" applyFont="1" applyBorder="1" applyAlignment="1">
      <alignment horizontal="center" vertical="center"/>
    </xf>
    <xf numFmtId="0" fontId="31" fillId="0" borderId="6" xfId="12" applyFont="1" applyBorder="1" applyAlignment="1">
      <alignment horizontal="center" vertical="center"/>
    </xf>
    <xf numFmtId="49" fontId="31" fillId="3" borderId="6" xfId="11" applyNumberFormat="1" applyFont="1" applyFill="1" applyBorder="1" applyAlignment="1">
      <alignment horizontal="center" vertical="center"/>
    </xf>
    <xf numFmtId="0" fontId="30" fillId="3" borderId="6" xfId="12" applyFont="1" applyFill="1" applyBorder="1" applyAlignment="1" applyProtection="1">
      <alignment horizontal="center" vertical="center"/>
      <protection locked="0"/>
    </xf>
    <xf numFmtId="0" fontId="31" fillId="3" borderId="6" xfId="11" quotePrefix="1" applyFont="1" applyFill="1" applyBorder="1" applyAlignment="1" applyProtection="1">
      <alignment horizontal="center" vertical="center" wrapText="1"/>
      <protection locked="0"/>
    </xf>
    <xf numFmtId="0" fontId="30" fillId="0" borderId="6" xfId="11" applyFont="1" applyBorder="1" applyAlignment="1">
      <alignment horizontal="center" vertical="center"/>
    </xf>
    <xf numFmtId="166" fontId="43" fillId="3" borderId="6" xfId="6" applyNumberFormat="1" applyFont="1" applyFill="1" applyBorder="1" applyAlignment="1">
      <alignment horizontal="center" vertical="center"/>
    </xf>
    <xf numFmtId="14" fontId="31" fillId="6" borderId="6" xfId="11" applyNumberFormat="1" applyFont="1" applyFill="1" applyBorder="1" applyAlignment="1">
      <alignment horizontal="center" vertical="center"/>
    </xf>
    <xf numFmtId="0" fontId="31" fillId="3" borderId="6" xfId="11" quotePrefix="1" applyFont="1" applyFill="1" applyBorder="1" applyAlignment="1">
      <alignment horizontal="center" vertical="center"/>
    </xf>
    <xf numFmtId="14" fontId="31" fillId="0" borderId="6" xfId="12" applyNumberFormat="1" applyFont="1" applyBorder="1" applyAlignment="1">
      <alignment horizontal="center" vertical="center"/>
    </xf>
    <xf numFmtId="0" fontId="31" fillId="2" borderId="6" xfId="11" applyFont="1" applyFill="1" applyBorder="1" applyAlignment="1">
      <alignment horizontal="center" vertical="center" wrapText="1"/>
    </xf>
    <xf numFmtId="0" fontId="31" fillId="2" borderId="6" xfId="11" applyFont="1" applyFill="1" applyBorder="1" applyAlignment="1">
      <alignment horizontal="center" vertical="center"/>
    </xf>
    <xf numFmtId="14" fontId="31" fillId="2" borderId="6" xfId="11" applyNumberFormat="1" applyFont="1" applyFill="1" applyBorder="1" applyAlignment="1">
      <alignment horizontal="center" vertical="center" wrapText="1"/>
    </xf>
    <xf numFmtId="0" fontId="31" fillId="8" borderId="6" xfId="11" applyFont="1" applyFill="1" applyBorder="1" applyAlignment="1">
      <alignment horizontal="center" vertical="center"/>
    </xf>
    <xf numFmtId="166" fontId="31" fillId="8" borderId="6" xfId="6" applyNumberFormat="1" applyFont="1" applyFill="1" applyBorder="1" applyAlignment="1">
      <alignment horizontal="center" vertical="center"/>
    </xf>
    <xf numFmtId="0" fontId="31" fillId="8" borderId="6" xfId="11" applyFont="1" applyFill="1" applyBorder="1" applyAlignment="1">
      <alignment horizontal="center" vertical="center" wrapText="1"/>
    </xf>
    <xf numFmtId="14" fontId="31" fillId="8" borderId="6" xfId="11" applyNumberFormat="1" applyFont="1" applyFill="1" applyBorder="1" applyAlignment="1">
      <alignment horizontal="center" vertical="center" wrapText="1"/>
    </xf>
    <xf numFmtId="14" fontId="31" fillId="8" borderId="6" xfId="11" applyNumberFormat="1" applyFont="1" applyFill="1" applyBorder="1" applyAlignment="1">
      <alignment horizontal="center" vertical="center"/>
    </xf>
    <xf numFmtId="49" fontId="31" fillId="0" borderId="6" xfId="11" applyNumberFormat="1" applyFont="1" applyBorder="1" applyAlignment="1">
      <alignment horizontal="center" vertical="center" wrapText="1"/>
    </xf>
    <xf numFmtId="0" fontId="31" fillId="8" borderId="6" xfId="11" quotePrefix="1" applyFont="1" applyFill="1" applyBorder="1" applyAlignment="1">
      <alignment horizontal="center" vertical="center" wrapText="1"/>
    </xf>
    <xf numFmtId="0" fontId="30" fillId="3" borderId="6" xfId="11" applyFont="1" applyFill="1" applyBorder="1" applyAlignment="1">
      <alignment horizontal="center" vertical="center" wrapText="1"/>
    </xf>
    <xf numFmtId="49" fontId="31" fillId="3" borderId="6" xfId="11" quotePrefix="1" applyNumberFormat="1" applyFont="1" applyFill="1" applyBorder="1" applyAlignment="1">
      <alignment horizontal="center" vertical="center" wrapText="1"/>
    </xf>
    <xf numFmtId="49" fontId="31" fillId="0" borderId="6" xfId="11" quotePrefix="1" applyNumberFormat="1" applyFont="1" applyBorder="1" applyAlignment="1">
      <alignment horizontal="center" vertical="center" wrapText="1"/>
    </xf>
    <xf numFmtId="49" fontId="31" fillId="3" borderId="6" xfId="11" applyNumberFormat="1" applyFont="1" applyFill="1" applyBorder="1" applyAlignment="1" applyProtection="1">
      <alignment horizontal="center" vertical="center" wrapText="1"/>
      <protection locked="0"/>
    </xf>
    <xf numFmtId="0" fontId="44" fillId="3" borderId="6" xfId="11" applyFont="1" applyFill="1" applyBorder="1" applyAlignment="1">
      <alignment horizontal="center" vertical="center"/>
    </xf>
    <xf numFmtId="14" fontId="39" fillId="8" borderId="6" xfId="11" applyNumberFormat="1" applyFont="1" applyFill="1" applyBorder="1" applyAlignment="1" applyProtection="1">
      <alignment horizontal="center" vertical="center"/>
      <protection locked="0"/>
    </xf>
    <xf numFmtId="1" fontId="31" fillId="3" borderId="6" xfId="11" applyNumberFormat="1" applyFont="1" applyFill="1" applyBorder="1" applyAlignment="1">
      <alignment horizontal="center" vertical="center"/>
    </xf>
    <xf numFmtId="0" fontId="42" fillId="0" borderId="6" xfId="20" applyFont="1" applyFill="1" applyBorder="1" applyAlignment="1" applyProtection="1">
      <alignment horizontal="center" vertical="center"/>
    </xf>
    <xf numFmtId="14" fontId="31" fillId="3" borderId="6" xfId="12" applyNumberFormat="1" applyFont="1" applyFill="1" applyBorder="1" applyAlignment="1">
      <alignment horizontal="center" vertical="center"/>
    </xf>
    <xf numFmtId="166" fontId="31" fillId="2" borderId="6" xfId="6" applyNumberFormat="1" applyFont="1" applyFill="1" applyBorder="1" applyAlignment="1">
      <alignment horizontal="center" vertical="center"/>
    </xf>
    <xf numFmtId="0" fontId="30" fillId="2" borderId="6" xfId="11" applyFont="1" applyFill="1" applyBorder="1" applyAlignment="1">
      <alignment horizontal="center" vertical="center"/>
    </xf>
    <xf numFmtId="14" fontId="31" fillId="2" borderId="6" xfId="11" applyNumberFormat="1" applyFont="1" applyFill="1" applyBorder="1" applyAlignment="1">
      <alignment horizontal="center" vertical="center"/>
    </xf>
    <xf numFmtId="14" fontId="39" fillId="2" borderId="6" xfId="11" applyNumberFormat="1" applyFont="1" applyFill="1" applyBorder="1" applyAlignment="1" applyProtection="1">
      <alignment horizontal="center" vertical="center"/>
      <protection locked="0"/>
    </xf>
    <xf numFmtId="0" fontId="31" fillId="0" borderId="6" xfId="11" quotePrefix="1" applyFont="1" applyBorder="1" applyAlignment="1" applyProtection="1">
      <alignment horizontal="center" vertical="center" wrapText="1"/>
      <protection locked="0"/>
    </xf>
    <xf numFmtId="14" fontId="31" fillId="4" borderId="6" xfId="11" applyNumberFormat="1" applyFont="1" applyFill="1" applyBorder="1" applyAlignment="1" applyProtection="1">
      <alignment horizontal="center" vertical="center"/>
      <protection locked="0"/>
    </xf>
    <xf numFmtId="14" fontId="45" fillId="7" borderId="6" xfId="11" applyNumberFormat="1" applyFont="1" applyFill="1" applyBorder="1" applyAlignment="1" applyProtection="1">
      <alignment horizontal="center" vertical="center" wrapText="1"/>
      <protection locked="0"/>
    </xf>
    <xf numFmtId="0" fontId="31" fillId="2" borderId="6" xfId="11" applyFont="1" applyFill="1" applyBorder="1" applyAlignment="1" applyProtection="1">
      <alignment horizontal="center" vertical="center"/>
      <protection locked="0"/>
    </xf>
    <xf numFmtId="166" fontId="31" fillId="2" borderId="6" xfId="6" applyNumberFormat="1" applyFont="1" applyFill="1" applyBorder="1" applyAlignment="1" applyProtection="1">
      <alignment horizontal="center" vertical="center"/>
      <protection locked="0"/>
    </xf>
    <xf numFmtId="0" fontId="30" fillId="2" borderId="6" xfId="11" applyFont="1" applyFill="1" applyBorder="1" applyAlignment="1" applyProtection="1">
      <alignment horizontal="center" vertical="center"/>
      <protection locked="0"/>
    </xf>
    <xf numFmtId="0" fontId="31" fillId="2" borderId="6" xfId="11" applyFont="1" applyFill="1" applyBorder="1" applyAlignment="1" applyProtection="1">
      <alignment horizontal="center" vertical="center" wrapText="1"/>
      <protection locked="0"/>
    </xf>
    <xf numFmtId="14" fontId="31" fillId="2" borderId="6" xfId="11" applyNumberFormat="1" applyFont="1" applyFill="1" applyBorder="1" applyAlignment="1" applyProtection="1">
      <alignment horizontal="center" vertical="center"/>
      <protection locked="0"/>
    </xf>
    <xf numFmtId="14" fontId="31" fillId="2" borderId="6" xfId="11" applyNumberFormat="1" applyFont="1" applyFill="1" applyBorder="1" applyAlignment="1" applyProtection="1">
      <alignment horizontal="center" vertical="center" wrapText="1"/>
      <protection locked="0"/>
    </xf>
    <xf numFmtId="14" fontId="31" fillId="6" borderId="6" xfId="11" applyNumberFormat="1" applyFont="1" applyFill="1" applyBorder="1" applyAlignment="1" applyProtection="1">
      <alignment horizontal="center" vertical="center"/>
      <protection locked="0"/>
    </xf>
    <xf numFmtId="14" fontId="31" fillId="3" borderId="6" xfId="12" applyNumberFormat="1" applyFont="1" applyFill="1" applyBorder="1" applyAlignment="1" applyProtection="1">
      <alignment horizontal="center" vertical="center"/>
      <protection locked="0"/>
    </xf>
    <xf numFmtId="0" fontId="31" fillId="3" borderId="6" xfId="12" applyFont="1" applyFill="1" applyBorder="1" applyAlignment="1" applyProtection="1">
      <alignment horizontal="center" vertical="center" wrapText="1"/>
      <protection locked="0"/>
    </xf>
    <xf numFmtId="0" fontId="31" fillId="3" borderId="6" xfId="12" applyFont="1" applyFill="1" applyBorder="1" applyAlignment="1" applyProtection="1">
      <alignment horizontal="center" vertical="center"/>
      <protection locked="0"/>
    </xf>
    <xf numFmtId="0" fontId="30" fillId="0" borderId="6" xfId="0" applyFont="1" applyBorder="1" applyAlignment="1">
      <alignment horizontal="center" vertical="center" wrapText="1"/>
    </xf>
    <xf numFmtId="0" fontId="30" fillId="3" borderId="6" xfId="0" applyFont="1" applyFill="1" applyBorder="1" applyAlignment="1">
      <alignment horizontal="center" vertical="center" wrapText="1"/>
    </xf>
    <xf numFmtId="3" fontId="31" fillId="0" borderId="6" xfId="11" applyNumberFormat="1" applyFont="1" applyFill="1" applyBorder="1" applyAlignment="1" applyProtection="1">
      <alignment horizontal="center" vertical="center"/>
      <protection locked="0"/>
    </xf>
    <xf numFmtId="0" fontId="31" fillId="0" borderId="6" xfId="11" applyFont="1" applyFill="1" applyBorder="1" applyAlignment="1" applyProtection="1">
      <alignment horizontal="center" vertical="center" wrapText="1"/>
      <protection locked="0"/>
    </xf>
    <xf numFmtId="0" fontId="31" fillId="0" borderId="6" xfId="11" applyFont="1" applyFill="1" applyBorder="1" applyAlignment="1" applyProtection="1">
      <alignment horizontal="center" vertical="center"/>
      <protection locked="0"/>
    </xf>
    <xf numFmtId="14" fontId="31" fillId="0" borderId="6" xfId="11" applyNumberFormat="1" applyFont="1" applyFill="1" applyBorder="1" applyAlignment="1" applyProtection="1">
      <alignment horizontal="center" vertical="center"/>
      <protection locked="0"/>
    </xf>
    <xf numFmtId="0" fontId="31" fillId="0" borderId="6" xfId="11" applyFont="1" applyFill="1" applyBorder="1" applyAlignment="1">
      <alignment horizontal="center" vertical="center"/>
    </xf>
    <xf numFmtId="0" fontId="31" fillId="0" borderId="6" xfId="11" applyFont="1" applyFill="1" applyBorder="1" applyAlignment="1">
      <alignment horizontal="center" vertical="center" wrapText="1"/>
    </xf>
    <xf numFmtId="0" fontId="30" fillId="0" borderId="6" xfId="11" applyFont="1" applyFill="1" applyBorder="1" applyAlignment="1" applyProtection="1">
      <alignment horizontal="center" vertical="center"/>
      <protection locked="0"/>
    </xf>
    <xf numFmtId="0" fontId="30" fillId="0" borderId="6" xfId="12" applyFont="1" applyFill="1" applyBorder="1" applyAlignment="1">
      <alignment horizontal="center" vertical="center"/>
    </xf>
    <xf numFmtId="0" fontId="30" fillId="0" borderId="6" xfId="12" applyFont="1" applyBorder="1" applyAlignment="1">
      <alignment horizontal="center" vertical="center"/>
    </xf>
    <xf numFmtId="0" fontId="30" fillId="8" borderId="6" xfId="11" applyFont="1" applyFill="1" applyBorder="1" applyAlignment="1">
      <alignment horizontal="center" vertical="center"/>
    </xf>
    <xf numFmtId="0" fontId="30" fillId="0" borderId="6" xfId="11" applyFont="1" applyFill="1" applyBorder="1" applyAlignment="1">
      <alignment horizontal="center" vertical="center"/>
    </xf>
    <xf numFmtId="0" fontId="30" fillId="0" borderId="6" xfId="11" applyFont="1" applyBorder="1" applyAlignment="1" applyProtection="1">
      <alignment horizontal="center" vertical="center"/>
      <protection locked="0"/>
    </xf>
    <xf numFmtId="166" fontId="30" fillId="0" borderId="6" xfId="11" applyNumberFormat="1" applyFont="1" applyBorder="1" applyAlignment="1">
      <alignment horizontal="center" vertical="center"/>
    </xf>
    <xf numFmtId="0" fontId="30" fillId="0" borderId="6" xfId="20" applyFont="1" applyFill="1" applyBorder="1" applyAlignment="1" applyProtection="1">
      <alignment horizontal="center" vertical="center"/>
    </xf>
    <xf numFmtId="0" fontId="30" fillId="3" borderId="6" xfId="20" applyFont="1" applyFill="1" applyBorder="1" applyAlignment="1" applyProtection="1">
      <alignment horizontal="center" vertical="center"/>
    </xf>
    <xf numFmtId="0" fontId="31" fillId="3" borderId="6" xfId="11" applyNumberFormat="1" applyFont="1" applyFill="1" applyBorder="1" applyAlignment="1">
      <alignment horizontal="center" vertical="center" wrapText="1"/>
    </xf>
    <xf numFmtId="0" fontId="46" fillId="0" borderId="6" xfId="11" applyFont="1" applyFill="1" applyBorder="1" applyAlignment="1">
      <alignment horizontal="center" vertical="center"/>
    </xf>
    <xf numFmtId="3" fontId="46" fillId="0" borderId="6" xfId="11" applyNumberFormat="1" applyFont="1" applyFill="1" applyBorder="1" applyAlignment="1" applyProtection="1">
      <alignment horizontal="center" vertical="center"/>
      <protection locked="0"/>
    </xf>
    <xf numFmtId="0" fontId="46" fillId="0" borderId="6" xfId="11" applyFont="1" applyFill="1" applyBorder="1" applyAlignment="1" applyProtection="1">
      <alignment horizontal="center" vertical="center" wrapText="1"/>
      <protection locked="0"/>
    </xf>
    <xf numFmtId="0" fontId="46" fillId="0" borderId="6" xfId="11" applyFont="1" applyFill="1" applyBorder="1" applyAlignment="1" applyProtection="1">
      <alignment horizontal="center" vertical="center"/>
      <protection locked="0"/>
    </xf>
    <xf numFmtId="14" fontId="46" fillId="0" borderId="6" xfId="11" applyNumberFormat="1" applyFont="1" applyFill="1" applyBorder="1" applyAlignment="1" applyProtection="1">
      <alignment horizontal="center" vertical="center"/>
      <protection locked="0"/>
    </xf>
    <xf numFmtId="3" fontId="51" fillId="0" borderId="6" xfId="11" applyNumberFormat="1" applyFont="1" applyFill="1" applyBorder="1" applyAlignment="1" applyProtection="1">
      <alignment horizontal="center" vertical="center"/>
      <protection locked="0"/>
    </xf>
    <xf numFmtId="0" fontId="51" fillId="0" borderId="6" xfId="11" applyFont="1" applyFill="1" applyBorder="1" applyAlignment="1" applyProtection="1">
      <alignment horizontal="center" vertical="center" wrapText="1"/>
      <protection locked="0"/>
    </xf>
    <xf numFmtId="0" fontId="51" fillId="0" borderId="6" xfId="11" applyFont="1" applyFill="1" applyBorder="1" applyAlignment="1" applyProtection="1">
      <alignment horizontal="center" vertical="center"/>
      <protection locked="0"/>
    </xf>
    <xf numFmtId="14" fontId="51" fillId="0" borderId="6" xfId="11" applyNumberFormat="1" applyFont="1" applyFill="1" applyBorder="1" applyAlignment="1" applyProtection="1">
      <alignment horizontal="center" vertical="center"/>
      <protection locked="0"/>
    </xf>
    <xf numFmtId="0" fontId="51" fillId="0" borderId="6" xfId="11" applyFont="1" applyFill="1" applyBorder="1" applyAlignment="1">
      <alignment horizontal="center" vertical="center"/>
    </xf>
    <xf numFmtId="3" fontId="54" fillId="0" borderId="6" xfId="11" applyNumberFormat="1" applyFont="1" applyFill="1" applyBorder="1" applyAlignment="1" applyProtection="1">
      <alignment horizontal="center" vertical="center"/>
      <protection locked="0"/>
    </xf>
    <xf numFmtId="0" fontId="54" fillId="0" borderId="6" xfId="11" applyFont="1" applyFill="1" applyBorder="1" applyAlignment="1" applyProtection="1">
      <alignment horizontal="center" vertical="center" wrapText="1"/>
      <protection locked="0"/>
    </xf>
    <xf numFmtId="0" fontId="54" fillId="0" borderId="6" xfId="11" applyFont="1" applyFill="1" applyBorder="1" applyAlignment="1" applyProtection="1">
      <alignment horizontal="center" vertical="center"/>
      <protection locked="0"/>
    </xf>
    <xf numFmtId="14" fontId="54" fillId="0" borderId="6" xfId="11" applyNumberFormat="1" applyFont="1" applyFill="1" applyBorder="1" applyAlignment="1" applyProtection="1">
      <alignment horizontal="center" vertical="center"/>
      <protection locked="0"/>
    </xf>
    <xf numFmtId="0" fontId="54" fillId="0" borderId="6" xfId="11" applyFont="1" applyFill="1" applyBorder="1" applyAlignment="1">
      <alignment horizontal="center" vertical="center"/>
    </xf>
    <xf numFmtId="0" fontId="10" fillId="0" borderId="6" xfId="11" applyFont="1" applyFill="1" applyBorder="1" applyAlignment="1" applyProtection="1">
      <alignment horizontal="center" vertical="center"/>
      <protection locked="0"/>
    </xf>
    <xf numFmtId="0" fontId="36" fillId="0" borderId="6" xfId="11" applyFont="1" applyFill="1" applyBorder="1" applyAlignment="1" applyProtection="1">
      <alignment horizontal="center" vertical="center"/>
      <protection locked="0"/>
    </xf>
    <xf numFmtId="0" fontId="37" fillId="0" borderId="6" xfId="11" applyFont="1" applyFill="1" applyBorder="1" applyAlignment="1" applyProtection="1">
      <alignment horizontal="center" vertical="center"/>
      <protection locked="0"/>
    </xf>
    <xf numFmtId="0" fontId="38" fillId="0" borderId="6" xfId="11" applyFont="1" applyFill="1" applyBorder="1" applyAlignment="1" applyProtection="1">
      <alignment horizontal="center" vertical="center"/>
      <protection locked="0"/>
    </xf>
    <xf numFmtId="0" fontId="48" fillId="0" borderId="6" xfId="11" applyFont="1" applyFill="1" applyBorder="1" applyAlignment="1" applyProtection="1">
      <alignment horizontal="center" vertical="center"/>
      <protection locked="0"/>
    </xf>
    <xf numFmtId="0" fontId="47" fillId="0" borderId="6" xfId="11" applyFont="1" applyFill="1" applyBorder="1" applyAlignment="1" applyProtection="1">
      <alignment horizontal="center" vertical="center"/>
      <protection locked="0"/>
    </xf>
    <xf numFmtId="0" fontId="49" fillId="0" borderId="6" xfId="0" applyFont="1" applyBorder="1" applyAlignment="1">
      <alignment vertical="center"/>
    </xf>
    <xf numFmtId="0" fontId="50" fillId="0" borderId="6" xfId="11" applyFont="1" applyFill="1" applyBorder="1" applyAlignment="1" applyProtection="1">
      <alignment horizontal="center" vertical="center"/>
      <protection locked="0"/>
    </xf>
    <xf numFmtId="0" fontId="52" fillId="0" borderId="6" xfId="11" applyFont="1" applyFill="1" applyBorder="1" applyAlignment="1" applyProtection="1">
      <alignment horizontal="center" vertical="center"/>
      <protection locked="0"/>
    </xf>
    <xf numFmtId="0" fontId="53" fillId="0" borderId="6" xfId="11" applyFont="1" applyFill="1" applyBorder="1" applyAlignment="1" applyProtection="1">
      <alignment horizontal="center" vertical="center"/>
      <protection locked="0"/>
    </xf>
    <xf numFmtId="0" fontId="55" fillId="0" borderId="6" xfId="11" applyFont="1" applyFill="1" applyBorder="1" applyAlignment="1" applyProtection="1">
      <alignment horizontal="center" vertical="center"/>
      <protection locked="0"/>
    </xf>
    <xf numFmtId="0" fontId="10" fillId="3" borderId="6" xfId="11" applyFont="1" applyFill="1" applyBorder="1" applyAlignment="1" applyProtection="1">
      <alignment horizontal="center" vertical="center"/>
      <protection locked="0"/>
    </xf>
    <xf numFmtId="2" fontId="31" fillId="3" borderId="6" xfId="11" applyNumberFormat="1" applyFont="1" applyFill="1" applyBorder="1" applyAlignment="1" applyProtection="1">
      <alignment horizontal="center" vertical="center" wrapText="1"/>
      <protection locked="0"/>
    </xf>
    <xf numFmtId="0" fontId="10" fillId="3" borderId="6" xfId="11" applyFont="1" applyFill="1" applyBorder="1" applyAlignment="1">
      <alignment horizontal="center" vertical="center"/>
    </xf>
    <xf numFmtId="2" fontId="31" fillId="3" borderId="6" xfId="11" applyNumberFormat="1" applyFont="1" applyFill="1" applyBorder="1" applyAlignment="1">
      <alignment horizontal="center" vertical="center" wrapText="1"/>
    </xf>
    <xf numFmtId="2" fontId="31" fillId="0" borderId="6" xfId="11" applyNumberFormat="1" applyFont="1" applyBorder="1" applyAlignment="1">
      <alignment horizontal="center" vertical="center" wrapText="1"/>
    </xf>
    <xf numFmtId="0" fontId="10" fillId="3" borderId="6" xfId="12" applyFont="1" applyFill="1" applyBorder="1" applyAlignment="1">
      <alignment horizontal="center" vertical="center"/>
    </xf>
    <xf numFmtId="2" fontId="31" fillId="2" borderId="6" xfId="11" applyNumberFormat="1" applyFont="1" applyFill="1" applyBorder="1" applyAlignment="1">
      <alignment horizontal="center" vertical="center" wrapText="1"/>
    </xf>
    <xf numFmtId="0" fontId="10" fillId="8" borderId="6" xfId="11" applyFont="1" applyFill="1" applyBorder="1" applyAlignment="1">
      <alignment horizontal="center" vertical="center"/>
    </xf>
    <xf numFmtId="2" fontId="31" fillId="8" borderId="6" xfId="11" applyNumberFormat="1" applyFont="1" applyFill="1" applyBorder="1" applyAlignment="1">
      <alignment horizontal="center" vertical="center" wrapText="1"/>
    </xf>
    <xf numFmtId="2" fontId="31" fillId="3" borderId="6" xfId="11" applyNumberFormat="1" applyFont="1" applyFill="1" applyBorder="1" applyAlignment="1">
      <alignment horizontal="center" vertical="center"/>
    </xf>
    <xf numFmtId="2" fontId="31" fillId="0" borderId="6" xfId="11" applyNumberFormat="1" applyFont="1" applyBorder="1" applyAlignment="1" applyProtection="1">
      <alignment horizontal="center" vertical="center" wrapText="1"/>
      <protection locked="0"/>
    </xf>
    <xf numFmtId="0" fontId="28" fillId="0" borderId="6" xfId="11" applyFont="1" applyBorder="1" applyAlignment="1">
      <alignment horizontal="center" vertical="center"/>
    </xf>
    <xf numFmtId="0" fontId="10" fillId="2" borderId="6" xfId="11" applyFont="1" applyFill="1" applyBorder="1" applyAlignment="1">
      <alignment horizontal="center" vertical="center"/>
    </xf>
    <xf numFmtId="0" fontId="10" fillId="2" borderId="6" xfId="11" applyFont="1" applyFill="1" applyBorder="1" applyAlignment="1" applyProtection="1">
      <alignment horizontal="center" vertical="center"/>
      <protection locked="0"/>
    </xf>
    <xf numFmtId="0" fontId="34" fillId="0" borderId="6" xfId="11" applyFont="1" applyFill="1" applyBorder="1" applyAlignment="1" applyProtection="1">
      <alignment horizontal="center" vertical="center"/>
      <protection locked="0"/>
    </xf>
    <xf numFmtId="0" fontId="35" fillId="0" borderId="6" xfId="11" applyFont="1" applyFill="1" applyBorder="1" applyAlignment="1" applyProtection="1">
      <alignment horizontal="center" vertical="center"/>
      <protection locked="0"/>
    </xf>
    <xf numFmtId="0" fontId="30" fillId="0" borderId="6" xfId="11" applyNumberFormat="1" applyFont="1" applyBorder="1" applyAlignment="1">
      <alignment horizontal="center" vertical="center"/>
    </xf>
    <xf numFmtId="2" fontId="31" fillId="2" borderId="6" xfId="11" applyNumberFormat="1" applyFont="1" applyFill="1" applyBorder="1" applyAlignment="1" applyProtection="1">
      <alignment horizontal="center" vertical="center" wrapText="1"/>
      <protection locked="0"/>
    </xf>
    <xf numFmtId="0" fontId="10" fillId="0" borderId="28" xfId="11" applyFont="1" applyFill="1" applyBorder="1" applyAlignment="1" applyProtection="1">
      <alignment horizontal="center" vertical="center"/>
      <protection locked="0"/>
    </xf>
    <xf numFmtId="0" fontId="31" fillId="0" borderId="28" xfId="11" applyFont="1" applyFill="1" applyBorder="1" applyAlignment="1">
      <alignment horizontal="center" vertical="center"/>
    </xf>
    <xf numFmtId="3" fontId="31" fillId="0" borderId="28" xfId="11" applyNumberFormat="1" applyFont="1" applyFill="1" applyBorder="1" applyAlignment="1" applyProtection="1">
      <alignment horizontal="center" vertical="center"/>
      <protection locked="0"/>
    </xf>
    <xf numFmtId="0" fontId="31" fillId="0" borderId="28" xfId="11" applyFont="1" applyFill="1" applyBorder="1" applyAlignment="1" applyProtection="1">
      <alignment horizontal="center" vertical="center"/>
      <protection locked="0"/>
    </xf>
    <xf numFmtId="0" fontId="30" fillId="0" borderId="28" xfId="11" applyFont="1" applyFill="1" applyBorder="1" applyAlignment="1" applyProtection="1">
      <alignment horizontal="center" vertical="center"/>
      <protection locked="0"/>
    </xf>
    <xf numFmtId="0" fontId="31" fillId="0" borderId="28" xfId="11" applyFont="1" applyFill="1" applyBorder="1" applyAlignment="1" applyProtection="1">
      <alignment horizontal="center" vertical="center" wrapText="1"/>
      <protection locked="0"/>
    </xf>
    <xf numFmtId="14" fontId="31" fillId="0" borderId="28" xfId="11" applyNumberFormat="1" applyFont="1" applyFill="1" applyBorder="1" applyAlignment="1" applyProtection="1">
      <alignment horizontal="center" vertical="center"/>
      <protection locked="0"/>
    </xf>
    <xf numFmtId="0" fontId="31" fillId="0" borderId="28" xfId="11" applyFont="1" applyFill="1" applyBorder="1" applyAlignment="1">
      <alignment horizontal="center" vertical="center" wrapText="1"/>
    </xf>
    <xf numFmtId="3" fontId="31" fillId="3" borderId="6" xfId="11" applyNumberFormat="1" applyFont="1" applyFill="1" applyBorder="1" applyAlignment="1" applyProtection="1">
      <alignment horizontal="center" vertical="center"/>
      <protection locked="0"/>
    </xf>
    <xf numFmtId="0" fontId="34" fillId="3" borderId="6" xfId="11" applyFont="1" applyFill="1" applyBorder="1" applyAlignment="1" applyProtection="1">
      <alignment horizontal="center" vertical="center"/>
      <protection locked="0"/>
    </xf>
    <xf numFmtId="0" fontId="45" fillId="4" borderId="6" xfId="11" applyFont="1" applyFill="1" applyBorder="1" applyAlignment="1">
      <alignment horizontal="center" vertical="center"/>
    </xf>
    <xf numFmtId="0" fontId="1" fillId="0" borderId="0" xfId="0" applyFont="1"/>
    <xf numFmtId="0" fontId="10" fillId="3" borderId="28" xfId="11" applyFont="1" applyFill="1" applyBorder="1" applyAlignment="1" applyProtection="1">
      <alignment horizontal="center" vertical="center"/>
      <protection locked="0"/>
    </xf>
    <xf numFmtId="3" fontId="31" fillId="3" borderId="28" xfId="11" applyNumberFormat="1" applyFont="1" applyFill="1" applyBorder="1" applyAlignment="1" applyProtection="1">
      <alignment horizontal="center" vertical="center"/>
      <protection locked="0"/>
    </xf>
    <xf numFmtId="0" fontId="31" fillId="3" borderId="28" xfId="11" applyFont="1" applyFill="1" applyBorder="1" applyAlignment="1" applyProtection="1">
      <alignment horizontal="center" vertical="center"/>
      <protection locked="0"/>
    </xf>
    <xf numFmtId="0" fontId="30" fillId="3" borderId="28" xfId="11" applyFont="1" applyFill="1" applyBorder="1" applyAlignment="1" applyProtection="1">
      <alignment horizontal="center" vertical="center"/>
      <protection locked="0"/>
    </xf>
    <xf numFmtId="0" fontId="31" fillId="3" borderId="28" xfId="11" applyFont="1" applyFill="1" applyBorder="1" applyAlignment="1" applyProtection="1">
      <alignment horizontal="center" vertical="center" wrapText="1"/>
      <protection locked="0"/>
    </xf>
    <xf numFmtId="14" fontId="31" fillId="3" borderId="28" xfId="11" applyNumberFormat="1" applyFont="1" applyFill="1" applyBorder="1" applyAlignment="1" applyProtection="1">
      <alignment horizontal="center" vertical="center"/>
      <protection locked="0"/>
    </xf>
    <xf numFmtId="0" fontId="31" fillId="3" borderId="28" xfId="11" applyFont="1" applyFill="1" applyBorder="1" applyAlignment="1">
      <alignment horizontal="center" vertical="center"/>
    </xf>
    <xf numFmtId="0" fontId="31" fillId="3" borderId="28" xfId="11" applyFont="1" applyFill="1" applyBorder="1" applyAlignment="1">
      <alignment horizontal="center" vertical="center" wrapText="1"/>
    </xf>
    <xf numFmtId="14" fontId="31" fillId="2" borderId="6" xfId="12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/>
    </xf>
    <xf numFmtId="14" fontId="6" fillId="2" borderId="0" xfId="0" applyNumberFormat="1" applyFont="1" applyFill="1" applyBorder="1" applyAlignment="1">
      <alignment horizontal="left"/>
    </xf>
    <xf numFmtId="0" fontId="21" fillId="2" borderId="5" xfId="0" applyFont="1" applyFill="1" applyBorder="1" applyAlignment="1">
      <alignment horizontal="center" wrapText="1"/>
    </xf>
    <xf numFmtId="0" fontId="21" fillId="2" borderId="12" xfId="0" applyFont="1" applyFill="1" applyBorder="1" applyAlignment="1">
      <alignment horizontal="center" wrapText="1"/>
    </xf>
    <xf numFmtId="0" fontId="10" fillId="2" borderId="10" xfId="0" applyFont="1" applyFill="1" applyBorder="1" applyAlignment="1">
      <alignment horizontal="center" wrapText="1"/>
    </xf>
    <xf numFmtId="0" fontId="10" fillId="2" borderId="8" xfId="0" applyFont="1" applyFill="1" applyBorder="1" applyAlignment="1">
      <alignment horizontal="center" wrapText="1"/>
    </xf>
    <xf numFmtId="0" fontId="10" fillId="2" borderId="11" xfId="0" applyFont="1" applyFill="1" applyBorder="1" applyAlignment="1">
      <alignment horizontal="center" wrapText="1"/>
    </xf>
    <xf numFmtId="0" fontId="10" fillId="2" borderId="1" xfId="0" applyFont="1" applyFill="1" applyBorder="1" applyAlignment="1">
      <alignment horizontal="center" wrapText="1"/>
    </xf>
    <xf numFmtId="0" fontId="10" fillId="2" borderId="0" xfId="0" applyFont="1" applyFill="1" applyBorder="1" applyAlignment="1">
      <alignment horizontal="center" wrapText="1"/>
    </xf>
    <xf numFmtId="0" fontId="10" fillId="2" borderId="2" xfId="0" applyFont="1" applyFill="1" applyBorder="1" applyAlignment="1">
      <alignment horizontal="center" wrapText="1"/>
    </xf>
    <xf numFmtId="0" fontId="10" fillId="2" borderId="21" xfId="0" applyFont="1" applyFill="1" applyBorder="1" applyAlignment="1">
      <alignment horizontal="center" wrapText="1"/>
    </xf>
    <xf numFmtId="0" fontId="10" fillId="2" borderId="3" xfId="0" applyFont="1" applyFill="1" applyBorder="1" applyAlignment="1">
      <alignment horizontal="center" wrapText="1"/>
    </xf>
    <xf numFmtId="0" fontId="10" fillId="2" borderId="7" xfId="0" applyFont="1" applyFill="1" applyBorder="1" applyAlignment="1">
      <alignment horizontal="center" wrapText="1"/>
    </xf>
    <xf numFmtId="0" fontId="8" fillId="2" borderId="5" xfId="0" applyFont="1" applyFill="1" applyBorder="1" applyAlignment="1">
      <alignment horizontal="center"/>
    </xf>
    <xf numFmtId="14" fontId="6" fillId="2" borderId="5" xfId="0" applyNumberFormat="1" applyFont="1" applyFill="1" applyBorder="1" applyAlignment="1">
      <alignment horizontal="left"/>
    </xf>
    <xf numFmtId="0" fontId="26" fillId="2" borderId="5" xfId="0" applyFont="1" applyFill="1" applyBorder="1" applyAlignment="1">
      <alignment horizontal="center" vertical="center"/>
    </xf>
    <xf numFmtId="0" fontId="26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23" fillId="5" borderId="9" xfId="0" applyFont="1" applyFill="1" applyBorder="1" applyAlignment="1">
      <alignment horizontal="center" vertical="center"/>
    </xf>
    <xf numFmtId="0" fontId="23" fillId="5" borderId="18" xfId="0" applyFont="1" applyFill="1" applyBorder="1" applyAlignment="1">
      <alignment horizontal="center" vertical="center"/>
    </xf>
    <xf numFmtId="0" fontId="23" fillId="5" borderId="3" xfId="0" applyFont="1" applyFill="1" applyBorder="1" applyAlignment="1">
      <alignment horizontal="center" vertical="center"/>
    </xf>
    <xf numFmtId="0" fontId="23" fillId="5" borderId="20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 wrapText="1"/>
    </xf>
    <xf numFmtId="0" fontId="24" fillId="5" borderId="9" xfId="0" applyFont="1" applyFill="1" applyBorder="1" applyAlignment="1">
      <alignment horizontal="center" vertical="center" wrapText="1"/>
    </xf>
    <xf numFmtId="0" fontId="24" fillId="5" borderId="18" xfId="0" applyFont="1" applyFill="1" applyBorder="1" applyAlignment="1">
      <alignment horizontal="center" vertical="center" wrapText="1"/>
    </xf>
    <xf numFmtId="0" fontId="24" fillId="5" borderId="22" xfId="0" applyFont="1" applyFill="1" applyBorder="1" applyAlignment="1">
      <alignment horizontal="center" vertical="center" wrapText="1"/>
    </xf>
    <xf numFmtId="0" fontId="24" fillId="5" borderId="5" xfId="0" applyFont="1" applyFill="1" applyBorder="1" applyAlignment="1">
      <alignment horizontal="center" vertical="center" wrapText="1"/>
    </xf>
    <xf numFmtId="0" fontId="24" fillId="5" borderId="23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left"/>
    </xf>
    <xf numFmtId="0" fontId="10" fillId="2" borderId="9" xfId="0" applyFont="1" applyFill="1" applyBorder="1" applyAlignment="1">
      <alignment horizontal="left"/>
    </xf>
    <xf numFmtId="164" fontId="6" fillId="2" borderId="0" xfId="5" applyFont="1" applyFill="1" applyBorder="1" applyAlignment="1">
      <alignment horizontal="left"/>
    </xf>
    <xf numFmtId="165" fontId="6" fillId="2" borderId="0" xfId="0" applyNumberFormat="1" applyFont="1" applyFill="1" applyBorder="1" applyAlignment="1">
      <alignment horizontal="left"/>
    </xf>
    <xf numFmtId="165" fontId="6" fillId="2" borderId="10" xfId="0" applyNumberFormat="1" applyFont="1" applyFill="1" applyBorder="1" applyAlignment="1">
      <alignment horizontal="center"/>
    </xf>
    <xf numFmtId="165" fontId="6" fillId="2" borderId="8" xfId="0" applyNumberFormat="1" applyFont="1" applyFill="1" applyBorder="1" applyAlignment="1">
      <alignment horizontal="center"/>
    </xf>
    <xf numFmtId="165" fontId="6" fillId="2" borderId="11" xfId="0" applyNumberFormat="1" applyFont="1" applyFill="1" applyBorder="1" applyAlignment="1">
      <alignment horizontal="center"/>
    </xf>
    <xf numFmtId="165" fontId="6" fillId="2" borderId="1" xfId="0" applyNumberFormat="1" applyFont="1" applyFill="1" applyBorder="1" applyAlignment="1">
      <alignment horizontal="center"/>
    </xf>
    <xf numFmtId="165" fontId="6" fillId="2" borderId="0" xfId="0" applyNumberFormat="1" applyFont="1" applyFill="1" applyBorder="1" applyAlignment="1">
      <alignment horizontal="center"/>
    </xf>
    <xf numFmtId="165" fontId="6" fillId="2" borderId="2" xfId="0" applyNumberFormat="1" applyFont="1" applyFill="1" applyBorder="1" applyAlignment="1">
      <alignment horizontal="center"/>
    </xf>
    <xf numFmtId="165" fontId="6" fillId="2" borderId="4" xfId="0" applyNumberFormat="1" applyFont="1" applyFill="1" applyBorder="1" applyAlignment="1">
      <alignment horizontal="center"/>
    </xf>
    <xf numFmtId="165" fontId="6" fillId="2" borderId="5" xfId="0" applyNumberFormat="1" applyFont="1" applyFill="1" applyBorder="1" applyAlignment="1">
      <alignment horizontal="center"/>
    </xf>
    <xf numFmtId="165" fontId="6" fillId="2" borderId="12" xfId="0" applyNumberFormat="1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7" fillId="2" borderId="0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/>
    </xf>
    <xf numFmtId="0" fontId="10" fillId="2" borderId="0" xfId="0" applyFont="1" applyFill="1" applyBorder="1" applyAlignment="1">
      <alignment horizontal="left" vertical="center"/>
    </xf>
    <xf numFmtId="0" fontId="17" fillId="2" borderId="25" xfId="0" applyFont="1" applyFill="1" applyBorder="1" applyAlignment="1">
      <alignment horizontal="center"/>
    </xf>
    <xf numFmtId="0" fontId="29" fillId="2" borderId="0" xfId="0" applyFont="1" applyFill="1" applyBorder="1" applyAlignment="1">
      <alignment horizontal="left"/>
    </xf>
    <xf numFmtId="1" fontId="10" fillId="2" borderId="0" xfId="0" applyNumberFormat="1" applyFont="1" applyFill="1" applyAlignment="1">
      <alignment horizontal="left"/>
    </xf>
    <xf numFmtId="0" fontId="22" fillId="2" borderId="4" xfId="0" applyFont="1" applyFill="1" applyBorder="1" applyAlignment="1">
      <alignment horizontal="center"/>
    </xf>
    <xf numFmtId="0" fontId="22" fillId="2" borderId="5" xfId="0" applyFont="1" applyFill="1" applyBorder="1" applyAlignment="1">
      <alignment horizontal="center"/>
    </xf>
    <xf numFmtId="0" fontId="22" fillId="2" borderId="12" xfId="0" applyFont="1" applyFill="1" applyBorder="1" applyAlignment="1">
      <alignment horizontal="center"/>
    </xf>
    <xf numFmtId="0" fontId="26" fillId="2" borderId="5" xfId="0" applyFont="1" applyFill="1" applyBorder="1" applyAlignment="1">
      <alignment horizontal="left" indent="3"/>
    </xf>
    <xf numFmtId="0" fontId="26" fillId="2" borderId="12" xfId="0" applyFont="1" applyFill="1" applyBorder="1" applyAlignment="1">
      <alignment horizontal="left" indent="3"/>
    </xf>
  </cellXfs>
  <cellStyles count="21">
    <cellStyle name="Comma 2" xfId="1"/>
    <cellStyle name="Comma 2 2" xfId="2"/>
    <cellStyle name="Diseño" xfId="3"/>
    <cellStyle name="Diseño 2" xfId="4"/>
    <cellStyle name="Hipervínculo 2" xfId="20"/>
    <cellStyle name="Millares" xfId="5" builtinId="3"/>
    <cellStyle name="Millares 2" xfId="6"/>
    <cellStyle name="Millares 2 2" xfId="7"/>
    <cellStyle name="Millares 3" xfId="8"/>
    <cellStyle name="Millares 4" xfId="9"/>
    <cellStyle name="Millares 5" xfId="10"/>
    <cellStyle name="Normal" xfId="0" builtinId="0"/>
    <cellStyle name="Normal 2" xfId="11"/>
    <cellStyle name="Normal 2 2" xfId="12"/>
    <cellStyle name="Normal 3" xfId="13"/>
    <cellStyle name="Normal 3 2" xfId="14"/>
    <cellStyle name="Normal 4 2" xfId="15"/>
    <cellStyle name="Normal 5" xfId="16"/>
    <cellStyle name="Normal 5 2" xfId="17"/>
    <cellStyle name="Normal 6" xfId="18"/>
    <cellStyle name="Normal 7" xfId="19"/>
  </cellStyles>
  <dxfs count="46"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9" defaultPivotStyle="PivotStyleLight16"/>
  <colors>
    <mruColors>
      <color rgb="FF23931D"/>
      <color rgb="FF1B7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02" name="Text Box 910">
          <a:extLst>
            <a:ext uri="{FF2B5EF4-FFF2-40B4-BE49-F238E27FC236}">
              <a16:creationId xmlns:a16="http://schemas.microsoft.com/office/drawing/2014/main" id="{8EA50359-0DD4-41D6-B19F-DF9F593870A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oneCellAnchor>
    <xdr:from>
      <xdr:col>1</xdr:col>
      <xdr:colOff>36512</xdr:colOff>
      <xdr:row>1</xdr:row>
      <xdr:rowOff>53976</xdr:rowOff>
    </xdr:from>
    <xdr:ext cx="928001" cy="288000"/>
    <xdr:pic>
      <xdr:nvPicPr>
        <xdr:cNvPr id="703" name="Imagen 3">
          <a:extLst>
            <a:ext uri="{FF2B5EF4-FFF2-40B4-BE49-F238E27FC236}">
              <a16:creationId xmlns:a16="http://schemas.microsoft.com/office/drawing/2014/main" id="{91C0E6CB-5668-40C4-9042-87BCCB62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74637" y="228601"/>
          <a:ext cx="928001" cy="28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04" name="Text Box 909">
          <a:extLst>
            <a:ext uri="{FF2B5EF4-FFF2-40B4-BE49-F238E27FC236}">
              <a16:creationId xmlns:a16="http://schemas.microsoft.com/office/drawing/2014/main" id="{DDFE2F52-6B77-4287-A585-63B31FC49966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06" name="Text Box 910">
          <a:extLst>
            <a:ext uri="{FF2B5EF4-FFF2-40B4-BE49-F238E27FC236}">
              <a16:creationId xmlns:a16="http://schemas.microsoft.com/office/drawing/2014/main" id="{232599BD-26AC-40D1-889F-BAA66239D50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07" name="Text Box 910">
          <a:extLst>
            <a:ext uri="{FF2B5EF4-FFF2-40B4-BE49-F238E27FC236}">
              <a16:creationId xmlns:a16="http://schemas.microsoft.com/office/drawing/2014/main" id="{20DD989B-327C-485B-9CDD-639EACA305D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08" name="Text Box 910">
          <a:extLst>
            <a:ext uri="{FF2B5EF4-FFF2-40B4-BE49-F238E27FC236}">
              <a16:creationId xmlns:a16="http://schemas.microsoft.com/office/drawing/2014/main" id="{B828F9B8-231F-476B-890A-A774B2C724F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09" name="Text Box 910">
          <a:extLst>
            <a:ext uri="{FF2B5EF4-FFF2-40B4-BE49-F238E27FC236}">
              <a16:creationId xmlns:a16="http://schemas.microsoft.com/office/drawing/2014/main" id="{212A2F0C-3506-475A-8609-09BFD4C69C2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11" name="Text Box 909">
          <a:extLst>
            <a:ext uri="{FF2B5EF4-FFF2-40B4-BE49-F238E27FC236}">
              <a16:creationId xmlns:a16="http://schemas.microsoft.com/office/drawing/2014/main" id="{32A7CA9F-0F9C-4407-B83A-FEFB04D0CB05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13" name="Text Box 910">
          <a:extLst>
            <a:ext uri="{FF2B5EF4-FFF2-40B4-BE49-F238E27FC236}">
              <a16:creationId xmlns:a16="http://schemas.microsoft.com/office/drawing/2014/main" id="{E3FEE931-481D-4038-BCEB-41B0206CE13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14" name="Text Box 910">
          <a:extLst>
            <a:ext uri="{FF2B5EF4-FFF2-40B4-BE49-F238E27FC236}">
              <a16:creationId xmlns:a16="http://schemas.microsoft.com/office/drawing/2014/main" id="{6E14930D-F1E7-495D-9195-686E83A4FC2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15" name="Text Box 910">
          <a:extLst>
            <a:ext uri="{FF2B5EF4-FFF2-40B4-BE49-F238E27FC236}">
              <a16:creationId xmlns:a16="http://schemas.microsoft.com/office/drawing/2014/main" id="{39DD1D5A-B9C3-45BF-AB6E-63F304AB377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16" name="Text Box 910">
          <a:extLst>
            <a:ext uri="{FF2B5EF4-FFF2-40B4-BE49-F238E27FC236}">
              <a16:creationId xmlns:a16="http://schemas.microsoft.com/office/drawing/2014/main" id="{679675DE-B4CC-402E-AE99-EBDD9ED1F23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18" name="Text Box 909">
          <a:extLst>
            <a:ext uri="{FF2B5EF4-FFF2-40B4-BE49-F238E27FC236}">
              <a16:creationId xmlns:a16="http://schemas.microsoft.com/office/drawing/2014/main" id="{D89A6E83-A4E1-4CEA-A74D-234C448E27D4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20" name="Text Box 910">
          <a:extLst>
            <a:ext uri="{FF2B5EF4-FFF2-40B4-BE49-F238E27FC236}">
              <a16:creationId xmlns:a16="http://schemas.microsoft.com/office/drawing/2014/main" id="{F422D30E-4DD5-49EB-BB56-6DD21333E9C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21" name="Text Box 910">
          <a:extLst>
            <a:ext uri="{FF2B5EF4-FFF2-40B4-BE49-F238E27FC236}">
              <a16:creationId xmlns:a16="http://schemas.microsoft.com/office/drawing/2014/main" id="{0376850C-F36D-4E77-A104-2543453053E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22" name="Text Box 910">
          <a:extLst>
            <a:ext uri="{FF2B5EF4-FFF2-40B4-BE49-F238E27FC236}">
              <a16:creationId xmlns:a16="http://schemas.microsoft.com/office/drawing/2014/main" id="{19E57513-2F58-4966-B1EA-AF9383B015A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23" name="Text Box 910">
          <a:extLst>
            <a:ext uri="{FF2B5EF4-FFF2-40B4-BE49-F238E27FC236}">
              <a16:creationId xmlns:a16="http://schemas.microsoft.com/office/drawing/2014/main" id="{E98C0C96-9C57-4319-8CE5-983B740A0ED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25" name="Text Box 909">
          <a:extLst>
            <a:ext uri="{FF2B5EF4-FFF2-40B4-BE49-F238E27FC236}">
              <a16:creationId xmlns:a16="http://schemas.microsoft.com/office/drawing/2014/main" id="{B8DB2B68-2C1E-45EE-A013-10E1875EA257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27" name="Text Box 910">
          <a:extLst>
            <a:ext uri="{FF2B5EF4-FFF2-40B4-BE49-F238E27FC236}">
              <a16:creationId xmlns:a16="http://schemas.microsoft.com/office/drawing/2014/main" id="{EE6B2217-86B7-4C1D-B205-BEB94010E52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28" name="Text Box 910">
          <a:extLst>
            <a:ext uri="{FF2B5EF4-FFF2-40B4-BE49-F238E27FC236}">
              <a16:creationId xmlns:a16="http://schemas.microsoft.com/office/drawing/2014/main" id="{565B4122-F54B-4465-8AE1-A4DF151021E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29" name="Text Box 910">
          <a:extLst>
            <a:ext uri="{FF2B5EF4-FFF2-40B4-BE49-F238E27FC236}">
              <a16:creationId xmlns:a16="http://schemas.microsoft.com/office/drawing/2014/main" id="{FB4E7932-468A-4772-9B4C-AE450B5B2AA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30" name="Text Box 910">
          <a:extLst>
            <a:ext uri="{FF2B5EF4-FFF2-40B4-BE49-F238E27FC236}">
              <a16:creationId xmlns:a16="http://schemas.microsoft.com/office/drawing/2014/main" id="{41E2B117-1674-405B-9F05-30C8FEA5875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32" name="Text Box 909">
          <a:extLst>
            <a:ext uri="{FF2B5EF4-FFF2-40B4-BE49-F238E27FC236}">
              <a16:creationId xmlns:a16="http://schemas.microsoft.com/office/drawing/2014/main" id="{1EC5B974-F602-4F9C-B49B-A13E0C6D8BA1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34" name="Text Box 910">
          <a:extLst>
            <a:ext uri="{FF2B5EF4-FFF2-40B4-BE49-F238E27FC236}">
              <a16:creationId xmlns:a16="http://schemas.microsoft.com/office/drawing/2014/main" id="{9A986D24-55F7-4A61-B825-00A7FB8A848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35" name="Text Box 910">
          <a:extLst>
            <a:ext uri="{FF2B5EF4-FFF2-40B4-BE49-F238E27FC236}">
              <a16:creationId xmlns:a16="http://schemas.microsoft.com/office/drawing/2014/main" id="{399B3ED3-0B31-406F-B2C0-B6AE6FFA5BA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36" name="Text Box 910">
          <a:extLst>
            <a:ext uri="{FF2B5EF4-FFF2-40B4-BE49-F238E27FC236}">
              <a16:creationId xmlns:a16="http://schemas.microsoft.com/office/drawing/2014/main" id="{971ECF20-9750-45FA-958F-8366DBAF590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37" name="Text Box 910">
          <a:extLst>
            <a:ext uri="{FF2B5EF4-FFF2-40B4-BE49-F238E27FC236}">
              <a16:creationId xmlns:a16="http://schemas.microsoft.com/office/drawing/2014/main" id="{2A393CC6-FB05-48C3-A7BA-69C63036FB1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39" name="Text Box 909">
          <a:extLst>
            <a:ext uri="{FF2B5EF4-FFF2-40B4-BE49-F238E27FC236}">
              <a16:creationId xmlns:a16="http://schemas.microsoft.com/office/drawing/2014/main" id="{5EBD6647-2546-408C-BF72-AF874EFD8C68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41" name="Text Box 910">
          <a:extLst>
            <a:ext uri="{FF2B5EF4-FFF2-40B4-BE49-F238E27FC236}">
              <a16:creationId xmlns:a16="http://schemas.microsoft.com/office/drawing/2014/main" id="{C7496D91-0689-4E52-B125-D92FD198485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42" name="Text Box 910">
          <a:extLst>
            <a:ext uri="{FF2B5EF4-FFF2-40B4-BE49-F238E27FC236}">
              <a16:creationId xmlns:a16="http://schemas.microsoft.com/office/drawing/2014/main" id="{F307FE24-EEDE-46E6-BA97-2494104877E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43" name="Text Box 910">
          <a:extLst>
            <a:ext uri="{FF2B5EF4-FFF2-40B4-BE49-F238E27FC236}">
              <a16:creationId xmlns:a16="http://schemas.microsoft.com/office/drawing/2014/main" id="{786D5FBC-E45C-474C-8A51-7E09E11E40B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44" name="Text Box 910">
          <a:extLst>
            <a:ext uri="{FF2B5EF4-FFF2-40B4-BE49-F238E27FC236}">
              <a16:creationId xmlns:a16="http://schemas.microsoft.com/office/drawing/2014/main" id="{8F19E290-4621-4F9A-90C6-C24BA80FF90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46" name="Text Box 909">
          <a:extLst>
            <a:ext uri="{FF2B5EF4-FFF2-40B4-BE49-F238E27FC236}">
              <a16:creationId xmlns:a16="http://schemas.microsoft.com/office/drawing/2014/main" id="{4D2CEA52-E3F5-47E3-82D8-3758A49E64F5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48" name="Text Box 910">
          <a:extLst>
            <a:ext uri="{FF2B5EF4-FFF2-40B4-BE49-F238E27FC236}">
              <a16:creationId xmlns:a16="http://schemas.microsoft.com/office/drawing/2014/main" id="{E6915DA0-D7E9-4A71-9778-E6245DDB6DD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49" name="Text Box 910">
          <a:extLst>
            <a:ext uri="{FF2B5EF4-FFF2-40B4-BE49-F238E27FC236}">
              <a16:creationId xmlns:a16="http://schemas.microsoft.com/office/drawing/2014/main" id="{6AFA3044-17B4-4C3E-AFD5-BB4F747B039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50" name="Text Box 910">
          <a:extLst>
            <a:ext uri="{FF2B5EF4-FFF2-40B4-BE49-F238E27FC236}">
              <a16:creationId xmlns:a16="http://schemas.microsoft.com/office/drawing/2014/main" id="{CA062E02-83F0-4948-AF7C-5B09191DB6E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51" name="Text Box 910">
          <a:extLst>
            <a:ext uri="{FF2B5EF4-FFF2-40B4-BE49-F238E27FC236}">
              <a16:creationId xmlns:a16="http://schemas.microsoft.com/office/drawing/2014/main" id="{CD757E39-C891-4710-8FD2-0A01A3B1327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53" name="Text Box 909">
          <a:extLst>
            <a:ext uri="{FF2B5EF4-FFF2-40B4-BE49-F238E27FC236}">
              <a16:creationId xmlns:a16="http://schemas.microsoft.com/office/drawing/2014/main" id="{B294BCC1-0D38-4F4E-ABF7-5DB4AE09277F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55" name="Text Box 910">
          <a:extLst>
            <a:ext uri="{FF2B5EF4-FFF2-40B4-BE49-F238E27FC236}">
              <a16:creationId xmlns:a16="http://schemas.microsoft.com/office/drawing/2014/main" id="{F3797D20-04CA-4A5A-A09A-8613AFE3882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56" name="Text Box 910">
          <a:extLst>
            <a:ext uri="{FF2B5EF4-FFF2-40B4-BE49-F238E27FC236}">
              <a16:creationId xmlns:a16="http://schemas.microsoft.com/office/drawing/2014/main" id="{6E0AEF73-0239-4864-902B-299DFD5621C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57" name="Text Box 910">
          <a:extLst>
            <a:ext uri="{FF2B5EF4-FFF2-40B4-BE49-F238E27FC236}">
              <a16:creationId xmlns:a16="http://schemas.microsoft.com/office/drawing/2014/main" id="{DB5C99CD-D94F-4ECE-8C11-065E244F678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58" name="Text Box 910">
          <a:extLst>
            <a:ext uri="{FF2B5EF4-FFF2-40B4-BE49-F238E27FC236}">
              <a16:creationId xmlns:a16="http://schemas.microsoft.com/office/drawing/2014/main" id="{B92C8819-E6D3-4ACC-87D5-D56CB2F80B4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60" name="Text Box 909">
          <a:extLst>
            <a:ext uri="{FF2B5EF4-FFF2-40B4-BE49-F238E27FC236}">
              <a16:creationId xmlns:a16="http://schemas.microsoft.com/office/drawing/2014/main" id="{3F082BE9-B9B3-4714-806F-5FDB8769861D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62" name="Text Box 910">
          <a:extLst>
            <a:ext uri="{FF2B5EF4-FFF2-40B4-BE49-F238E27FC236}">
              <a16:creationId xmlns:a16="http://schemas.microsoft.com/office/drawing/2014/main" id="{F0831799-EE96-432F-BE92-8E76678A05D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63" name="Text Box 910">
          <a:extLst>
            <a:ext uri="{FF2B5EF4-FFF2-40B4-BE49-F238E27FC236}">
              <a16:creationId xmlns:a16="http://schemas.microsoft.com/office/drawing/2014/main" id="{018BCE58-6C04-42C4-B9D4-3BD96305C7C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64" name="Text Box 910">
          <a:extLst>
            <a:ext uri="{FF2B5EF4-FFF2-40B4-BE49-F238E27FC236}">
              <a16:creationId xmlns:a16="http://schemas.microsoft.com/office/drawing/2014/main" id="{36FDB857-937A-4296-A164-5212BC7A483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65" name="Text Box 910">
          <a:extLst>
            <a:ext uri="{FF2B5EF4-FFF2-40B4-BE49-F238E27FC236}">
              <a16:creationId xmlns:a16="http://schemas.microsoft.com/office/drawing/2014/main" id="{32690AB8-A84E-47BD-91E1-C6C725CD80B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67" name="Text Box 909">
          <a:extLst>
            <a:ext uri="{FF2B5EF4-FFF2-40B4-BE49-F238E27FC236}">
              <a16:creationId xmlns:a16="http://schemas.microsoft.com/office/drawing/2014/main" id="{899714D4-6CFF-4B5B-82E9-1AF677118423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69" name="Text Box 910">
          <a:extLst>
            <a:ext uri="{FF2B5EF4-FFF2-40B4-BE49-F238E27FC236}">
              <a16:creationId xmlns:a16="http://schemas.microsoft.com/office/drawing/2014/main" id="{AF3C3FF7-C879-44FD-965D-6241B330C78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70" name="Text Box 910">
          <a:extLst>
            <a:ext uri="{FF2B5EF4-FFF2-40B4-BE49-F238E27FC236}">
              <a16:creationId xmlns:a16="http://schemas.microsoft.com/office/drawing/2014/main" id="{1993AB1D-0F50-4115-916E-AE2F64020D1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71" name="Text Box 910">
          <a:extLst>
            <a:ext uri="{FF2B5EF4-FFF2-40B4-BE49-F238E27FC236}">
              <a16:creationId xmlns:a16="http://schemas.microsoft.com/office/drawing/2014/main" id="{DF63BC07-900D-4226-A708-E14831A811C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72" name="Text Box 910">
          <a:extLst>
            <a:ext uri="{FF2B5EF4-FFF2-40B4-BE49-F238E27FC236}">
              <a16:creationId xmlns:a16="http://schemas.microsoft.com/office/drawing/2014/main" id="{9FE70A00-C603-409B-A61A-43D3523CC7D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74" name="Text Box 909">
          <a:extLst>
            <a:ext uri="{FF2B5EF4-FFF2-40B4-BE49-F238E27FC236}">
              <a16:creationId xmlns:a16="http://schemas.microsoft.com/office/drawing/2014/main" id="{8D8D7768-C264-4DA4-9531-B9B9FACBADAC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76" name="Text Box 910">
          <a:extLst>
            <a:ext uri="{FF2B5EF4-FFF2-40B4-BE49-F238E27FC236}">
              <a16:creationId xmlns:a16="http://schemas.microsoft.com/office/drawing/2014/main" id="{B2A64B30-56B4-4D1F-9EC8-475A9E747E9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77" name="Text Box 910">
          <a:extLst>
            <a:ext uri="{FF2B5EF4-FFF2-40B4-BE49-F238E27FC236}">
              <a16:creationId xmlns:a16="http://schemas.microsoft.com/office/drawing/2014/main" id="{B28710EC-99EB-4227-83B0-F45223BD16C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78" name="Text Box 910">
          <a:extLst>
            <a:ext uri="{FF2B5EF4-FFF2-40B4-BE49-F238E27FC236}">
              <a16:creationId xmlns:a16="http://schemas.microsoft.com/office/drawing/2014/main" id="{0F1C8067-3722-4EB7-AD9C-240956D639F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79" name="Text Box 910">
          <a:extLst>
            <a:ext uri="{FF2B5EF4-FFF2-40B4-BE49-F238E27FC236}">
              <a16:creationId xmlns:a16="http://schemas.microsoft.com/office/drawing/2014/main" id="{D86147DF-B0BE-481A-BF14-22AA7E9B486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81" name="Text Box 909">
          <a:extLst>
            <a:ext uri="{FF2B5EF4-FFF2-40B4-BE49-F238E27FC236}">
              <a16:creationId xmlns:a16="http://schemas.microsoft.com/office/drawing/2014/main" id="{546E1157-C3AE-4833-A78B-75EF7A2CB015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83" name="Text Box 910">
          <a:extLst>
            <a:ext uri="{FF2B5EF4-FFF2-40B4-BE49-F238E27FC236}">
              <a16:creationId xmlns:a16="http://schemas.microsoft.com/office/drawing/2014/main" id="{16C6BFA2-06AB-4B7D-9AB4-2996307B9B3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84" name="Text Box 910">
          <a:extLst>
            <a:ext uri="{FF2B5EF4-FFF2-40B4-BE49-F238E27FC236}">
              <a16:creationId xmlns:a16="http://schemas.microsoft.com/office/drawing/2014/main" id="{84FF3510-4F08-491A-942F-E9CCAAE5BE5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85" name="Text Box 910">
          <a:extLst>
            <a:ext uri="{FF2B5EF4-FFF2-40B4-BE49-F238E27FC236}">
              <a16:creationId xmlns:a16="http://schemas.microsoft.com/office/drawing/2014/main" id="{CB3B00D8-56E7-4BDE-AA41-C6152DF11BD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86" name="Text Box 910">
          <a:extLst>
            <a:ext uri="{FF2B5EF4-FFF2-40B4-BE49-F238E27FC236}">
              <a16:creationId xmlns:a16="http://schemas.microsoft.com/office/drawing/2014/main" id="{427D1456-E9A0-4FE3-9FD3-F24ACD0BEB2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88" name="Text Box 909">
          <a:extLst>
            <a:ext uri="{FF2B5EF4-FFF2-40B4-BE49-F238E27FC236}">
              <a16:creationId xmlns:a16="http://schemas.microsoft.com/office/drawing/2014/main" id="{5D0E1BBA-8063-4380-BC91-F4196197B623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90" name="Text Box 910">
          <a:extLst>
            <a:ext uri="{FF2B5EF4-FFF2-40B4-BE49-F238E27FC236}">
              <a16:creationId xmlns:a16="http://schemas.microsoft.com/office/drawing/2014/main" id="{B9CE35FC-574B-455E-AA77-3111E88A534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91" name="Text Box 910">
          <a:extLst>
            <a:ext uri="{FF2B5EF4-FFF2-40B4-BE49-F238E27FC236}">
              <a16:creationId xmlns:a16="http://schemas.microsoft.com/office/drawing/2014/main" id="{C42E5078-099B-4215-98B8-BC686CA4E0B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92" name="Text Box 910">
          <a:extLst>
            <a:ext uri="{FF2B5EF4-FFF2-40B4-BE49-F238E27FC236}">
              <a16:creationId xmlns:a16="http://schemas.microsoft.com/office/drawing/2014/main" id="{B88D8887-89B0-4B68-8D23-3988AAD4485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93" name="Text Box 910">
          <a:extLst>
            <a:ext uri="{FF2B5EF4-FFF2-40B4-BE49-F238E27FC236}">
              <a16:creationId xmlns:a16="http://schemas.microsoft.com/office/drawing/2014/main" id="{E6E9CAC4-C7A6-4F71-A520-6AE87342139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795" name="Text Box 909">
          <a:extLst>
            <a:ext uri="{FF2B5EF4-FFF2-40B4-BE49-F238E27FC236}">
              <a16:creationId xmlns:a16="http://schemas.microsoft.com/office/drawing/2014/main" id="{519786E1-75AB-418A-9FEA-76D1BF1B9D4C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97" name="Text Box 910">
          <a:extLst>
            <a:ext uri="{FF2B5EF4-FFF2-40B4-BE49-F238E27FC236}">
              <a16:creationId xmlns:a16="http://schemas.microsoft.com/office/drawing/2014/main" id="{4B745149-BB0D-41B9-BFAB-F72A680A4E1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98" name="Text Box 910">
          <a:extLst>
            <a:ext uri="{FF2B5EF4-FFF2-40B4-BE49-F238E27FC236}">
              <a16:creationId xmlns:a16="http://schemas.microsoft.com/office/drawing/2014/main" id="{7A68A65C-E12C-43E8-84FC-E0563CB1E6D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799" name="Text Box 910">
          <a:extLst>
            <a:ext uri="{FF2B5EF4-FFF2-40B4-BE49-F238E27FC236}">
              <a16:creationId xmlns:a16="http://schemas.microsoft.com/office/drawing/2014/main" id="{93C24879-3378-447A-9660-25CF189343A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00" name="Text Box 910">
          <a:extLst>
            <a:ext uri="{FF2B5EF4-FFF2-40B4-BE49-F238E27FC236}">
              <a16:creationId xmlns:a16="http://schemas.microsoft.com/office/drawing/2014/main" id="{D7494BA6-A8D9-4B53-BD12-54A05B3D54D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02" name="Text Box 909">
          <a:extLst>
            <a:ext uri="{FF2B5EF4-FFF2-40B4-BE49-F238E27FC236}">
              <a16:creationId xmlns:a16="http://schemas.microsoft.com/office/drawing/2014/main" id="{631F4E03-4BF9-48D4-B484-B4EF67C83DE2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04" name="Text Box 910">
          <a:extLst>
            <a:ext uri="{FF2B5EF4-FFF2-40B4-BE49-F238E27FC236}">
              <a16:creationId xmlns:a16="http://schemas.microsoft.com/office/drawing/2014/main" id="{46D142E7-759C-494D-9922-B6B670FC79F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05" name="Text Box 910">
          <a:extLst>
            <a:ext uri="{FF2B5EF4-FFF2-40B4-BE49-F238E27FC236}">
              <a16:creationId xmlns:a16="http://schemas.microsoft.com/office/drawing/2014/main" id="{DE9490E6-C2B1-4EE7-A26C-EE4FCF008C6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06" name="Text Box 910">
          <a:extLst>
            <a:ext uri="{FF2B5EF4-FFF2-40B4-BE49-F238E27FC236}">
              <a16:creationId xmlns:a16="http://schemas.microsoft.com/office/drawing/2014/main" id="{AD0A4AFE-0765-4158-9D1C-B57CED0C2DD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07" name="Text Box 910">
          <a:extLst>
            <a:ext uri="{FF2B5EF4-FFF2-40B4-BE49-F238E27FC236}">
              <a16:creationId xmlns:a16="http://schemas.microsoft.com/office/drawing/2014/main" id="{FACF4121-B891-48D7-BAF0-F5C6A6C5DD4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09" name="Text Box 909">
          <a:extLst>
            <a:ext uri="{FF2B5EF4-FFF2-40B4-BE49-F238E27FC236}">
              <a16:creationId xmlns:a16="http://schemas.microsoft.com/office/drawing/2014/main" id="{C1EDA857-EFE1-4957-838C-78EFC4F68549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11" name="Text Box 910">
          <a:extLst>
            <a:ext uri="{FF2B5EF4-FFF2-40B4-BE49-F238E27FC236}">
              <a16:creationId xmlns:a16="http://schemas.microsoft.com/office/drawing/2014/main" id="{7DBAED2C-F4B2-4F75-B357-B01B27D7BD2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12" name="Text Box 910">
          <a:extLst>
            <a:ext uri="{FF2B5EF4-FFF2-40B4-BE49-F238E27FC236}">
              <a16:creationId xmlns:a16="http://schemas.microsoft.com/office/drawing/2014/main" id="{9F58677D-117A-420C-9AA1-ACB78A51797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13" name="Text Box 910">
          <a:extLst>
            <a:ext uri="{FF2B5EF4-FFF2-40B4-BE49-F238E27FC236}">
              <a16:creationId xmlns:a16="http://schemas.microsoft.com/office/drawing/2014/main" id="{1A625F67-FEFA-423D-BC4B-E011D9C6A44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14" name="Text Box 910">
          <a:extLst>
            <a:ext uri="{FF2B5EF4-FFF2-40B4-BE49-F238E27FC236}">
              <a16:creationId xmlns:a16="http://schemas.microsoft.com/office/drawing/2014/main" id="{E6D37EDB-5551-4BFE-A679-DAA830D9574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16" name="Text Box 909">
          <a:extLst>
            <a:ext uri="{FF2B5EF4-FFF2-40B4-BE49-F238E27FC236}">
              <a16:creationId xmlns:a16="http://schemas.microsoft.com/office/drawing/2014/main" id="{AF434E69-8B34-4347-883A-B51F6387A934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18" name="Text Box 910">
          <a:extLst>
            <a:ext uri="{FF2B5EF4-FFF2-40B4-BE49-F238E27FC236}">
              <a16:creationId xmlns:a16="http://schemas.microsoft.com/office/drawing/2014/main" id="{F8753DF7-1A36-4237-B69D-CE036FF62D5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19" name="Text Box 910">
          <a:extLst>
            <a:ext uri="{FF2B5EF4-FFF2-40B4-BE49-F238E27FC236}">
              <a16:creationId xmlns:a16="http://schemas.microsoft.com/office/drawing/2014/main" id="{E0AA6A62-FBB5-45EB-8504-34362733340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20" name="Text Box 910">
          <a:extLst>
            <a:ext uri="{FF2B5EF4-FFF2-40B4-BE49-F238E27FC236}">
              <a16:creationId xmlns:a16="http://schemas.microsoft.com/office/drawing/2014/main" id="{65D81605-06BD-4BA8-A7C1-90FC9D869A7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21" name="Text Box 910">
          <a:extLst>
            <a:ext uri="{FF2B5EF4-FFF2-40B4-BE49-F238E27FC236}">
              <a16:creationId xmlns:a16="http://schemas.microsoft.com/office/drawing/2014/main" id="{A23E1D2F-E8A6-4096-A73B-F570EE33922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23" name="Text Box 909">
          <a:extLst>
            <a:ext uri="{FF2B5EF4-FFF2-40B4-BE49-F238E27FC236}">
              <a16:creationId xmlns:a16="http://schemas.microsoft.com/office/drawing/2014/main" id="{A7AE9D50-3BF9-4D3A-9833-3420DE4641AE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25" name="Text Box 910">
          <a:extLst>
            <a:ext uri="{FF2B5EF4-FFF2-40B4-BE49-F238E27FC236}">
              <a16:creationId xmlns:a16="http://schemas.microsoft.com/office/drawing/2014/main" id="{AA364151-4910-4854-8C61-BA69F4B8415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26" name="Text Box 910">
          <a:extLst>
            <a:ext uri="{FF2B5EF4-FFF2-40B4-BE49-F238E27FC236}">
              <a16:creationId xmlns:a16="http://schemas.microsoft.com/office/drawing/2014/main" id="{DB0D4BD1-096F-4E0A-AF3F-5286037D31E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27" name="Text Box 910">
          <a:extLst>
            <a:ext uri="{FF2B5EF4-FFF2-40B4-BE49-F238E27FC236}">
              <a16:creationId xmlns:a16="http://schemas.microsoft.com/office/drawing/2014/main" id="{BB83053D-5859-4EFE-8936-86EE7A70565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28" name="Text Box 910">
          <a:extLst>
            <a:ext uri="{FF2B5EF4-FFF2-40B4-BE49-F238E27FC236}">
              <a16:creationId xmlns:a16="http://schemas.microsoft.com/office/drawing/2014/main" id="{968B9A7A-F5D2-4BC9-9745-5495800F76B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30" name="Text Box 909">
          <a:extLst>
            <a:ext uri="{FF2B5EF4-FFF2-40B4-BE49-F238E27FC236}">
              <a16:creationId xmlns:a16="http://schemas.microsoft.com/office/drawing/2014/main" id="{5127F872-81A6-4284-8289-3ED935D3D917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32" name="Text Box 910">
          <a:extLst>
            <a:ext uri="{FF2B5EF4-FFF2-40B4-BE49-F238E27FC236}">
              <a16:creationId xmlns:a16="http://schemas.microsoft.com/office/drawing/2014/main" id="{D83703EF-198E-4A4C-82F6-BD2729DC557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33" name="Text Box 910">
          <a:extLst>
            <a:ext uri="{FF2B5EF4-FFF2-40B4-BE49-F238E27FC236}">
              <a16:creationId xmlns:a16="http://schemas.microsoft.com/office/drawing/2014/main" id="{9C6C7B3E-D0BC-429D-ACF6-ACC39E25699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34" name="Text Box 910">
          <a:extLst>
            <a:ext uri="{FF2B5EF4-FFF2-40B4-BE49-F238E27FC236}">
              <a16:creationId xmlns:a16="http://schemas.microsoft.com/office/drawing/2014/main" id="{76DAD3C3-0A22-487E-815D-416E00479AC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35" name="Text Box 910">
          <a:extLst>
            <a:ext uri="{FF2B5EF4-FFF2-40B4-BE49-F238E27FC236}">
              <a16:creationId xmlns:a16="http://schemas.microsoft.com/office/drawing/2014/main" id="{F5C82F0B-AC77-497B-AE40-D195F1BFA8C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37" name="Text Box 909">
          <a:extLst>
            <a:ext uri="{FF2B5EF4-FFF2-40B4-BE49-F238E27FC236}">
              <a16:creationId xmlns:a16="http://schemas.microsoft.com/office/drawing/2014/main" id="{4CB9FE51-646A-40FA-BF18-252343CD88FE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39" name="Text Box 910">
          <a:extLst>
            <a:ext uri="{FF2B5EF4-FFF2-40B4-BE49-F238E27FC236}">
              <a16:creationId xmlns:a16="http://schemas.microsoft.com/office/drawing/2014/main" id="{FAD9EAA2-E9D2-4044-9D50-62C6954E8FD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40" name="Text Box 910">
          <a:extLst>
            <a:ext uri="{FF2B5EF4-FFF2-40B4-BE49-F238E27FC236}">
              <a16:creationId xmlns:a16="http://schemas.microsoft.com/office/drawing/2014/main" id="{984DC3C7-AD6D-45CC-A7E7-CBA2404B7AF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41" name="Text Box 910">
          <a:extLst>
            <a:ext uri="{FF2B5EF4-FFF2-40B4-BE49-F238E27FC236}">
              <a16:creationId xmlns:a16="http://schemas.microsoft.com/office/drawing/2014/main" id="{AF07720B-DC2B-453F-B000-BFC78FF97C4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42" name="Text Box 910">
          <a:extLst>
            <a:ext uri="{FF2B5EF4-FFF2-40B4-BE49-F238E27FC236}">
              <a16:creationId xmlns:a16="http://schemas.microsoft.com/office/drawing/2014/main" id="{1014D7CC-D88F-4EC0-87B8-C850D0FF546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44" name="Text Box 909">
          <a:extLst>
            <a:ext uri="{FF2B5EF4-FFF2-40B4-BE49-F238E27FC236}">
              <a16:creationId xmlns:a16="http://schemas.microsoft.com/office/drawing/2014/main" id="{71D8B977-FB39-4E5A-9133-F01F809582DC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46" name="Text Box 910">
          <a:extLst>
            <a:ext uri="{FF2B5EF4-FFF2-40B4-BE49-F238E27FC236}">
              <a16:creationId xmlns:a16="http://schemas.microsoft.com/office/drawing/2014/main" id="{0EFD72C8-7188-4175-A684-5429F309949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47" name="Text Box 910">
          <a:extLst>
            <a:ext uri="{FF2B5EF4-FFF2-40B4-BE49-F238E27FC236}">
              <a16:creationId xmlns:a16="http://schemas.microsoft.com/office/drawing/2014/main" id="{C2D0230D-FE0C-403A-9D0D-0A1C97083E1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48" name="Text Box 910">
          <a:extLst>
            <a:ext uri="{FF2B5EF4-FFF2-40B4-BE49-F238E27FC236}">
              <a16:creationId xmlns:a16="http://schemas.microsoft.com/office/drawing/2014/main" id="{8D26A839-76A4-490F-B7C4-F02C6753600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49" name="Text Box 910">
          <a:extLst>
            <a:ext uri="{FF2B5EF4-FFF2-40B4-BE49-F238E27FC236}">
              <a16:creationId xmlns:a16="http://schemas.microsoft.com/office/drawing/2014/main" id="{6EA4A678-704C-42F5-835E-43348617EFC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51" name="Text Box 909">
          <a:extLst>
            <a:ext uri="{FF2B5EF4-FFF2-40B4-BE49-F238E27FC236}">
              <a16:creationId xmlns:a16="http://schemas.microsoft.com/office/drawing/2014/main" id="{1AADA353-53D6-463D-8DBE-85C87E1EEE52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53" name="Text Box 910">
          <a:extLst>
            <a:ext uri="{FF2B5EF4-FFF2-40B4-BE49-F238E27FC236}">
              <a16:creationId xmlns:a16="http://schemas.microsoft.com/office/drawing/2014/main" id="{2557EC62-EEAA-4974-A529-1D005C64AD1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54" name="Text Box 910">
          <a:extLst>
            <a:ext uri="{FF2B5EF4-FFF2-40B4-BE49-F238E27FC236}">
              <a16:creationId xmlns:a16="http://schemas.microsoft.com/office/drawing/2014/main" id="{03037B09-CB94-4321-9708-8AE737D4096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55" name="Text Box 910">
          <a:extLst>
            <a:ext uri="{FF2B5EF4-FFF2-40B4-BE49-F238E27FC236}">
              <a16:creationId xmlns:a16="http://schemas.microsoft.com/office/drawing/2014/main" id="{C4DD9A94-6F38-4BEE-9206-AAB2A199BD6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56" name="Text Box 910">
          <a:extLst>
            <a:ext uri="{FF2B5EF4-FFF2-40B4-BE49-F238E27FC236}">
              <a16:creationId xmlns:a16="http://schemas.microsoft.com/office/drawing/2014/main" id="{A524AEBF-BC2E-470C-A769-CE094194972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58" name="Text Box 909">
          <a:extLst>
            <a:ext uri="{FF2B5EF4-FFF2-40B4-BE49-F238E27FC236}">
              <a16:creationId xmlns:a16="http://schemas.microsoft.com/office/drawing/2014/main" id="{20317E66-FC31-4F4F-9C8E-0D78FE89E251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60" name="Text Box 910">
          <a:extLst>
            <a:ext uri="{FF2B5EF4-FFF2-40B4-BE49-F238E27FC236}">
              <a16:creationId xmlns:a16="http://schemas.microsoft.com/office/drawing/2014/main" id="{27CD7EC5-80FD-4BFF-8C44-2D4A4D33F53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61" name="Text Box 910">
          <a:extLst>
            <a:ext uri="{FF2B5EF4-FFF2-40B4-BE49-F238E27FC236}">
              <a16:creationId xmlns:a16="http://schemas.microsoft.com/office/drawing/2014/main" id="{08B288D9-D2CA-4E0D-92B6-BB8EB3DC67F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62" name="Text Box 910">
          <a:extLst>
            <a:ext uri="{FF2B5EF4-FFF2-40B4-BE49-F238E27FC236}">
              <a16:creationId xmlns:a16="http://schemas.microsoft.com/office/drawing/2014/main" id="{3491DF49-9712-471C-8913-A91C1144F39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63" name="Text Box 910">
          <a:extLst>
            <a:ext uri="{FF2B5EF4-FFF2-40B4-BE49-F238E27FC236}">
              <a16:creationId xmlns:a16="http://schemas.microsoft.com/office/drawing/2014/main" id="{BB5DBE56-AE91-4F05-947D-90D05E9E651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65" name="Text Box 909">
          <a:extLst>
            <a:ext uri="{FF2B5EF4-FFF2-40B4-BE49-F238E27FC236}">
              <a16:creationId xmlns:a16="http://schemas.microsoft.com/office/drawing/2014/main" id="{654FF220-4656-45DD-B206-12BA68B5518D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67" name="Text Box 910">
          <a:extLst>
            <a:ext uri="{FF2B5EF4-FFF2-40B4-BE49-F238E27FC236}">
              <a16:creationId xmlns:a16="http://schemas.microsoft.com/office/drawing/2014/main" id="{0E6E8A18-AF67-4840-B140-030E54F0049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68" name="Text Box 910">
          <a:extLst>
            <a:ext uri="{FF2B5EF4-FFF2-40B4-BE49-F238E27FC236}">
              <a16:creationId xmlns:a16="http://schemas.microsoft.com/office/drawing/2014/main" id="{9050A42B-8218-4714-89E1-68614D83D1A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69" name="Text Box 910">
          <a:extLst>
            <a:ext uri="{FF2B5EF4-FFF2-40B4-BE49-F238E27FC236}">
              <a16:creationId xmlns:a16="http://schemas.microsoft.com/office/drawing/2014/main" id="{CC302B03-AD95-44DA-9F85-FF8A3BBDF8C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70" name="Text Box 910">
          <a:extLst>
            <a:ext uri="{FF2B5EF4-FFF2-40B4-BE49-F238E27FC236}">
              <a16:creationId xmlns:a16="http://schemas.microsoft.com/office/drawing/2014/main" id="{2068BF2A-BD60-4916-9729-C3157E4AA39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72" name="Text Box 909">
          <a:extLst>
            <a:ext uri="{FF2B5EF4-FFF2-40B4-BE49-F238E27FC236}">
              <a16:creationId xmlns:a16="http://schemas.microsoft.com/office/drawing/2014/main" id="{54477A74-E97D-429D-8671-72F017427A3B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74" name="Text Box 910">
          <a:extLst>
            <a:ext uri="{FF2B5EF4-FFF2-40B4-BE49-F238E27FC236}">
              <a16:creationId xmlns:a16="http://schemas.microsoft.com/office/drawing/2014/main" id="{8830BC3E-71A9-42AC-8889-1EEC06C490C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75" name="Text Box 910">
          <a:extLst>
            <a:ext uri="{FF2B5EF4-FFF2-40B4-BE49-F238E27FC236}">
              <a16:creationId xmlns:a16="http://schemas.microsoft.com/office/drawing/2014/main" id="{F7B854B6-9090-4ACE-8EE1-DAA04692C83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76" name="Text Box 910">
          <a:extLst>
            <a:ext uri="{FF2B5EF4-FFF2-40B4-BE49-F238E27FC236}">
              <a16:creationId xmlns:a16="http://schemas.microsoft.com/office/drawing/2014/main" id="{FC62651B-5677-4178-96C8-1B05F78E2BF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77" name="Text Box 910">
          <a:extLst>
            <a:ext uri="{FF2B5EF4-FFF2-40B4-BE49-F238E27FC236}">
              <a16:creationId xmlns:a16="http://schemas.microsoft.com/office/drawing/2014/main" id="{46BE560D-0E22-4B30-A7C8-B4EBC51133C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79" name="Text Box 909">
          <a:extLst>
            <a:ext uri="{FF2B5EF4-FFF2-40B4-BE49-F238E27FC236}">
              <a16:creationId xmlns:a16="http://schemas.microsoft.com/office/drawing/2014/main" id="{F03AD98E-5557-415E-A1E4-D26A58CEE6CF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81" name="Text Box 910">
          <a:extLst>
            <a:ext uri="{FF2B5EF4-FFF2-40B4-BE49-F238E27FC236}">
              <a16:creationId xmlns:a16="http://schemas.microsoft.com/office/drawing/2014/main" id="{B3290795-6CDD-4465-8F6E-93903224C91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82" name="Text Box 910">
          <a:extLst>
            <a:ext uri="{FF2B5EF4-FFF2-40B4-BE49-F238E27FC236}">
              <a16:creationId xmlns:a16="http://schemas.microsoft.com/office/drawing/2014/main" id="{76B958E2-5E9C-4A36-AC3E-737C54B4014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83" name="Text Box 910">
          <a:extLst>
            <a:ext uri="{FF2B5EF4-FFF2-40B4-BE49-F238E27FC236}">
              <a16:creationId xmlns:a16="http://schemas.microsoft.com/office/drawing/2014/main" id="{97AFE435-6C50-4206-B0FF-9BE9AA2B5FB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84" name="Text Box 910">
          <a:extLst>
            <a:ext uri="{FF2B5EF4-FFF2-40B4-BE49-F238E27FC236}">
              <a16:creationId xmlns:a16="http://schemas.microsoft.com/office/drawing/2014/main" id="{031EFAE3-D22D-4BF5-AE6A-F91727984B5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86" name="Text Box 909">
          <a:extLst>
            <a:ext uri="{FF2B5EF4-FFF2-40B4-BE49-F238E27FC236}">
              <a16:creationId xmlns:a16="http://schemas.microsoft.com/office/drawing/2014/main" id="{0396134A-E0DB-4746-8670-9F41F5D74A93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88" name="Text Box 910">
          <a:extLst>
            <a:ext uri="{FF2B5EF4-FFF2-40B4-BE49-F238E27FC236}">
              <a16:creationId xmlns:a16="http://schemas.microsoft.com/office/drawing/2014/main" id="{181BFFD2-0444-48BF-A6F9-187E577063C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89" name="Text Box 910">
          <a:extLst>
            <a:ext uri="{FF2B5EF4-FFF2-40B4-BE49-F238E27FC236}">
              <a16:creationId xmlns:a16="http://schemas.microsoft.com/office/drawing/2014/main" id="{D2A01A30-DDAC-4B33-A0B5-0E0165A8FDE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90" name="Text Box 910">
          <a:extLst>
            <a:ext uri="{FF2B5EF4-FFF2-40B4-BE49-F238E27FC236}">
              <a16:creationId xmlns:a16="http://schemas.microsoft.com/office/drawing/2014/main" id="{3BEF76C6-CC70-4B98-851D-3CE1897B3CF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91" name="Text Box 910">
          <a:extLst>
            <a:ext uri="{FF2B5EF4-FFF2-40B4-BE49-F238E27FC236}">
              <a16:creationId xmlns:a16="http://schemas.microsoft.com/office/drawing/2014/main" id="{84E96D6C-34AA-4D1D-807C-5EC89683768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893" name="Text Box 909">
          <a:extLst>
            <a:ext uri="{FF2B5EF4-FFF2-40B4-BE49-F238E27FC236}">
              <a16:creationId xmlns:a16="http://schemas.microsoft.com/office/drawing/2014/main" id="{5EE6F616-DD49-4428-9FE7-CF720BC09EAC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95" name="Text Box 910">
          <a:extLst>
            <a:ext uri="{FF2B5EF4-FFF2-40B4-BE49-F238E27FC236}">
              <a16:creationId xmlns:a16="http://schemas.microsoft.com/office/drawing/2014/main" id="{42280FA7-427A-4A53-A952-9A99ECB371C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96" name="Text Box 910">
          <a:extLst>
            <a:ext uri="{FF2B5EF4-FFF2-40B4-BE49-F238E27FC236}">
              <a16:creationId xmlns:a16="http://schemas.microsoft.com/office/drawing/2014/main" id="{090BF739-5BAE-4848-A46F-EEF2A9D2283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97" name="Text Box 910">
          <a:extLst>
            <a:ext uri="{FF2B5EF4-FFF2-40B4-BE49-F238E27FC236}">
              <a16:creationId xmlns:a16="http://schemas.microsoft.com/office/drawing/2014/main" id="{99D48D41-7AD8-40B1-B0C7-2A8DAB8F14E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898" name="Text Box 910">
          <a:extLst>
            <a:ext uri="{FF2B5EF4-FFF2-40B4-BE49-F238E27FC236}">
              <a16:creationId xmlns:a16="http://schemas.microsoft.com/office/drawing/2014/main" id="{68DCBD4C-8B00-4BF1-83CE-A8456C7891A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900" name="Text Box 909">
          <a:extLst>
            <a:ext uri="{FF2B5EF4-FFF2-40B4-BE49-F238E27FC236}">
              <a16:creationId xmlns:a16="http://schemas.microsoft.com/office/drawing/2014/main" id="{7E8ABC47-3EDD-45B6-BB68-4723A60B92E6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02" name="Text Box 910">
          <a:extLst>
            <a:ext uri="{FF2B5EF4-FFF2-40B4-BE49-F238E27FC236}">
              <a16:creationId xmlns:a16="http://schemas.microsoft.com/office/drawing/2014/main" id="{78BBE33C-2549-456A-97F3-FB04E3AB215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03" name="Text Box 910">
          <a:extLst>
            <a:ext uri="{FF2B5EF4-FFF2-40B4-BE49-F238E27FC236}">
              <a16:creationId xmlns:a16="http://schemas.microsoft.com/office/drawing/2014/main" id="{B496507D-F8F2-48CC-9870-9D49C7DE7C8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04" name="Text Box 910">
          <a:extLst>
            <a:ext uri="{FF2B5EF4-FFF2-40B4-BE49-F238E27FC236}">
              <a16:creationId xmlns:a16="http://schemas.microsoft.com/office/drawing/2014/main" id="{31160CDB-AC6B-44C5-8CD5-C090D00BFB1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05" name="Text Box 910">
          <a:extLst>
            <a:ext uri="{FF2B5EF4-FFF2-40B4-BE49-F238E27FC236}">
              <a16:creationId xmlns:a16="http://schemas.microsoft.com/office/drawing/2014/main" id="{131C6B27-E14B-411C-888C-CBEFE5B08D2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906" name="Text Box 909">
          <a:extLst>
            <a:ext uri="{FF2B5EF4-FFF2-40B4-BE49-F238E27FC236}">
              <a16:creationId xmlns:a16="http://schemas.microsoft.com/office/drawing/2014/main" id="{EC4F5B36-C4A1-401C-BC17-B064F916B137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08" name="Text Box 910">
          <a:extLst>
            <a:ext uri="{FF2B5EF4-FFF2-40B4-BE49-F238E27FC236}">
              <a16:creationId xmlns:a16="http://schemas.microsoft.com/office/drawing/2014/main" id="{73818AD2-7F7B-459C-B2FF-5EC75071C6B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09" name="Text Box 910">
          <a:extLst>
            <a:ext uri="{FF2B5EF4-FFF2-40B4-BE49-F238E27FC236}">
              <a16:creationId xmlns:a16="http://schemas.microsoft.com/office/drawing/2014/main" id="{9074461B-D435-483F-BD4B-18157E60EB2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10" name="Text Box 910">
          <a:extLst>
            <a:ext uri="{FF2B5EF4-FFF2-40B4-BE49-F238E27FC236}">
              <a16:creationId xmlns:a16="http://schemas.microsoft.com/office/drawing/2014/main" id="{1B1E443E-7669-4165-8E81-7BA77E36BA7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11" name="Text Box 910">
          <a:extLst>
            <a:ext uri="{FF2B5EF4-FFF2-40B4-BE49-F238E27FC236}">
              <a16:creationId xmlns:a16="http://schemas.microsoft.com/office/drawing/2014/main" id="{41427F6F-E748-43FF-8419-D78181F59D6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912" name="Text Box 909">
          <a:extLst>
            <a:ext uri="{FF2B5EF4-FFF2-40B4-BE49-F238E27FC236}">
              <a16:creationId xmlns:a16="http://schemas.microsoft.com/office/drawing/2014/main" id="{3082E9CC-8AF1-4500-B806-4DB9AE62A698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14" name="Text Box 910">
          <a:extLst>
            <a:ext uri="{FF2B5EF4-FFF2-40B4-BE49-F238E27FC236}">
              <a16:creationId xmlns:a16="http://schemas.microsoft.com/office/drawing/2014/main" id="{9FBF6E01-D614-4F1F-92ED-6BA70243A37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15" name="Text Box 910">
          <a:extLst>
            <a:ext uri="{FF2B5EF4-FFF2-40B4-BE49-F238E27FC236}">
              <a16:creationId xmlns:a16="http://schemas.microsoft.com/office/drawing/2014/main" id="{7EC1F45B-5723-460A-8873-4A7F61F80AE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16" name="Text Box 910">
          <a:extLst>
            <a:ext uri="{FF2B5EF4-FFF2-40B4-BE49-F238E27FC236}">
              <a16:creationId xmlns:a16="http://schemas.microsoft.com/office/drawing/2014/main" id="{9FC5E597-9362-407D-A878-4370ECB052C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17" name="Text Box 910">
          <a:extLst>
            <a:ext uri="{FF2B5EF4-FFF2-40B4-BE49-F238E27FC236}">
              <a16:creationId xmlns:a16="http://schemas.microsoft.com/office/drawing/2014/main" id="{B72466CD-01E1-4C96-8336-D87097C6371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</xdr:row>
      <xdr:rowOff>38100</xdr:rowOff>
    </xdr:from>
    <xdr:to>
      <xdr:col>32</xdr:col>
      <xdr:colOff>142875</xdr:colOff>
      <xdr:row>4</xdr:row>
      <xdr:rowOff>47625</xdr:rowOff>
    </xdr:to>
    <xdr:sp macro="" textlink="">
      <xdr:nvSpPr>
        <xdr:cNvPr id="918" name="Text Box 909">
          <a:extLst>
            <a:ext uri="{FF2B5EF4-FFF2-40B4-BE49-F238E27FC236}">
              <a16:creationId xmlns:a16="http://schemas.microsoft.com/office/drawing/2014/main" id="{EF95AC5C-5918-4175-A5A3-869BF0276345}"/>
            </a:ext>
          </a:extLst>
        </xdr:cNvPr>
        <xdr:cNvSpPr txBox="1">
          <a:spLocks noChangeArrowheads="1"/>
        </xdr:cNvSpPr>
      </xdr:nvSpPr>
      <xdr:spPr bwMode="auto">
        <a:xfrm>
          <a:off x="3762375" y="21939313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0" name="Text Box 910">
          <a:extLst>
            <a:ext uri="{FF2B5EF4-FFF2-40B4-BE49-F238E27FC236}">
              <a16:creationId xmlns:a16="http://schemas.microsoft.com/office/drawing/2014/main" id="{695D6FD1-76C2-49DB-BA99-E77BFED1B2E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1" name="Text Box 910">
          <a:extLst>
            <a:ext uri="{FF2B5EF4-FFF2-40B4-BE49-F238E27FC236}">
              <a16:creationId xmlns:a16="http://schemas.microsoft.com/office/drawing/2014/main" id="{91617943-3277-4698-B588-0EA6D3F2DC9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2" name="Text Box 910">
          <a:extLst>
            <a:ext uri="{FF2B5EF4-FFF2-40B4-BE49-F238E27FC236}">
              <a16:creationId xmlns:a16="http://schemas.microsoft.com/office/drawing/2014/main" id="{AEEB197B-8944-404A-8ABA-3B52C98E165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3" name="Text Box 910">
          <a:extLst>
            <a:ext uri="{FF2B5EF4-FFF2-40B4-BE49-F238E27FC236}">
              <a16:creationId xmlns:a16="http://schemas.microsoft.com/office/drawing/2014/main" id="{7B3D76B6-B904-42FA-A94E-1BDF822C217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4" name="Text Box 910">
          <a:extLst>
            <a:ext uri="{FF2B5EF4-FFF2-40B4-BE49-F238E27FC236}">
              <a16:creationId xmlns:a16="http://schemas.microsoft.com/office/drawing/2014/main" id="{02573457-84D1-4599-8C10-8FD79D0D4DE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5" name="Text Box 910">
          <a:extLst>
            <a:ext uri="{FF2B5EF4-FFF2-40B4-BE49-F238E27FC236}">
              <a16:creationId xmlns:a16="http://schemas.microsoft.com/office/drawing/2014/main" id="{CA2F2D2E-C403-4C96-AE65-98235107A4A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6" name="Text Box 910">
          <a:extLst>
            <a:ext uri="{FF2B5EF4-FFF2-40B4-BE49-F238E27FC236}">
              <a16:creationId xmlns:a16="http://schemas.microsoft.com/office/drawing/2014/main" id="{134F4ED0-07EC-422A-9DDC-F30A591C9FF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7" name="Text Box 910">
          <a:extLst>
            <a:ext uri="{FF2B5EF4-FFF2-40B4-BE49-F238E27FC236}">
              <a16:creationId xmlns:a16="http://schemas.microsoft.com/office/drawing/2014/main" id="{38292C65-08D0-44CE-B09A-6C9F63E3091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8" name="Text Box 910">
          <a:extLst>
            <a:ext uri="{FF2B5EF4-FFF2-40B4-BE49-F238E27FC236}">
              <a16:creationId xmlns:a16="http://schemas.microsoft.com/office/drawing/2014/main" id="{C00E26D3-7F51-48C0-B6B8-0A56E5B3B29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29" name="Text Box 910">
          <a:extLst>
            <a:ext uri="{FF2B5EF4-FFF2-40B4-BE49-F238E27FC236}">
              <a16:creationId xmlns:a16="http://schemas.microsoft.com/office/drawing/2014/main" id="{F68FFA49-7ACC-414C-A673-2DB4AD870B9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0" name="Text Box 910">
          <a:extLst>
            <a:ext uri="{FF2B5EF4-FFF2-40B4-BE49-F238E27FC236}">
              <a16:creationId xmlns:a16="http://schemas.microsoft.com/office/drawing/2014/main" id="{6B53BC2B-D1FB-47AB-BFE1-9534ADF9FE4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1" name="Text Box 910">
          <a:extLst>
            <a:ext uri="{FF2B5EF4-FFF2-40B4-BE49-F238E27FC236}">
              <a16:creationId xmlns:a16="http://schemas.microsoft.com/office/drawing/2014/main" id="{9961B167-6A66-4DE0-A731-D953A0CE7BD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2" name="Text Box 910">
          <a:extLst>
            <a:ext uri="{FF2B5EF4-FFF2-40B4-BE49-F238E27FC236}">
              <a16:creationId xmlns:a16="http://schemas.microsoft.com/office/drawing/2014/main" id="{F0C5B93C-41C6-4B41-80ED-69FCC1C51CC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3" name="Text Box 910">
          <a:extLst>
            <a:ext uri="{FF2B5EF4-FFF2-40B4-BE49-F238E27FC236}">
              <a16:creationId xmlns:a16="http://schemas.microsoft.com/office/drawing/2014/main" id="{626346AC-1DAE-443D-850E-08772B7F9A9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4" name="Text Box 910">
          <a:extLst>
            <a:ext uri="{FF2B5EF4-FFF2-40B4-BE49-F238E27FC236}">
              <a16:creationId xmlns:a16="http://schemas.microsoft.com/office/drawing/2014/main" id="{4CBA3E05-3BB4-4EAA-A499-81BD1DA5042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5" name="Text Box 910">
          <a:extLst>
            <a:ext uri="{FF2B5EF4-FFF2-40B4-BE49-F238E27FC236}">
              <a16:creationId xmlns:a16="http://schemas.microsoft.com/office/drawing/2014/main" id="{BA46CC74-E425-43A6-8120-0A73674A08B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6" name="Text Box 910">
          <a:extLst>
            <a:ext uri="{FF2B5EF4-FFF2-40B4-BE49-F238E27FC236}">
              <a16:creationId xmlns:a16="http://schemas.microsoft.com/office/drawing/2014/main" id="{79498A0C-8ADB-4194-B5AB-48BD51F417A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7" name="Text Box 910">
          <a:extLst>
            <a:ext uri="{FF2B5EF4-FFF2-40B4-BE49-F238E27FC236}">
              <a16:creationId xmlns:a16="http://schemas.microsoft.com/office/drawing/2014/main" id="{6476BF63-F3E8-47B7-8BC7-4BA6AFAC603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8" name="Text Box 910">
          <a:extLst>
            <a:ext uri="{FF2B5EF4-FFF2-40B4-BE49-F238E27FC236}">
              <a16:creationId xmlns:a16="http://schemas.microsoft.com/office/drawing/2014/main" id="{2934BCC0-97E9-4B68-B220-58D72F5EBE1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39" name="Text Box 910">
          <a:extLst>
            <a:ext uri="{FF2B5EF4-FFF2-40B4-BE49-F238E27FC236}">
              <a16:creationId xmlns:a16="http://schemas.microsoft.com/office/drawing/2014/main" id="{FFD7A09C-4E76-4859-8FFC-810E8C11B00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0" name="Text Box 910">
          <a:extLst>
            <a:ext uri="{FF2B5EF4-FFF2-40B4-BE49-F238E27FC236}">
              <a16:creationId xmlns:a16="http://schemas.microsoft.com/office/drawing/2014/main" id="{DF7F02DA-BD22-4984-8477-A1D17DA8B3E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1" name="Text Box 910">
          <a:extLst>
            <a:ext uri="{FF2B5EF4-FFF2-40B4-BE49-F238E27FC236}">
              <a16:creationId xmlns:a16="http://schemas.microsoft.com/office/drawing/2014/main" id="{A4E54C2C-2FEE-417A-AC82-0E41F8BA7FF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2" name="Text Box 910">
          <a:extLst>
            <a:ext uri="{FF2B5EF4-FFF2-40B4-BE49-F238E27FC236}">
              <a16:creationId xmlns:a16="http://schemas.microsoft.com/office/drawing/2014/main" id="{BBF9AD34-E1B7-4E94-92EE-8800C8A6A6F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3" name="Text Box 910">
          <a:extLst>
            <a:ext uri="{FF2B5EF4-FFF2-40B4-BE49-F238E27FC236}">
              <a16:creationId xmlns:a16="http://schemas.microsoft.com/office/drawing/2014/main" id="{E70CCFD6-BFC4-40FB-BCDF-1EEEA6BE1E8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4" name="Text Box 910">
          <a:extLst>
            <a:ext uri="{FF2B5EF4-FFF2-40B4-BE49-F238E27FC236}">
              <a16:creationId xmlns:a16="http://schemas.microsoft.com/office/drawing/2014/main" id="{571874C6-1F83-4360-B76C-FB6762A4FEC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5" name="Text Box 910">
          <a:extLst>
            <a:ext uri="{FF2B5EF4-FFF2-40B4-BE49-F238E27FC236}">
              <a16:creationId xmlns:a16="http://schemas.microsoft.com/office/drawing/2014/main" id="{A186894D-AEE4-407E-ADA1-39B412CBC98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6" name="Text Box 910">
          <a:extLst>
            <a:ext uri="{FF2B5EF4-FFF2-40B4-BE49-F238E27FC236}">
              <a16:creationId xmlns:a16="http://schemas.microsoft.com/office/drawing/2014/main" id="{AD9CD4C9-F9CD-48CE-A013-EFF0224D147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7" name="Text Box 910">
          <a:extLst>
            <a:ext uri="{FF2B5EF4-FFF2-40B4-BE49-F238E27FC236}">
              <a16:creationId xmlns:a16="http://schemas.microsoft.com/office/drawing/2014/main" id="{6B8F651F-445C-4AF8-A0C7-456696E69BC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8" name="Text Box 910">
          <a:extLst>
            <a:ext uri="{FF2B5EF4-FFF2-40B4-BE49-F238E27FC236}">
              <a16:creationId xmlns:a16="http://schemas.microsoft.com/office/drawing/2014/main" id="{EE536595-5BA7-4822-87F2-C2B14D45DFE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49" name="Text Box 910">
          <a:extLst>
            <a:ext uri="{FF2B5EF4-FFF2-40B4-BE49-F238E27FC236}">
              <a16:creationId xmlns:a16="http://schemas.microsoft.com/office/drawing/2014/main" id="{6E6D92C5-1FBA-4845-A474-8E5FDEAA957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0" name="Text Box 910">
          <a:extLst>
            <a:ext uri="{FF2B5EF4-FFF2-40B4-BE49-F238E27FC236}">
              <a16:creationId xmlns:a16="http://schemas.microsoft.com/office/drawing/2014/main" id="{B4CF731B-1AB2-41A7-87C9-DD9F8F00ED4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1" name="Text Box 910">
          <a:extLst>
            <a:ext uri="{FF2B5EF4-FFF2-40B4-BE49-F238E27FC236}">
              <a16:creationId xmlns:a16="http://schemas.microsoft.com/office/drawing/2014/main" id="{5B7F644D-49D9-4A49-AC06-71522882A17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2" name="Text Box 910">
          <a:extLst>
            <a:ext uri="{FF2B5EF4-FFF2-40B4-BE49-F238E27FC236}">
              <a16:creationId xmlns:a16="http://schemas.microsoft.com/office/drawing/2014/main" id="{B7A2FA80-4111-4592-810D-A6C46C8CADB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3" name="Text Box 910">
          <a:extLst>
            <a:ext uri="{FF2B5EF4-FFF2-40B4-BE49-F238E27FC236}">
              <a16:creationId xmlns:a16="http://schemas.microsoft.com/office/drawing/2014/main" id="{91AE0B1F-B299-4B48-9AA5-DAD5C2514E0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4" name="Text Box 910">
          <a:extLst>
            <a:ext uri="{FF2B5EF4-FFF2-40B4-BE49-F238E27FC236}">
              <a16:creationId xmlns:a16="http://schemas.microsoft.com/office/drawing/2014/main" id="{0F405C8D-B34C-4169-8C3F-8C7B19E9DF4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5" name="Text Box 910">
          <a:extLst>
            <a:ext uri="{FF2B5EF4-FFF2-40B4-BE49-F238E27FC236}">
              <a16:creationId xmlns:a16="http://schemas.microsoft.com/office/drawing/2014/main" id="{EA55BDB0-6E29-485E-85E3-FADC8AE2242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6" name="Text Box 910">
          <a:extLst>
            <a:ext uri="{FF2B5EF4-FFF2-40B4-BE49-F238E27FC236}">
              <a16:creationId xmlns:a16="http://schemas.microsoft.com/office/drawing/2014/main" id="{EF9226EF-1805-40AF-95CF-3D23FC5281C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7" name="Text Box 910">
          <a:extLst>
            <a:ext uri="{FF2B5EF4-FFF2-40B4-BE49-F238E27FC236}">
              <a16:creationId xmlns:a16="http://schemas.microsoft.com/office/drawing/2014/main" id="{B752275C-C6BC-40F0-9EE0-16B68E193F0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8" name="Text Box 910">
          <a:extLst>
            <a:ext uri="{FF2B5EF4-FFF2-40B4-BE49-F238E27FC236}">
              <a16:creationId xmlns:a16="http://schemas.microsoft.com/office/drawing/2014/main" id="{B8089E46-4568-44ED-9DC7-AA5B6865F00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59" name="Text Box 910">
          <a:extLst>
            <a:ext uri="{FF2B5EF4-FFF2-40B4-BE49-F238E27FC236}">
              <a16:creationId xmlns:a16="http://schemas.microsoft.com/office/drawing/2014/main" id="{8A344061-0FD8-41EB-91B9-1785FD9C54C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0" name="Text Box 910">
          <a:extLst>
            <a:ext uri="{FF2B5EF4-FFF2-40B4-BE49-F238E27FC236}">
              <a16:creationId xmlns:a16="http://schemas.microsoft.com/office/drawing/2014/main" id="{61E010A9-8DEA-4519-9E27-BC605389D19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1" name="Text Box 910">
          <a:extLst>
            <a:ext uri="{FF2B5EF4-FFF2-40B4-BE49-F238E27FC236}">
              <a16:creationId xmlns:a16="http://schemas.microsoft.com/office/drawing/2014/main" id="{A2A949E2-377A-4D7B-BC74-411B4B912D5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2" name="Text Box 910">
          <a:extLst>
            <a:ext uri="{FF2B5EF4-FFF2-40B4-BE49-F238E27FC236}">
              <a16:creationId xmlns:a16="http://schemas.microsoft.com/office/drawing/2014/main" id="{F294ADCB-A3B1-493E-8D70-74E40E6D046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3" name="Text Box 910">
          <a:extLst>
            <a:ext uri="{FF2B5EF4-FFF2-40B4-BE49-F238E27FC236}">
              <a16:creationId xmlns:a16="http://schemas.microsoft.com/office/drawing/2014/main" id="{B3389FBB-F73B-4D90-95FD-9D74B59E070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4" name="Text Box 910">
          <a:extLst>
            <a:ext uri="{FF2B5EF4-FFF2-40B4-BE49-F238E27FC236}">
              <a16:creationId xmlns:a16="http://schemas.microsoft.com/office/drawing/2014/main" id="{B0EE90A5-5A7B-4E88-82BC-AE45E1B7317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5" name="Text Box 910">
          <a:extLst>
            <a:ext uri="{FF2B5EF4-FFF2-40B4-BE49-F238E27FC236}">
              <a16:creationId xmlns:a16="http://schemas.microsoft.com/office/drawing/2014/main" id="{AE721EA3-7FAB-4BC4-93FD-4B11F4FE4A0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6" name="Text Box 910">
          <a:extLst>
            <a:ext uri="{FF2B5EF4-FFF2-40B4-BE49-F238E27FC236}">
              <a16:creationId xmlns:a16="http://schemas.microsoft.com/office/drawing/2014/main" id="{245D6206-496C-4699-B221-8B76B02A447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7" name="Text Box 910">
          <a:extLst>
            <a:ext uri="{FF2B5EF4-FFF2-40B4-BE49-F238E27FC236}">
              <a16:creationId xmlns:a16="http://schemas.microsoft.com/office/drawing/2014/main" id="{6621BDCD-FEEB-4D03-A447-3AB15952A5B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8" name="Text Box 910">
          <a:extLst>
            <a:ext uri="{FF2B5EF4-FFF2-40B4-BE49-F238E27FC236}">
              <a16:creationId xmlns:a16="http://schemas.microsoft.com/office/drawing/2014/main" id="{AEAB29B1-758B-4C8C-BFBC-F66C9233B3A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69" name="Text Box 910">
          <a:extLst>
            <a:ext uri="{FF2B5EF4-FFF2-40B4-BE49-F238E27FC236}">
              <a16:creationId xmlns:a16="http://schemas.microsoft.com/office/drawing/2014/main" id="{DB8570A3-99FC-4ED4-9728-9F2EEDFCB5F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0" name="Text Box 910">
          <a:extLst>
            <a:ext uri="{FF2B5EF4-FFF2-40B4-BE49-F238E27FC236}">
              <a16:creationId xmlns:a16="http://schemas.microsoft.com/office/drawing/2014/main" id="{2542A542-7006-479F-A530-B68A5EBC52E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1" name="Text Box 910">
          <a:extLst>
            <a:ext uri="{FF2B5EF4-FFF2-40B4-BE49-F238E27FC236}">
              <a16:creationId xmlns:a16="http://schemas.microsoft.com/office/drawing/2014/main" id="{0C6AF0A2-3E98-43A4-9A66-91464C9DAC8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2" name="Text Box 910">
          <a:extLst>
            <a:ext uri="{FF2B5EF4-FFF2-40B4-BE49-F238E27FC236}">
              <a16:creationId xmlns:a16="http://schemas.microsoft.com/office/drawing/2014/main" id="{CF912B9D-E6DF-4AA8-BCF8-1A3C5E810FA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3" name="Text Box 910">
          <a:extLst>
            <a:ext uri="{FF2B5EF4-FFF2-40B4-BE49-F238E27FC236}">
              <a16:creationId xmlns:a16="http://schemas.microsoft.com/office/drawing/2014/main" id="{BB6ED05D-F8B4-4DEB-B936-A060D208543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4" name="Text Box 910">
          <a:extLst>
            <a:ext uri="{FF2B5EF4-FFF2-40B4-BE49-F238E27FC236}">
              <a16:creationId xmlns:a16="http://schemas.microsoft.com/office/drawing/2014/main" id="{21006331-4890-49A8-82F0-E184CB3C835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5" name="Text Box 910">
          <a:extLst>
            <a:ext uri="{FF2B5EF4-FFF2-40B4-BE49-F238E27FC236}">
              <a16:creationId xmlns:a16="http://schemas.microsoft.com/office/drawing/2014/main" id="{9A305DC1-708C-478E-8094-42327ACD911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6" name="Text Box 910">
          <a:extLst>
            <a:ext uri="{FF2B5EF4-FFF2-40B4-BE49-F238E27FC236}">
              <a16:creationId xmlns:a16="http://schemas.microsoft.com/office/drawing/2014/main" id="{0736F7A2-68DF-4606-BAE4-A2D9A5D1111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7" name="Text Box 910">
          <a:extLst>
            <a:ext uri="{FF2B5EF4-FFF2-40B4-BE49-F238E27FC236}">
              <a16:creationId xmlns:a16="http://schemas.microsoft.com/office/drawing/2014/main" id="{61F94A46-D115-4C77-9997-F969388B899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8" name="Text Box 910">
          <a:extLst>
            <a:ext uri="{FF2B5EF4-FFF2-40B4-BE49-F238E27FC236}">
              <a16:creationId xmlns:a16="http://schemas.microsoft.com/office/drawing/2014/main" id="{5CA77665-86D2-41B7-8880-4A728E912CD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79" name="Text Box 910">
          <a:extLst>
            <a:ext uri="{FF2B5EF4-FFF2-40B4-BE49-F238E27FC236}">
              <a16:creationId xmlns:a16="http://schemas.microsoft.com/office/drawing/2014/main" id="{353D7B5F-D2A6-40A2-AAD7-C90D597198D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0" name="Text Box 910">
          <a:extLst>
            <a:ext uri="{FF2B5EF4-FFF2-40B4-BE49-F238E27FC236}">
              <a16:creationId xmlns:a16="http://schemas.microsoft.com/office/drawing/2014/main" id="{7A8D593B-6C0A-466C-9579-CA2C45037CC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1" name="Text Box 910">
          <a:extLst>
            <a:ext uri="{FF2B5EF4-FFF2-40B4-BE49-F238E27FC236}">
              <a16:creationId xmlns:a16="http://schemas.microsoft.com/office/drawing/2014/main" id="{D25CEC58-2406-4492-B19A-D1E4B571E4C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2" name="Text Box 910">
          <a:extLst>
            <a:ext uri="{FF2B5EF4-FFF2-40B4-BE49-F238E27FC236}">
              <a16:creationId xmlns:a16="http://schemas.microsoft.com/office/drawing/2014/main" id="{0AF7E5BD-04B8-405F-B74A-7A35378BCA9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3" name="Text Box 910">
          <a:extLst>
            <a:ext uri="{FF2B5EF4-FFF2-40B4-BE49-F238E27FC236}">
              <a16:creationId xmlns:a16="http://schemas.microsoft.com/office/drawing/2014/main" id="{5E93533C-DF90-4467-B6F0-3F52DF21533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4" name="Text Box 910">
          <a:extLst>
            <a:ext uri="{FF2B5EF4-FFF2-40B4-BE49-F238E27FC236}">
              <a16:creationId xmlns:a16="http://schemas.microsoft.com/office/drawing/2014/main" id="{F2FD4678-09EE-4AB0-A58B-275516F7C17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5" name="Text Box 910">
          <a:extLst>
            <a:ext uri="{FF2B5EF4-FFF2-40B4-BE49-F238E27FC236}">
              <a16:creationId xmlns:a16="http://schemas.microsoft.com/office/drawing/2014/main" id="{679CFA46-52BE-42D5-8539-7E6885D220D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6" name="Text Box 910">
          <a:extLst>
            <a:ext uri="{FF2B5EF4-FFF2-40B4-BE49-F238E27FC236}">
              <a16:creationId xmlns:a16="http://schemas.microsoft.com/office/drawing/2014/main" id="{F11C3B0A-2995-413F-A366-017BBD9B81B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7" name="Text Box 910">
          <a:extLst>
            <a:ext uri="{FF2B5EF4-FFF2-40B4-BE49-F238E27FC236}">
              <a16:creationId xmlns:a16="http://schemas.microsoft.com/office/drawing/2014/main" id="{B24127A1-E372-49E8-A7CF-266838B09A8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8" name="Text Box 910">
          <a:extLst>
            <a:ext uri="{FF2B5EF4-FFF2-40B4-BE49-F238E27FC236}">
              <a16:creationId xmlns:a16="http://schemas.microsoft.com/office/drawing/2014/main" id="{4F03483B-EED7-4BAD-A894-077322619B8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89" name="Text Box 910">
          <a:extLst>
            <a:ext uri="{FF2B5EF4-FFF2-40B4-BE49-F238E27FC236}">
              <a16:creationId xmlns:a16="http://schemas.microsoft.com/office/drawing/2014/main" id="{266B738A-06CC-412F-958F-4B13CA70505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0" name="Text Box 910">
          <a:extLst>
            <a:ext uri="{FF2B5EF4-FFF2-40B4-BE49-F238E27FC236}">
              <a16:creationId xmlns:a16="http://schemas.microsoft.com/office/drawing/2014/main" id="{BE4F98A4-425A-4CA2-A77C-762EEA2B62D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1" name="Text Box 910">
          <a:extLst>
            <a:ext uri="{FF2B5EF4-FFF2-40B4-BE49-F238E27FC236}">
              <a16:creationId xmlns:a16="http://schemas.microsoft.com/office/drawing/2014/main" id="{F15E46B6-8D05-4B7E-AFF6-32B5BD047C5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2" name="Text Box 910">
          <a:extLst>
            <a:ext uri="{FF2B5EF4-FFF2-40B4-BE49-F238E27FC236}">
              <a16:creationId xmlns:a16="http://schemas.microsoft.com/office/drawing/2014/main" id="{DCD8FD0E-5552-4AEC-9EB7-910A45AECA1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3" name="Text Box 910">
          <a:extLst>
            <a:ext uri="{FF2B5EF4-FFF2-40B4-BE49-F238E27FC236}">
              <a16:creationId xmlns:a16="http://schemas.microsoft.com/office/drawing/2014/main" id="{1A223C4F-8586-41F0-AE80-63E0755D301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4" name="Text Box 910">
          <a:extLst>
            <a:ext uri="{FF2B5EF4-FFF2-40B4-BE49-F238E27FC236}">
              <a16:creationId xmlns:a16="http://schemas.microsoft.com/office/drawing/2014/main" id="{651F0F2A-376F-4961-BF37-D57872C47E2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5" name="Text Box 910">
          <a:extLst>
            <a:ext uri="{FF2B5EF4-FFF2-40B4-BE49-F238E27FC236}">
              <a16:creationId xmlns:a16="http://schemas.microsoft.com/office/drawing/2014/main" id="{74E6D356-6C02-4F14-8E26-4B4AB331568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6" name="Text Box 910">
          <a:extLst>
            <a:ext uri="{FF2B5EF4-FFF2-40B4-BE49-F238E27FC236}">
              <a16:creationId xmlns:a16="http://schemas.microsoft.com/office/drawing/2014/main" id="{B78E7865-1C25-4CA6-B4BB-B4FA4FB0996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7" name="Text Box 910">
          <a:extLst>
            <a:ext uri="{FF2B5EF4-FFF2-40B4-BE49-F238E27FC236}">
              <a16:creationId xmlns:a16="http://schemas.microsoft.com/office/drawing/2014/main" id="{B2B97436-4E64-4A44-B78A-EE71B6BEF87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8" name="Text Box 910">
          <a:extLst>
            <a:ext uri="{FF2B5EF4-FFF2-40B4-BE49-F238E27FC236}">
              <a16:creationId xmlns:a16="http://schemas.microsoft.com/office/drawing/2014/main" id="{0AC25ADE-7744-4E78-8ECF-C8AF60A9272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999" name="Text Box 910">
          <a:extLst>
            <a:ext uri="{FF2B5EF4-FFF2-40B4-BE49-F238E27FC236}">
              <a16:creationId xmlns:a16="http://schemas.microsoft.com/office/drawing/2014/main" id="{A0A10CDF-13A1-410C-8340-11EE9206E8A2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0" name="Text Box 910">
          <a:extLst>
            <a:ext uri="{FF2B5EF4-FFF2-40B4-BE49-F238E27FC236}">
              <a16:creationId xmlns:a16="http://schemas.microsoft.com/office/drawing/2014/main" id="{8105F3B9-ED3F-4E1A-BC64-6FB592D7D40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1" name="Text Box 910">
          <a:extLst>
            <a:ext uri="{FF2B5EF4-FFF2-40B4-BE49-F238E27FC236}">
              <a16:creationId xmlns:a16="http://schemas.microsoft.com/office/drawing/2014/main" id="{BB48FAD0-4E73-4D73-9E68-0305F6FD72B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2" name="Text Box 910">
          <a:extLst>
            <a:ext uri="{FF2B5EF4-FFF2-40B4-BE49-F238E27FC236}">
              <a16:creationId xmlns:a16="http://schemas.microsoft.com/office/drawing/2014/main" id="{5A1FA0EB-D4F7-4624-B271-12887852043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3" name="Text Box 910">
          <a:extLst>
            <a:ext uri="{FF2B5EF4-FFF2-40B4-BE49-F238E27FC236}">
              <a16:creationId xmlns:a16="http://schemas.microsoft.com/office/drawing/2014/main" id="{39FE3E32-A7BE-4477-A058-EDE1DC48DFD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4" name="Text Box 910">
          <a:extLst>
            <a:ext uri="{FF2B5EF4-FFF2-40B4-BE49-F238E27FC236}">
              <a16:creationId xmlns:a16="http://schemas.microsoft.com/office/drawing/2014/main" id="{9041CA5C-3E48-4415-9FC1-0229323953D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5" name="Text Box 910">
          <a:extLst>
            <a:ext uri="{FF2B5EF4-FFF2-40B4-BE49-F238E27FC236}">
              <a16:creationId xmlns:a16="http://schemas.microsoft.com/office/drawing/2014/main" id="{E5D12B27-6908-4CCC-AA37-4051A7091B5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6" name="Text Box 910">
          <a:extLst>
            <a:ext uri="{FF2B5EF4-FFF2-40B4-BE49-F238E27FC236}">
              <a16:creationId xmlns:a16="http://schemas.microsoft.com/office/drawing/2014/main" id="{992E2B3A-1E99-4E20-BBBF-C55729AAC41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7" name="Text Box 910">
          <a:extLst>
            <a:ext uri="{FF2B5EF4-FFF2-40B4-BE49-F238E27FC236}">
              <a16:creationId xmlns:a16="http://schemas.microsoft.com/office/drawing/2014/main" id="{B96524E1-904C-48FE-B0EF-CB571A9969F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8" name="Text Box 910">
          <a:extLst>
            <a:ext uri="{FF2B5EF4-FFF2-40B4-BE49-F238E27FC236}">
              <a16:creationId xmlns:a16="http://schemas.microsoft.com/office/drawing/2014/main" id="{4C027988-BBA4-47E1-91A7-F9985B590DD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09" name="Text Box 910">
          <a:extLst>
            <a:ext uri="{FF2B5EF4-FFF2-40B4-BE49-F238E27FC236}">
              <a16:creationId xmlns:a16="http://schemas.microsoft.com/office/drawing/2014/main" id="{38D7EE82-DE3C-419D-B233-9EB48D6C89C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0" name="Text Box 910">
          <a:extLst>
            <a:ext uri="{FF2B5EF4-FFF2-40B4-BE49-F238E27FC236}">
              <a16:creationId xmlns:a16="http://schemas.microsoft.com/office/drawing/2014/main" id="{8DD1EFBC-6911-4A82-90FA-08A294825B3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1" name="Text Box 910">
          <a:extLst>
            <a:ext uri="{FF2B5EF4-FFF2-40B4-BE49-F238E27FC236}">
              <a16:creationId xmlns:a16="http://schemas.microsoft.com/office/drawing/2014/main" id="{362FAE7D-22A6-460C-A57A-1A80303B468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2" name="Text Box 910">
          <a:extLst>
            <a:ext uri="{FF2B5EF4-FFF2-40B4-BE49-F238E27FC236}">
              <a16:creationId xmlns:a16="http://schemas.microsoft.com/office/drawing/2014/main" id="{5AEEE91A-0CFC-4224-A7CA-D42AF19CD3D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3" name="Text Box 910">
          <a:extLst>
            <a:ext uri="{FF2B5EF4-FFF2-40B4-BE49-F238E27FC236}">
              <a16:creationId xmlns:a16="http://schemas.microsoft.com/office/drawing/2014/main" id="{AD800218-B8C2-43EF-87DC-FDC76F00B73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4" name="Text Box 910">
          <a:extLst>
            <a:ext uri="{FF2B5EF4-FFF2-40B4-BE49-F238E27FC236}">
              <a16:creationId xmlns:a16="http://schemas.microsoft.com/office/drawing/2014/main" id="{A300B721-6170-42D4-8D15-8523E91E671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5" name="Text Box 910">
          <a:extLst>
            <a:ext uri="{FF2B5EF4-FFF2-40B4-BE49-F238E27FC236}">
              <a16:creationId xmlns:a16="http://schemas.microsoft.com/office/drawing/2014/main" id="{36840020-950E-4A1D-ABAA-BD32F0A8212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6" name="Text Box 910">
          <a:extLst>
            <a:ext uri="{FF2B5EF4-FFF2-40B4-BE49-F238E27FC236}">
              <a16:creationId xmlns:a16="http://schemas.microsoft.com/office/drawing/2014/main" id="{61FCAAD8-F3AE-4EAC-9376-A2DC9C04420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7" name="Text Box 910">
          <a:extLst>
            <a:ext uri="{FF2B5EF4-FFF2-40B4-BE49-F238E27FC236}">
              <a16:creationId xmlns:a16="http://schemas.microsoft.com/office/drawing/2014/main" id="{5EF0CDBD-F570-411C-A07F-5C673DA78BF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8" name="Text Box 910">
          <a:extLst>
            <a:ext uri="{FF2B5EF4-FFF2-40B4-BE49-F238E27FC236}">
              <a16:creationId xmlns:a16="http://schemas.microsoft.com/office/drawing/2014/main" id="{A3F0230A-AA88-45F5-86C9-0C33B9672CE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19" name="Text Box 910">
          <a:extLst>
            <a:ext uri="{FF2B5EF4-FFF2-40B4-BE49-F238E27FC236}">
              <a16:creationId xmlns:a16="http://schemas.microsoft.com/office/drawing/2014/main" id="{AD6F882A-358C-4B76-AE7D-BB64557147A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0" name="Text Box 910">
          <a:extLst>
            <a:ext uri="{FF2B5EF4-FFF2-40B4-BE49-F238E27FC236}">
              <a16:creationId xmlns:a16="http://schemas.microsoft.com/office/drawing/2014/main" id="{BCF02C3C-D296-4680-BD84-EAD5C391338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1" name="Text Box 910">
          <a:extLst>
            <a:ext uri="{FF2B5EF4-FFF2-40B4-BE49-F238E27FC236}">
              <a16:creationId xmlns:a16="http://schemas.microsoft.com/office/drawing/2014/main" id="{7EB256E7-1483-40E7-AC2A-52CE5F33705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2" name="Text Box 910">
          <a:extLst>
            <a:ext uri="{FF2B5EF4-FFF2-40B4-BE49-F238E27FC236}">
              <a16:creationId xmlns:a16="http://schemas.microsoft.com/office/drawing/2014/main" id="{6FF5B87C-AFB2-4793-856D-81FC73FAAE9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3" name="Text Box 910">
          <a:extLst>
            <a:ext uri="{FF2B5EF4-FFF2-40B4-BE49-F238E27FC236}">
              <a16:creationId xmlns:a16="http://schemas.microsoft.com/office/drawing/2014/main" id="{D0B27C5C-E987-4CB0-8254-012E0CEF53E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4" name="Text Box 910">
          <a:extLst>
            <a:ext uri="{FF2B5EF4-FFF2-40B4-BE49-F238E27FC236}">
              <a16:creationId xmlns:a16="http://schemas.microsoft.com/office/drawing/2014/main" id="{7903E552-B51B-4F50-BE9D-9ECC266BA9C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5" name="Text Box 910">
          <a:extLst>
            <a:ext uri="{FF2B5EF4-FFF2-40B4-BE49-F238E27FC236}">
              <a16:creationId xmlns:a16="http://schemas.microsoft.com/office/drawing/2014/main" id="{85FF0314-8783-4034-813F-06C96B38A9C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6" name="Text Box 910">
          <a:extLst>
            <a:ext uri="{FF2B5EF4-FFF2-40B4-BE49-F238E27FC236}">
              <a16:creationId xmlns:a16="http://schemas.microsoft.com/office/drawing/2014/main" id="{3846AAB3-1C50-4949-8B12-1F732730C7D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7" name="Text Box 910">
          <a:extLst>
            <a:ext uri="{FF2B5EF4-FFF2-40B4-BE49-F238E27FC236}">
              <a16:creationId xmlns:a16="http://schemas.microsoft.com/office/drawing/2014/main" id="{B8D851C7-29E2-434E-BB84-DA97AA03157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8" name="Text Box 910">
          <a:extLst>
            <a:ext uri="{FF2B5EF4-FFF2-40B4-BE49-F238E27FC236}">
              <a16:creationId xmlns:a16="http://schemas.microsoft.com/office/drawing/2014/main" id="{13F1FF57-5307-432B-BF51-011CD24C1CC1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29" name="Text Box 910">
          <a:extLst>
            <a:ext uri="{FF2B5EF4-FFF2-40B4-BE49-F238E27FC236}">
              <a16:creationId xmlns:a16="http://schemas.microsoft.com/office/drawing/2014/main" id="{BA63859D-15B6-4D8F-9CAF-23A1A4F406E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0" name="Text Box 910">
          <a:extLst>
            <a:ext uri="{FF2B5EF4-FFF2-40B4-BE49-F238E27FC236}">
              <a16:creationId xmlns:a16="http://schemas.microsoft.com/office/drawing/2014/main" id="{C8D13CCF-90F3-4431-BFED-AE7CE2FD0ABA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1" name="Text Box 910">
          <a:extLst>
            <a:ext uri="{FF2B5EF4-FFF2-40B4-BE49-F238E27FC236}">
              <a16:creationId xmlns:a16="http://schemas.microsoft.com/office/drawing/2014/main" id="{87E5509A-7DA7-45B9-A723-43DC4F2524B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2" name="Text Box 910">
          <a:extLst>
            <a:ext uri="{FF2B5EF4-FFF2-40B4-BE49-F238E27FC236}">
              <a16:creationId xmlns:a16="http://schemas.microsoft.com/office/drawing/2014/main" id="{4A8E9B6D-8FE4-4502-B4EA-93368B03A735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3" name="Text Box 910">
          <a:extLst>
            <a:ext uri="{FF2B5EF4-FFF2-40B4-BE49-F238E27FC236}">
              <a16:creationId xmlns:a16="http://schemas.microsoft.com/office/drawing/2014/main" id="{F035D98A-CD6C-4539-82E8-E8C4EC97CA53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4" name="Text Box 910">
          <a:extLst>
            <a:ext uri="{FF2B5EF4-FFF2-40B4-BE49-F238E27FC236}">
              <a16:creationId xmlns:a16="http://schemas.microsoft.com/office/drawing/2014/main" id="{7FF3E0BD-F9BA-4E62-97C7-D25716A3AAF0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5" name="Text Box 910">
          <a:extLst>
            <a:ext uri="{FF2B5EF4-FFF2-40B4-BE49-F238E27FC236}">
              <a16:creationId xmlns:a16="http://schemas.microsoft.com/office/drawing/2014/main" id="{B5912825-52F7-4BD7-BEEA-F081FBBEDA9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6" name="Text Box 910">
          <a:extLst>
            <a:ext uri="{FF2B5EF4-FFF2-40B4-BE49-F238E27FC236}">
              <a16:creationId xmlns:a16="http://schemas.microsoft.com/office/drawing/2014/main" id="{14780C1A-5C16-49A8-B8E8-2619539FC846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7" name="Text Box 910">
          <a:extLst>
            <a:ext uri="{FF2B5EF4-FFF2-40B4-BE49-F238E27FC236}">
              <a16:creationId xmlns:a16="http://schemas.microsoft.com/office/drawing/2014/main" id="{26A76DD4-3E14-465D-8D81-956EEA6CCCAF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8" name="Text Box 910">
          <a:extLst>
            <a:ext uri="{FF2B5EF4-FFF2-40B4-BE49-F238E27FC236}">
              <a16:creationId xmlns:a16="http://schemas.microsoft.com/office/drawing/2014/main" id="{A2EEAE1B-291D-4F4F-94E7-FD81215FA44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39" name="Text Box 910">
          <a:extLst>
            <a:ext uri="{FF2B5EF4-FFF2-40B4-BE49-F238E27FC236}">
              <a16:creationId xmlns:a16="http://schemas.microsoft.com/office/drawing/2014/main" id="{D247BD97-A4AE-4DEB-A476-AD5DDA86147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0" name="Text Box 910">
          <a:extLst>
            <a:ext uri="{FF2B5EF4-FFF2-40B4-BE49-F238E27FC236}">
              <a16:creationId xmlns:a16="http://schemas.microsoft.com/office/drawing/2014/main" id="{83B5620B-BEA4-46B1-973E-652CFD8BDD37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1" name="Text Box 910">
          <a:extLst>
            <a:ext uri="{FF2B5EF4-FFF2-40B4-BE49-F238E27FC236}">
              <a16:creationId xmlns:a16="http://schemas.microsoft.com/office/drawing/2014/main" id="{8FC8252D-8F58-4E4C-BF85-BBEAF5193BC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2" name="Text Box 910">
          <a:extLst>
            <a:ext uri="{FF2B5EF4-FFF2-40B4-BE49-F238E27FC236}">
              <a16:creationId xmlns:a16="http://schemas.microsoft.com/office/drawing/2014/main" id="{5BDC528A-C464-4D6F-933B-BF73AA08117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3" name="Text Box 910">
          <a:extLst>
            <a:ext uri="{FF2B5EF4-FFF2-40B4-BE49-F238E27FC236}">
              <a16:creationId xmlns:a16="http://schemas.microsoft.com/office/drawing/2014/main" id="{6C4E42B0-D8A2-4D72-B3FA-754AE2C2E5B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4" name="Text Box 910">
          <a:extLst>
            <a:ext uri="{FF2B5EF4-FFF2-40B4-BE49-F238E27FC236}">
              <a16:creationId xmlns:a16="http://schemas.microsoft.com/office/drawing/2014/main" id="{74AB590C-457E-4EA1-8374-BA0E3A7AE5DE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5" name="Text Box 910">
          <a:extLst>
            <a:ext uri="{FF2B5EF4-FFF2-40B4-BE49-F238E27FC236}">
              <a16:creationId xmlns:a16="http://schemas.microsoft.com/office/drawing/2014/main" id="{F72440B1-BDA0-4BDF-9581-9A92C67D19CD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6" name="Text Box 910">
          <a:extLst>
            <a:ext uri="{FF2B5EF4-FFF2-40B4-BE49-F238E27FC236}">
              <a16:creationId xmlns:a16="http://schemas.microsoft.com/office/drawing/2014/main" id="{8357835A-8F28-4DB4-9713-93D6099AF73B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7" name="Text Box 910">
          <a:extLst>
            <a:ext uri="{FF2B5EF4-FFF2-40B4-BE49-F238E27FC236}">
              <a16:creationId xmlns:a16="http://schemas.microsoft.com/office/drawing/2014/main" id="{E6F27F61-1C4D-425D-9A9F-7AED688499A9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8" name="Text Box 910">
          <a:extLst>
            <a:ext uri="{FF2B5EF4-FFF2-40B4-BE49-F238E27FC236}">
              <a16:creationId xmlns:a16="http://schemas.microsoft.com/office/drawing/2014/main" id="{425A826A-2340-4054-AA71-459C2D50E998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49" name="Text Box 910">
          <a:extLst>
            <a:ext uri="{FF2B5EF4-FFF2-40B4-BE49-F238E27FC236}">
              <a16:creationId xmlns:a16="http://schemas.microsoft.com/office/drawing/2014/main" id="{04D97446-9515-4950-9D46-879A2A4BABEC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050" name="Text Box 910">
          <a:extLst>
            <a:ext uri="{FF2B5EF4-FFF2-40B4-BE49-F238E27FC236}">
              <a16:creationId xmlns:a16="http://schemas.microsoft.com/office/drawing/2014/main" id="{98EB2C86-9C49-4349-B337-446AFD428A34}"/>
            </a:ext>
          </a:extLst>
        </xdr:cNvPr>
        <xdr:cNvSpPr txBox="1">
          <a:spLocks noChangeArrowheads="1"/>
        </xdr:cNvSpPr>
      </xdr:nvSpPr>
      <xdr:spPr bwMode="auto">
        <a:xfrm>
          <a:off x="4276725" y="21955334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52" name="Text Box 910">
          <a:extLst>
            <a:ext uri="{FF2B5EF4-FFF2-40B4-BE49-F238E27FC236}">
              <a16:creationId xmlns:a16="http://schemas.microsoft.com/office/drawing/2014/main" id="{8EA50359-0DD4-41D6-B19F-DF9F593870A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oneCellAnchor>
    <xdr:from>
      <xdr:col>1</xdr:col>
      <xdr:colOff>28575</xdr:colOff>
      <xdr:row>16</xdr:row>
      <xdr:rowOff>38101</xdr:rowOff>
    </xdr:from>
    <xdr:ext cx="928001" cy="288000"/>
    <xdr:pic>
      <xdr:nvPicPr>
        <xdr:cNvPr id="1053" name="Imagen 3">
          <a:extLst>
            <a:ext uri="{FF2B5EF4-FFF2-40B4-BE49-F238E27FC236}">
              <a16:creationId xmlns:a16="http://schemas.microsoft.com/office/drawing/2014/main" id="{91C0E6CB-5668-40C4-9042-87BCCB62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6700" y="2886076"/>
          <a:ext cx="928001" cy="28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54" name="Text Box 909">
          <a:extLst>
            <a:ext uri="{FF2B5EF4-FFF2-40B4-BE49-F238E27FC236}">
              <a16:creationId xmlns:a16="http://schemas.microsoft.com/office/drawing/2014/main" id="{DDFE2F52-6B77-4287-A585-63B31FC49966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55" name="Text Box 910">
          <a:extLst>
            <a:ext uri="{FF2B5EF4-FFF2-40B4-BE49-F238E27FC236}">
              <a16:creationId xmlns:a16="http://schemas.microsoft.com/office/drawing/2014/main" id="{232599BD-26AC-40D1-889F-BAA66239D50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56" name="Text Box 910">
          <a:extLst>
            <a:ext uri="{FF2B5EF4-FFF2-40B4-BE49-F238E27FC236}">
              <a16:creationId xmlns:a16="http://schemas.microsoft.com/office/drawing/2014/main" id="{20DD989B-327C-485B-9CDD-639EACA305D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57" name="Text Box 910">
          <a:extLst>
            <a:ext uri="{FF2B5EF4-FFF2-40B4-BE49-F238E27FC236}">
              <a16:creationId xmlns:a16="http://schemas.microsoft.com/office/drawing/2014/main" id="{B828F9B8-231F-476B-890A-A774B2C724F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58" name="Text Box 910">
          <a:extLst>
            <a:ext uri="{FF2B5EF4-FFF2-40B4-BE49-F238E27FC236}">
              <a16:creationId xmlns:a16="http://schemas.microsoft.com/office/drawing/2014/main" id="{212A2F0C-3506-475A-8609-09BFD4C69C2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59" name="Text Box 909">
          <a:extLst>
            <a:ext uri="{FF2B5EF4-FFF2-40B4-BE49-F238E27FC236}">
              <a16:creationId xmlns:a16="http://schemas.microsoft.com/office/drawing/2014/main" id="{32A7CA9F-0F9C-4407-B83A-FEFB04D0CB05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60" name="Text Box 910">
          <a:extLst>
            <a:ext uri="{FF2B5EF4-FFF2-40B4-BE49-F238E27FC236}">
              <a16:creationId xmlns:a16="http://schemas.microsoft.com/office/drawing/2014/main" id="{E3FEE931-481D-4038-BCEB-41B0206CE13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61" name="Text Box 910">
          <a:extLst>
            <a:ext uri="{FF2B5EF4-FFF2-40B4-BE49-F238E27FC236}">
              <a16:creationId xmlns:a16="http://schemas.microsoft.com/office/drawing/2014/main" id="{6E14930D-F1E7-495D-9195-686E83A4FC2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62" name="Text Box 910">
          <a:extLst>
            <a:ext uri="{FF2B5EF4-FFF2-40B4-BE49-F238E27FC236}">
              <a16:creationId xmlns:a16="http://schemas.microsoft.com/office/drawing/2014/main" id="{39DD1D5A-B9C3-45BF-AB6E-63F304AB377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63" name="Text Box 910">
          <a:extLst>
            <a:ext uri="{FF2B5EF4-FFF2-40B4-BE49-F238E27FC236}">
              <a16:creationId xmlns:a16="http://schemas.microsoft.com/office/drawing/2014/main" id="{679675DE-B4CC-402E-AE99-EBDD9ED1F23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64" name="Text Box 909">
          <a:extLst>
            <a:ext uri="{FF2B5EF4-FFF2-40B4-BE49-F238E27FC236}">
              <a16:creationId xmlns:a16="http://schemas.microsoft.com/office/drawing/2014/main" id="{D89A6E83-A4E1-4CEA-A74D-234C448E27D4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65" name="Text Box 910">
          <a:extLst>
            <a:ext uri="{FF2B5EF4-FFF2-40B4-BE49-F238E27FC236}">
              <a16:creationId xmlns:a16="http://schemas.microsoft.com/office/drawing/2014/main" id="{F422D30E-4DD5-49EB-BB56-6DD21333E9C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66" name="Text Box 910">
          <a:extLst>
            <a:ext uri="{FF2B5EF4-FFF2-40B4-BE49-F238E27FC236}">
              <a16:creationId xmlns:a16="http://schemas.microsoft.com/office/drawing/2014/main" id="{0376850C-F36D-4E77-A104-2543453053E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67" name="Text Box 910">
          <a:extLst>
            <a:ext uri="{FF2B5EF4-FFF2-40B4-BE49-F238E27FC236}">
              <a16:creationId xmlns:a16="http://schemas.microsoft.com/office/drawing/2014/main" id="{19E57513-2F58-4966-B1EA-AF9383B015A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68" name="Text Box 910">
          <a:extLst>
            <a:ext uri="{FF2B5EF4-FFF2-40B4-BE49-F238E27FC236}">
              <a16:creationId xmlns:a16="http://schemas.microsoft.com/office/drawing/2014/main" id="{E98C0C96-9C57-4319-8CE5-983B740A0ED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69" name="Text Box 909">
          <a:extLst>
            <a:ext uri="{FF2B5EF4-FFF2-40B4-BE49-F238E27FC236}">
              <a16:creationId xmlns:a16="http://schemas.microsoft.com/office/drawing/2014/main" id="{B8DB2B68-2C1E-45EE-A013-10E1875EA257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70" name="Text Box 910">
          <a:extLst>
            <a:ext uri="{FF2B5EF4-FFF2-40B4-BE49-F238E27FC236}">
              <a16:creationId xmlns:a16="http://schemas.microsoft.com/office/drawing/2014/main" id="{EE6B2217-86B7-4C1D-B205-BEB94010E52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71" name="Text Box 910">
          <a:extLst>
            <a:ext uri="{FF2B5EF4-FFF2-40B4-BE49-F238E27FC236}">
              <a16:creationId xmlns:a16="http://schemas.microsoft.com/office/drawing/2014/main" id="{565B4122-F54B-4465-8AE1-A4DF151021E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72" name="Text Box 910">
          <a:extLst>
            <a:ext uri="{FF2B5EF4-FFF2-40B4-BE49-F238E27FC236}">
              <a16:creationId xmlns:a16="http://schemas.microsoft.com/office/drawing/2014/main" id="{FB4E7932-468A-4772-9B4C-AE450B5B2AA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73" name="Text Box 910">
          <a:extLst>
            <a:ext uri="{FF2B5EF4-FFF2-40B4-BE49-F238E27FC236}">
              <a16:creationId xmlns:a16="http://schemas.microsoft.com/office/drawing/2014/main" id="{41E2B117-1674-405B-9F05-30C8FEA5875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74" name="Text Box 909">
          <a:extLst>
            <a:ext uri="{FF2B5EF4-FFF2-40B4-BE49-F238E27FC236}">
              <a16:creationId xmlns:a16="http://schemas.microsoft.com/office/drawing/2014/main" id="{1EC5B974-F602-4F9C-B49B-A13E0C6D8BA1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75" name="Text Box 910">
          <a:extLst>
            <a:ext uri="{FF2B5EF4-FFF2-40B4-BE49-F238E27FC236}">
              <a16:creationId xmlns:a16="http://schemas.microsoft.com/office/drawing/2014/main" id="{9A986D24-55F7-4A61-B825-00A7FB8A848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76" name="Text Box 910">
          <a:extLst>
            <a:ext uri="{FF2B5EF4-FFF2-40B4-BE49-F238E27FC236}">
              <a16:creationId xmlns:a16="http://schemas.microsoft.com/office/drawing/2014/main" id="{399B3ED3-0B31-406F-B2C0-B6AE6FFA5BA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77" name="Text Box 910">
          <a:extLst>
            <a:ext uri="{FF2B5EF4-FFF2-40B4-BE49-F238E27FC236}">
              <a16:creationId xmlns:a16="http://schemas.microsoft.com/office/drawing/2014/main" id="{971ECF20-9750-45FA-958F-8366DBAF590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78" name="Text Box 910">
          <a:extLst>
            <a:ext uri="{FF2B5EF4-FFF2-40B4-BE49-F238E27FC236}">
              <a16:creationId xmlns:a16="http://schemas.microsoft.com/office/drawing/2014/main" id="{2A393CC6-FB05-48C3-A7BA-69C63036FB1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79" name="Text Box 909">
          <a:extLst>
            <a:ext uri="{FF2B5EF4-FFF2-40B4-BE49-F238E27FC236}">
              <a16:creationId xmlns:a16="http://schemas.microsoft.com/office/drawing/2014/main" id="{5EBD6647-2546-408C-BF72-AF874EFD8C68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80" name="Text Box 910">
          <a:extLst>
            <a:ext uri="{FF2B5EF4-FFF2-40B4-BE49-F238E27FC236}">
              <a16:creationId xmlns:a16="http://schemas.microsoft.com/office/drawing/2014/main" id="{C7496D91-0689-4E52-B125-D92FD198485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81" name="Text Box 910">
          <a:extLst>
            <a:ext uri="{FF2B5EF4-FFF2-40B4-BE49-F238E27FC236}">
              <a16:creationId xmlns:a16="http://schemas.microsoft.com/office/drawing/2014/main" id="{F307FE24-EEDE-46E6-BA97-2494104877E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82" name="Text Box 910">
          <a:extLst>
            <a:ext uri="{FF2B5EF4-FFF2-40B4-BE49-F238E27FC236}">
              <a16:creationId xmlns:a16="http://schemas.microsoft.com/office/drawing/2014/main" id="{786D5FBC-E45C-474C-8A51-7E09E11E40B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83" name="Text Box 910">
          <a:extLst>
            <a:ext uri="{FF2B5EF4-FFF2-40B4-BE49-F238E27FC236}">
              <a16:creationId xmlns:a16="http://schemas.microsoft.com/office/drawing/2014/main" id="{8F19E290-4621-4F9A-90C6-C24BA80FF90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84" name="Text Box 909">
          <a:extLst>
            <a:ext uri="{FF2B5EF4-FFF2-40B4-BE49-F238E27FC236}">
              <a16:creationId xmlns:a16="http://schemas.microsoft.com/office/drawing/2014/main" id="{4D2CEA52-E3F5-47E3-82D8-3758A49E64F5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85" name="Text Box 910">
          <a:extLst>
            <a:ext uri="{FF2B5EF4-FFF2-40B4-BE49-F238E27FC236}">
              <a16:creationId xmlns:a16="http://schemas.microsoft.com/office/drawing/2014/main" id="{E6915DA0-D7E9-4A71-9778-E6245DDB6DD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86" name="Text Box 910">
          <a:extLst>
            <a:ext uri="{FF2B5EF4-FFF2-40B4-BE49-F238E27FC236}">
              <a16:creationId xmlns:a16="http://schemas.microsoft.com/office/drawing/2014/main" id="{6AFA3044-17B4-4C3E-AFD5-BB4F747B039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87" name="Text Box 910">
          <a:extLst>
            <a:ext uri="{FF2B5EF4-FFF2-40B4-BE49-F238E27FC236}">
              <a16:creationId xmlns:a16="http://schemas.microsoft.com/office/drawing/2014/main" id="{CA062E02-83F0-4948-AF7C-5B09191DB6E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88" name="Text Box 910">
          <a:extLst>
            <a:ext uri="{FF2B5EF4-FFF2-40B4-BE49-F238E27FC236}">
              <a16:creationId xmlns:a16="http://schemas.microsoft.com/office/drawing/2014/main" id="{CD757E39-C891-4710-8FD2-0A01A3B1327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89" name="Text Box 909">
          <a:extLst>
            <a:ext uri="{FF2B5EF4-FFF2-40B4-BE49-F238E27FC236}">
              <a16:creationId xmlns:a16="http://schemas.microsoft.com/office/drawing/2014/main" id="{B294BCC1-0D38-4F4E-ABF7-5DB4AE09277F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90" name="Text Box 910">
          <a:extLst>
            <a:ext uri="{FF2B5EF4-FFF2-40B4-BE49-F238E27FC236}">
              <a16:creationId xmlns:a16="http://schemas.microsoft.com/office/drawing/2014/main" id="{F3797D20-04CA-4A5A-A09A-8613AFE3882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91" name="Text Box 910">
          <a:extLst>
            <a:ext uri="{FF2B5EF4-FFF2-40B4-BE49-F238E27FC236}">
              <a16:creationId xmlns:a16="http://schemas.microsoft.com/office/drawing/2014/main" id="{6E0AEF73-0239-4864-902B-299DFD5621C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92" name="Text Box 910">
          <a:extLst>
            <a:ext uri="{FF2B5EF4-FFF2-40B4-BE49-F238E27FC236}">
              <a16:creationId xmlns:a16="http://schemas.microsoft.com/office/drawing/2014/main" id="{DB5C99CD-D94F-4ECE-8C11-065E244F678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93" name="Text Box 910">
          <a:extLst>
            <a:ext uri="{FF2B5EF4-FFF2-40B4-BE49-F238E27FC236}">
              <a16:creationId xmlns:a16="http://schemas.microsoft.com/office/drawing/2014/main" id="{B92C8819-E6D3-4ACC-87D5-D56CB2F80B4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94" name="Text Box 909">
          <a:extLst>
            <a:ext uri="{FF2B5EF4-FFF2-40B4-BE49-F238E27FC236}">
              <a16:creationId xmlns:a16="http://schemas.microsoft.com/office/drawing/2014/main" id="{3F082BE9-B9B3-4714-806F-5FDB8769861D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95" name="Text Box 910">
          <a:extLst>
            <a:ext uri="{FF2B5EF4-FFF2-40B4-BE49-F238E27FC236}">
              <a16:creationId xmlns:a16="http://schemas.microsoft.com/office/drawing/2014/main" id="{F0831799-EE96-432F-BE92-8E76678A05D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96" name="Text Box 910">
          <a:extLst>
            <a:ext uri="{FF2B5EF4-FFF2-40B4-BE49-F238E27FC236}">
              <a16:creationId xmlns:a16="http://schemas.microsoft.com/office/drawing/2014/main" id="{018BCE58-6C04-42C4-B9D4-3BD96305C7C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97" name="Text Box 910">
          <a:extLst>
            <a:ext uri="{FF2B5EF4-FFF2-40B4-BE49-F238E27FC236}">
              <a16:creationId xmlns:a16="http://schemas.microsoft.com/office/drawing/2014/main" id="{36FDB857-937A-4296-A164-5212BC7A483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098" name="Text Box 910">
          <a:extLst>
            <a:ext uri="{FF2B5EF4-FFF2-40B4-BE49-F238E27FC236}">
              <a16:creationId xmlns:a16="http://schemas.microsoft.com/office/drawing/2014/main" id="{32690AB8-A84E-47BD-91E1-C6C725CD80B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099" name="Text Box 909">
          <a:extLst>
            <a:ext uri="{FF2B5EF4-FFF2-40B4-BE49-F238E27FC236}">
              <a16:creationId xmlns:a16="http://schemas.microsoft.com/office/drawing/2014/main" id="{899714D4-6CFF-4B5B-82E9-1AF677118423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00" name="Text Box 910">
          <a:extLst>
            <a:ext uri="{FF2B5EF4-FFF2-40B4-BE49-F238E27FC236}">
              <a16:creationId xmlns:a16="http://schemas.microsoft.com/office/drawing/2014/main" id="{AF3C3FF7-C879-44FD-965D-6241B330C78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01" name="Text Box 910">
          <a:extLst>
            <a:ext uri="{FF2B5EF4-FFF2-40B4-BE49-F238E27FC236}">
              <a16:creationId xmlns:a16="http://schemas.microsoft.com/office/drawing/2014/main" id="{1993AB1D-0F50-4115-916E-AE2F64020D1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02" name="Text Box 910">
          <a:extLst>
            <a:ext uri="{FF2B5EF4-FFF2-40B4-BE49-F238E27FC236}">
              <a16:creationId xmlns:a16="http://schemas.microsoft.com/office/drawing/2014/main" id="{DF63BC07-900D-4226-A708-E14831A811C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03" name="Text Box 910">
          <a:extLst>
            <a:ext uri="{FF2B5EF4-FFF2-40B4-BE49-F238E27FC236}">
              <a16:creationId xmlns:a16="http://schemas.microsoft.com/office/drawing/2014/main" id="{9FE70A00-C603-409B-A61A-43D3523CC7D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04" name="Text Box 909">
          <a:extLst>
            <a:ext uri="{FF2B5EF4-FFF2-40B4-BE49-F238E27FC236}">
              <a16:creationId xmlns:a16="http://schemas.microsoft.com/office/drawing/2014/main" id="{8D8D7768-C264-4DA4-9531-B9B9FACBADAC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05" name="Text Box 910">
          <a:extLst>
            <a:ext uri="{FF2B5EF4-FFF2-40B4-BE49-F238E27FC236}">
              <a16:creationId xmlns:a16="http://schemas.microsoft.com/office/drawing/2014/main" id="{B2A64B30-56B4-4D1F-9EC8-475A9E747E9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06" name="Text Box 910">
          <a:extLst>
            <a:ext uri="{FF2B5EF4-FFF2-40B4-BE49-F238E27FC236}">
              <a16:creationId xmlns:a16="http://schemas.microsoft.com/office/drawing/2014/main" id="{B28710EC-99EB-4227-83B0-F45223BD16C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07" name="Text Box 910">
          <a:extLst>
            <a:ext uri="{FF2B5EF4-FFF2-40B4-BE49-F238E27FC236}">
              <a16:creationId xmlns:a16="http://schemas.microsoft.com/office/drawing/2014/main" id="{0F1C8067-3722-4EB7-AD9C-240956D639F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08" name="Text Box 910">
          <a:extLst>
            <a:ext uri="{FF2B5EF4-FFF2-40B4-BE49-F238E27FC236}">
              <a16:creationId xmlns:a16="http://schemas.microsoft.com/office/drawing/2014/main" id="{D86147DF-B0BE-481A-BF14-22AA7E9B486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09" name="Text Box 909">
          <a:extLst>
            <a:ext uri="{FF2B5EF4-FFF2-40B4-BE49-F238E27FC236}">
              <a16:creationId xmlns:a16="http://schemas.microsoft.com/office/drawing/2014/main" id="{546E1157-C3AE-4833-A78B-75EF7A2CB015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10" name="Text Box 910">
          <a:extLst>
            <a:ext uri="{FF2B5EF4-FFF2-40B4-BE49-F238E27FC236}">
              <a16:creationId xmlns:a16="http://schemas.microsoft.com/office/drawing/2014/main" id="{16C6BFA2-06AB-4B7D-9AB4-2996307B9B3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11" name="Text Box 910">
          <a:extLst>
            <a:ext uri="{FF2B5EF4-FFF2-40B4-BE49-F238E27FC236}">
              <a16:creationId xmlns:a16="http://schemas.microsoft.com/office/drawing/2014/main" id="{84FF3510-4F08-491A-942F-E9CCAAE5BE5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12" name="Text Box 910">
          <a:extLst>
            <a:ext uri="{FF2B5EF4-FFF2-40B4-BE49-F238E27FC236}">
              <a16:creationId xmlns:a16="http://schemas.microsoft.com/office/drawing/2014/main" id="{CB3B00D8-56E7-4BDE-AA41-C6152DF11BD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13" name="Text Box 910">
          <a:extLst>
            <a:ext uri="{FF2B5EF4-FFF2-40B4-BE49-F238E27FC236}">
              <a16:creationId xmlns:a16="http://schemas.microsoft.com/office/drawing/2014/main" id="{427D1456-E9A0-4FE3-9FD3-F24ACD0BEB2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14" name="Text Box 909">
          <a:extLst>
            <a:ext uri="{FF2B5EF4-FFF2-40B4-BE49-F238E27FC236}">
              <a16:creationId xmlns:a16="http://schemas.microsoft.com/office/drawing/2014/main" id="{5D0E1BBA-8063-4380-BC91-F4196197B623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15" name="Text Box 910">
          <a:extLst>
            <a:ext uri="{FF2B5EF4-FFF2-40B4-BE49-F238E27FC236}">
              <a16:creationId xmlns:a16="http://schemas.microsoft.com/office/drawing/2014/main" id="{B9CE35FC-574B-455E-AA77-3111E88A534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16" name="Text Box 910">
          <a:extLst>
            <a:ext uri="{FF2B5EF4-FFF2-40B4-BE49-F238E27FC236}">
              <a16:creationId xmlns:a16="http://schemas.microsoft.com/office/drawing/2014/main" id="{C42E5078-099B-4215-98B8-BC686CA4E0B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17" name="Text Box 910">
          <a:extLst>
            <a:ext uri="{FF2B5EF4-FFF2-40B4-BE49-F238E27FC236}">
              <a16:creationId xmlns:a16="http://schemas.microsoft.com/office/drawing/2014/main" id="{B88D8887-89B0-4B68-8D23-3988AAD4485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18" name="Text Box 910">
          <a:extLst>
            <a:ext uri="{FF2B5EF4-FFF2-40B4-BE49-F238E27FC236}">
              <a16:creationId xmlns:a16="http://schemas.microsoft.com/office/drawing/2014/main" id="{E6E9CAC4-C7A6-4F71-A520-6AE87342139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19" name="Text Box 909">
          <a:extLst>
            <a:ext uri="{FF2B5EF4-FFF2-40B4-BE49-F238E27FC236}">
              <a16:creationId xmlns:a16="http://schemas.microsoft.com/office/drawing/2014/main" id="{519786E1-75AB-418A-9FEA-76D1BF1B9D4C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20" name="Text Box 910">
          <a:extLst>
            <a:ext uri="{FF2B5EF4-FFF2-40B4-BE49-F238E27FC236}">
              <a16:creationId xmlns:a16="http://schemas.microsoft.com/office/drawing/2014/main" id="{4B745149-BB0D-41B9-BFAB-F72A680A4E1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21" name="Text Box 910">
          <a:extLst>
            <a:ext uri="{FF2B5EF4-FFF2-40B4-BE49-F238E27FC236}">
              <a16:creationId xmlns:a16="http://schemas.microsoft.com/office/drawing/2014/main" id="{7A68A65C-E12C-43E8-84FC-E0563CB1E6D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22" name="Text Box 910">
          <a:extLst>
            <a:ext uri="{FF2B5EF4-FFF2-40B4-BE49-F238E27FC236}">
              <a16:creationId xmlns:a16="http://schemas.microsoft.com/office/drawing/2014/main" id="{93C24879-3378-447A-9660-25CF189343A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23" name="Text Box 910">
          <a:extLst>
            <a:ext uri="{FF2B5EF4-FFF2-40B4-BE49-F238E27FC236}">
              <a16:creationId xmlns:a16="http://schemas.microsoft.com/office/drawing/2014/main" id="{D7494BA6-A8D9-4B53-BD12-54A05B3D54D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24" name="Text Box 909">
          <a:extLst>
            <a:ext uri="{FF2B5EF4-FFF2-40B4-BE49-F238E27FC236}">
              <a16:creationId xmlns:a16="http://schemas.microsoft.com/office/drawing/2014/main" id="{631F4E03-4BF9-48D4-B484-B4EF67C83DE2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25" name="Text Box 910">
          <a:extLst>
            <a:ext uri="{FF2B5EF4-FFF2-40B4-BE49-F238E27FC236}">
              <a16:creationId xmlns:a16="http://schemas.microsoft.com/office/drawing/2014/main" id="{46D142E7-759C-494D-9922-B6B670FC79F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26" name="Text Box 910">
          <a:extLst>
            <a:ext uri="{FF2B5EF4-FFF2-40B4-BE49-F238E27FC236}">
              <a16:creationId xmlns:a16="http://schemas.microsoft.com/office/drawing/2014/main" id="{DE9490E6-C2B1-4EE7-A26C-EE4FCF008C6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27" name="Text Box 910">
          <a:extLst>
            <a:ext uri="{FF2B5EF4-FFF2-40B4-BE49-F238E27FC236}">
              <a16:creationId xmlns:a16="http://schemas.microsoft.com/office/drawing/2014/main" id="{AD0A4AFE-0765-4158-9D1C-B57CED0C2DD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28" name="Text Box 910">
          <a:extLst>
            <a:ext uri="{FF2B5EF4-FFF2-40B4-BE49-F238E27FC236}">
              <a16:creationId xmlns:a16="http://schemas.microsoft.com/office/drawing/2014/main" id="{FACF4121-B891-48D7-BAF0-F5C6A6C5DD4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29" name="Text Box 909">
          <a:extLst>
            <a:ext uri="{FF2B5EF4-FFF2-40B4-BE49-F238E27FC236}">
              <a16:creationId xmlns:a16="http://schemas.microsoft.com/office/drawing/2014/main" id="{C1EDA857-EFE1-4957-838C-78EFC4F68549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30" name="Text Box 910">
          <a:extLst>
            <a:ext uri="{FF2B5EF4-FFF2-40B4-BE49-F238E27FC236}">
              <a16:creationId xmlns:a16="http://schemas.microsoft.com/office/drawing/2014/main" id="{7DBAED2C-F4B2-4F75-B357-B01B27D7BD2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31" name="Text Box 910">
          <a:extLst>
            <a:ext uri="{FF2B5EF4-FFF2-40B4-BE49-F238E27FC236}">
              <a16:creationId xmlns:a16="http://schemas.microsoft.com/office/drawing/2014/main" id="{9F58677D-117A-420C-9AA1-ACB78A51797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32" name="Text Box 910">
          <a:extLst>
            <a:ext uri="{FF2B5EF4-FFF2-40B4-BE49-F238E27FC236}">
              <a16:creationId xmlns:a16="http://schemas.microsoft.com/office/drawing/2014/main" id="{1A625F67-FEFA-423D-BC4B-E011D9C6A44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33" name="Text Box 910">
          <a:extLst>
            <a:ext uri="{FF2B5EF4-FFF2-40B4-BE49-F238E27FC236}">
              <a16:creationId xmlns:a16="http://schemas.microsoft.com/office/drawing/2014/main" id="{E6D37EDB-5551-4BFE-A679-DAA830D9574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34" name="Text Box 909">
          <a:extLst>
            <a:ext uri="{FF2B5EF4-FFF2-40B4-BE49-F238E27FC236}">
              <a16:creationId xmlns:a16="http://schemas.microsoft.com/office/drawing/2014/main" id="{AF434E69-8B34-4347-883A-B51F6387A934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35" name="Text Box 910">
          <a:extLst>
            <a:ext uri="{FF2B5EF4-FFF2-40B4-BE49-F238E27FC236}">
              <a16:creationId xmlns:a16="http://schemas.microsoft.com/office/drawing/2014/main" id="{F8753DF7-1A36-4237-B69D-CE036FF62D5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36" name="Text Box 910">
          <a:extLst>
            <a:ext uri="{FF2B5EF4-FFF2-40B4-BE49-F238E27FC236}">
              <a16:creationId xmlns:a16="http://schemas.microsoft.com/office/drawing/2014/main" id="{E0AA6A62-FBB5-45EB-8504-34362733340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37" name="Text Box 910">
          <a:extLst>
            <a:ext uri="{FF2B5EF4-FFF2-40B4-BE49-F238E27FC236}">
              <a16:creationId xmlns:a16="http://schemas.microsoft.com/office/drawing/2014/main" id="{65D81605-06BD-4BA8-A7C1-90FC9D869A7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38" name="Text Box 910">
          <a:extLst>
            <a:ext uri="{FF2B5EF4-FFF2-40B4-BE49-F238E27FC236}">
              <a16:creationId xmlns:a16="http://schemas.microsoft.com/office/drawing/2014/main" id="{A23E1D2F-E8A6-4096-A73B-F570EE33922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39" name="Text Box 909">
          <a:extLst>
            <a:ext uri="{FF2B5EF4-FFF2-40B4-BE49-F238E27FC236}">
              <a16:creationId xmlns:a16="http://schemas.microsoft.com/office/drawing/2014/main" id="{A7AE9D50-3BF9-4D3A-9833-3420DE4641AE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40" name="Text Box 910">
          <a:extLst>
            <a:ext uri="{FF2B5EF4-FFF2-40B4-BE49-F238E27FC236}">
              <a16:creationId xmlns:a16="http://schemas.microsoft.com/office/drawing/2014/main" id="{AA364151-4910-4854-8C61-BA69F4B8415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41" name="Text Box 910">
          <a:extLst>
            <a:ext uri="{FF2B5EF4-FFF2-40B4-BE49-F238E27FC236}">
              <a16:creationId xmlns:a16="http://schemas.microsoft.com/office/drawing/2014/main" id="{DB0D4BD1-096F-4E0A-AF3F-5286037D31E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42" name="Text Box 910">
          <a:extLst>
            <a:ext uri="{FF2B5EF4-FFF2-40B4-BE49-F238E27FC236}">
              <a16:creationId xmlns:a16="http://schemas.microsoft.com/office/drawing/2014/main" id="{BB83053D-5859-4EFE-8936-86EE7A70565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43" name="Text Box 910">
          <a:extLst>
            <a:ext uri="{FF2B5EF4-FFF2-40B4-BE49-F238E27FC236}">
              <a16:creationId xmlns:a16="http://schemas.microsoft.com/office/drawing/2014/main" id="{968B9A7A-F5D2-4BC9-9745-5495800F76B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44" name="Text Box 909">
          <a:extLst>
            <a:ext uri="{FF2B5EF4-FFF2-40B4-BE49-F238E27FC236}">
              <a16:creationId xmlns:a16="http://schemas.microsoft.com/office/drawing/2014/main" id="{5127F872-81A6-4284-8289-3ED935D3D917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45" name="Text Box 910">
          <a:extLst>
            <a:ext uri="{FF2B5EF4-FFF2-40B4-BE49-F238E27FC236}">
              <a16:creationId xmlns:a16="http://schemas.microsoft.com/office/drawing/2014/main" id="{D83703EF-198E-4A4C-82F6-BD2729DC557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46" name="Text Box 910">
          <a:extLst>
            <a:ext uri="{FF2B5EF4-FFF2-40B4-BE49-F238E27FC236}">
              <a16:creationId xmlns:a16="http://schemas.microsoft.com/office/drawing/2014/main" id="{9C6C7B3E-D0BC-429D-ACF6-ACC39E25699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47" name="Text Box 910">
          <a:extLst>
            <a:ext uri="{FF2B5EF4-FFF2-40B4-BE49-F238E27FC236}">
              <a16:creationId xmlns:a16="http://schemas.microsoft.com/office/drawing/2014/main" id="{76DAD3C3-0A22-487E-815D-416E00479AC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48" name="Text Box 910">
          <a:extLst>
            <a:ext uri="{FF2B5EF4-FFF2-40B4-BE49-F238E27FC236}">
              <a16:creationId xmlns:a16="http://schemas.microsoft.com/office/drawing/2014/main" id="{F5C82F0B-AC77-497B-AE40-D195F1BFA8C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49" name="Text Box 909">
          <a:extLst>
            <a:ext uri="{FF2B5EF4-FFF2-40B4-BE49-F238E27FC236}">
              <a16:creationId xmlns:a16="http://schemas.microsoft.com/office/drawing/2014/main" id="{4CB9FE51-646A-40FA-BF18-252343CD88FE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50" name="Text Box 910">
          <a:extLst>
            <a:ext uri="{FF2B5EF4-FFF2-40B4-BE49-F238E27FC236}">
              <a16:creationId xmlns:a16="http://schemas.microsoft.com/office/drawing/2014/main" id="{FAD9EAA2-E9D2-4044-9D50-62C6954E8FD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51" name="Text Box 910">
          <a:extLst>
            <a:ext uri="{FF2B5EF4-FFF2-40B4-BE49-F238E27FC236}">
              <a16:creationId xmlns:a16="http://schemas.microsoft.com/office/drawing/2014/main" id="{984DC3C7-AD6D-45CC-A7E7-CBA2404B7AF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52" name="Text Box 910">
          <a:extLst>
            <a:ext uri="{FF2B5EF4-FFF2-40B4-BE49-F238E27FC236}">
              <a16:creationId xmlns:a16="http://schemas.microsoft.com/office/drawing/2014/main" id="{AF07720B-DC2B-453F-B000-BFC78FF97C4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53" name="Text Box 910">
          <a:extLst>
            <a:ext uri="{FF2B5EF4-FFF2-40B4-BE49-F238E27FC236}">
              <a16:creationId xmlns:a16="http://schemas.microsoft.com/office/drawing/2014/main" id="{1014D7CC-D88F-4EC0-87B8-C850D0FF546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54" name="Text Box 909">
          <a:extLst>
            <a:ext uri="{FF2B5EF4-FFF2-40B4-BE49-F238E27FC236}">
              <a16:creationId xmlns:a16="http://schemas.microsoft.com/office/drawing/2014/main" id="{71D8B977-FB39-4E5A-9133-F01F809582DC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55" name="Text Box 910">
          <a:extLst>
            <a:ext uri="{FF2B5EF4-FFF2-40B4-BE49-F238E27FC236}">
              <a16:creationId xmlns:a16="http://schemas.microsoft.com/office/drawing/2014/main" id="{0EFD72C8-7188-4175-A684-5429F309949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56" name="Text Box 910">
          <a:extLst>
            <a:ext uri="{FF2B5EF4-FFF2-40B4-BE49-F238E27FC236}">
              <a16:creationId xmlns:a16="http://schemas.microsoft.com/office/drawing/2014/main" id="{C2D0230D-FE0C-403A-9D0D-0A1C97083E1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57" name="Text Box 910">
          <a:extLst>
            <a:ext uri="{FF2B5EF4-FFF2-40B4-BE49-F238E27FC236}">
              <a16:creationId xmlns:a16="http://schemas.microsoft.com/office/drawing/2014/main" id="{8D26A839-76A4-490F-B7C4-F02C6753600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58" name="Text Box 910">
          <a:extLst>
            <a:ext uri="{FF2B5EF4-FFF2-40B4-BE49-F238E27FC236}">
              <a16:creationId xmlns:a16="http://schemas.microsoft.com/office/drawing/2014/main" id="{6EA4A678-704C-42F5-835E-43348617EFC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59" name="Text Box 909">
          <a:extLst>
            <a:ext uri="{FF2B5EF4-FFF2-40B4-BE49-F238E27FC236}">
              <a16:creationId xmlns:a16="http://schemas.microsoft.com/office/drawing/2014/main" id="{1AADA353-53D6-463D-8DBE-85C87E1EEE52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60" name="Text Box 910">
          <a:extLst>
            <a:ext uri="{FF2B5EF4-FFF2-40B4-BE49-F238E27FC236}">
              <a16:creationId xmlns:a16="http://schemas.microsoft.com/office/drawing/2014/main" id="{2557EC62-EEAA-4974-A529-1D005C64AD1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61" name="Text Box 910">
          <a:extLst>
            <a:ext uri="{FF2B5EF4-FFF2-40B4-BE49-F238E27FC236}">
              <a16:creationId xmlns:a16="http://schemas.microsoft.com/office/drawing/2014/main" id="{03037B09-CB94-4321-9708-8AE737D4096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62" name="Text Box 910">
          <a:extLst>
            <a:ext uri="{FF2B5EF4-FFF2-40B4-BE49-F238E27FC236}">
              <a16:creationId xmlns:a16="http://schemas.microsoft.com/office/drawing/2014/main" id="{C4DD9A94-6F38-4BEE-9206-AAB2A199BD6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63" name="Text Box 910">
          <a:extLst>
            <a:ext uri="{FF2B5EF4-FFF2-40B4-BE49-F238E27FC236}">
              <a16:creationId xmlns:a16="http://schemas.microsoft.com/office/drawing/2014/main" id="{A524AEBF-BC2E-470C-A769-CE094194972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64" name="Text Box 909">
          <a:extLst>
            <a:ext uri="{FF2B5EF4-FFF2-40B4-BE49-F238E27FC236}">
              <a16:creationId xmlns:a16="http://schemas.microsoft.com/office/drawing/2014/main" id="{20317E66-FC31-4F4F-9C8E-0D78FE89E251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65" name="Text Box 910">
          <a:extLst>
            <a:ext uri="{FF2B5EF4-FFF2-40B4-BE49-F238E27FC236}">
              <a16:creationId xmlns:a16="http://schemas.microsoft.com/office/drawing/2014/main" id="{27CD7EC5-80FD-4BFF-8C44-2D4A4D33F53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66" name="Text Box 910">
          <a:extLst>
            <a:ext uri="{FF2B5EF4-FFF2-40B4-BE49-F238E27FC236}">
              <a16:creationId xmlns:a16="http://schemas.microsoft.com/office/drawing/2014/main" id="{08B288D9-D2CA-4E0D-92B6-BB8EB3DC67F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67" name="Text Box 910">
          <a:extLst>
            <a:ext uri="{FF2B5EF4-FFF2-40B4-BE49-F238E27FC236}">
              <a16:creationId xmlns:a16="http://schemas.microsoft.com/office/drawing/2014/main" id="{3491DF49-9712-471C-8913-A91C1144F39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68" name="Text Box 910">
          <a:extLst>
            <a:ext uri="{FF2B5EF4-FFF2-40B4-BE49-F238E27FC236}">
              <a16:creationId xmlns:a16="http://schemas.microsoft.com/office/drawing/2014/main" id="{BB5DBE56-AE91-4F05-947D-90D05E9E651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69" name="Text Box 909">
          <a:extLst>
            <a:ext uri="{FF2B5EF4-FFF2-40B4-BE49-F238E27FC236}">
              <a16:creationId xmlns:a16="http://schemas.microsoft.com/office/drawing/2014/main" id="{654FF220-4656-45DD-B206-12BA68B5518D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70" name="Text Box 910">
          <a:extLst>
            <a:ext uri="{FF2B5EF4-FFF2-40B4-BE49-F238E27FC236}">
              <a16:creationId xmlns:a16="http://schemas.microsoft.com/office/drawing/2014/main" id="{0E6E8A18-AF67-4840-B140-030E54F0049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71" name="Text Box 910">
          <a:extLst>
            <a:ext uri="{FF2B5EF4-FFF2-40B4-BE49-F238E27FC236}">
              <a16:creationId xmlns:a16="http://schemas.microsoft.com/office/drawing/2014/main" id="{9050A42B-8218-4714-89E1-68614D83D1A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72" name="Text Box 910">
          <a:extLst>
            <a:ext uri="{FF2B5EF4-FFF2-40B4-BE49-F238E27FC236}">
              <a16:creationId xmlns:a16="http://schemas.microsoft.com/office/drawing/2014/main" id="{CC302B03-AD95-44DA-9F85-FF8A3BBDF8C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73" name="Text Box 910">
          <a:extLst>
            <a:ext uri="{FF2B5EF4-FFF2-40B4-BE49-F238E27FC236}">
              <a16:creationId xmlns:a16="http://schemas.microsoft.com/office/drawing/2014/main" id="{2068BF2A-BD60-4916-9729-C3157E4AA39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74" name="Text Box 909">
          <a:extLst>
            <a:ext uri="{FF2B5EF4-FFF2-40B4-BE49-F238E27FC236}">
              <a16:creationId xmlns:a16="http://schemas.microsoft.com/office/drawing/2014/main" id="{54477A74-E97D-429D-8671-72F017427A3B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75" name="Text Box 910">
          <a:extLst>
            <a:ext uri="{FF2B5EF4-FFF2-40B4-BE49-F238E27FC236}">
              <a16:creationId xmlns:a16="http://schemas.microsoft.com/office/drawing/2014/main" id="{8830BC3E-71A9-42AC-8889-1EEC06C490C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76" name="Text Box 910">
          <a:extLst>
            <a:ext uri="{FF2B5EF4-FFF2-40B4-BE49-F238E27FC236}">
              <a16:creationId xmlns:a16="http://schemas.microsoft.com/office/drawing/2014/main" id="{F7B854B6-9090-4ACE-8EE1-DAA04692C83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77" name="Text Box 910">
          <a:extLst>
            <a:ext uri="{FF2B5EF4-FFF2-40B4-BE49-F238E27FC236}">
              <a16:creationId xmlns:a16="http://schemas.microsoft.com/office/drawing/2014/main" id="{FC62651B-5677-4178-96C8-1B05F78E2BF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78" name="Text Box 910">
          <a:extLst>
            <a:ext uri="{FF2B5EF4-FFF2-40B4-BE49-F238E27FC236}">
              <a16:creationId xmlns:a16="http://schemas.microsoft.com/office/drawing/2014/main" id="{46BE560D-0E22-4B30-A7C8-B4EBC51133C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79" name="Text Box 909">
          <a:extLst>
            <a:ext uri="{FF2B5EF4-FFF2-40B4-BE49-F238E27FC236}">
              <a16:creationId xmlns:a16="http://schemas.microsoft.com/office/drawing/2014/main" id="{F03AD98E-5557-415E-A1E4-D26A58CEE6CF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80" name="Text Box 910">
          <a:extLst>
            <a:ext uri="{FF2B5EF4-FFF2-40B4-BE49-F238E27FC236}">
              <a16:creationId xmlns:a16="http://schemas.microsoft.com/office/drawing/2014/main" id="{B3290795-6CDD-4465-8F6E-93903224C91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81" name="Text Box 910">
          <a:extLst>
            <a:ext uri="{FF2B5EF4-FFF2-40B4-BE49-F238E27FC236}">
              <a16:creationId xmlns:a16="http://schemas.microsoft.com/office/drawing/2014/main" id="{76B958E2-5E9C-4A36-AC3E-737C54B4014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82" name="Text Box 910">
          <a:extLst>
            <a:ext uri="{FF2B5EF4-FFF2-40B4-BE49-F238E27FC236}">
              <a16:creationId xmlns:a16="http://schemas.microsoft.com/office/drawing/2014/main" id="{97AFE435-6C50-4206-B0FF-9BE9AA2B5FB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83" name="Text Box 910">
          <a:extLst>
            <a:ext uri="{FF2B5EF4-FFF2-40B4-BE49-F238E27FC236}">
              <a16:creationId xmlns:a16="http://schemas.microsoft.com/office/drawing/2014/main" id="{031EFAE3-D22D-4BF5-AE6A-F91727984B5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84" name="Text Box 909">
          <a:extLst>
            <a:ext uri="{FF2B5EF4-FFF2-40B4-BE49-F238E27FC236}">
              <a16:creationId xmlns:a16="http://schemas.microsoft.com/office/drawing/2014/main" id="{0396134A-E0DB-4746-8670-9F41F5D74A93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85" name="Text Box 910">
          <a:extLst>
            <a:ext uri="{FF2B5EF4-FFF2-40B4-BE49-F238E27FC236}">
              <a16:creationId xmlns:a16="http://schemas.microsoft.com/office/drawing/2014/main" id="{181BFFD2-0444-48BF-A6F9-187E577063C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86" name="Text Box 910">
          <a:extLst>
            <a:ext uri="{FF2B5EF4-FFF2-40B4-BE49-F238E27FC236}">
              <a16:creationId xmlns:a16="http://schemas.microsoft.com/office/drawing/2014/main" id="{D2A01A30-DDAC-4B33-A0B5-0E0165A8FDE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87" name="Text Box 910">
          <a:extLst>
            <a:ext uri="{FF2B5EF4-FFF2-40B4-BE49-F238E27FC236}">
              <a16:creationId xmlns:a16="http://schemas.microsoft.com/office/drawing/2014/main" id="{3BEF76C6-CC70-4B98-851D-3CE1897B3CF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88" name="Text Box 910">
          <a:extLst>
            <a:ext uri="{FF2B5EF4-FFF2-40B4-BE49-F238E27FC236}">
              <a16:creationId xmlns:a16="http://schemas.microsoft.com/office/drawing/2014/main" id="{84E96D6C-34AA-4D1D-807C-5EC89683768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89" name="Text Box 909">
          <a:extLst>
            <a:ext uri="{FF2B5EF4-FFF2-40B4-BE49-F238E27FC236}">
              <a16:creationId xmlns:a16="http://schemas.microsoft.com/office/drawing/2014/main" id="{5EE6F616-DD49-4428-9FE7-CF720BC09EAC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90" name="Text Box 910">
          <a:extLst>
            <a:ext uri="{FF2B5EF4-FFF2-40B4-BE49-F238E27FC236}">
              <a16:creationId xmlns:a16="http://schemas.microsoft.com/office/drawing/2014/main" id="{42280FA7-427A-4A53-A952-9A99ECB371C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91" name="Text Box 910">
          <a:extLst>
            <a:ext uri="{FF2B5EF4-FFF2-40B4-BE49-F238E27FC236}">
              <a16:creationId xmlns:a16="http://schemas.microsoft.com/office/drawing/2014/main" id="{090BF739-5BAE-4848-A46F-EEF2A9D2283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92" name="Text Box 910">
          <a:extLst>
            <a:ext uri="{FF2B5EF4-FFF2-40B4-BE49-F238E27FC236}">
              <a16:creationId xmlns:a16="http://schemas.microsoft.com/office/drawing/2014/main" id="{99D48D41-7AD8-40B1-B0C7-2A8DAB8F14E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93" name="Text Box 910">
          <a:extLst>
            <a:ext uri="{FF2B5EF4-FFF2-40B4-BE49-F238E27FC236}">
              <a16:creationId xmlns:a16="http://schemas.microsoft.com/office/drawing/2014/main" id="{68DCBD4C-8B00-4BF1-83CE-A8456C7891A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94" name="Text Box 909">
          <a:extLst>
            <a:ext uri="{FF2B5EF4-FFF2-40B4-BE49-F238E27FC236}">
              <a16:creationId xmlns:a16="http://schemas.microsoft.com/office/drawing/2014/main" id="{7E8ABC47-3EDD-45B6-BB68-4723A60B92E6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95" name="Text Box 910">
          <a:extLst>
            <a:ext uri="{FF2B5EF4-FFF2-40B4-BE49-F238E27FC236}">
              <a16:creationId xmlns:a16="http://schemas.microsoft.com/office/drawing/2014/main" id="{78BBE33C-2549-456A-97F3-FB04E3AB215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96" name="Text Box 910">
          <a:extLst>
            <a:ext uri="{FF2B5EF4-FFF2-40B4-BE49-F238E27FC236}">
              <a16:creationId xmlns:a16="http://schemas.microsoft.com/office/drawing/2014/main" id="{B496507D-F8F2-48CC-9870-9D49C7DE7C8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97" name="Text Box 910">
          <a:extLst>
            <a:ext uri="{FF2B5EF4-FFF2-40B4-BE49-F238E27FC236}">
              <a16:creationId xmlns:a16="http://schemas.microsoft.com/office/drawing/2014/main" id="{31160CDB-AC6B-44C5-8CD5-C090D00BFB1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198" name="Text Box 910">
          <a:extLst>
            <a:ext uri="{FF2B5EF4-FFF2-40B4-BE49-F238E27FC236}">
              <a16:creationId xmlns:a16="http://schemas.microsoft.com/office/drawing/2014/main" id="{131C6B27-E14B-411C-888C-CBEFE5B08D2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199" name="Text Box 909">
          <a:extLst>
            <a:ext uri="{FF2B5EF4-FFF2-40B4-BE49-F238E27FC236}">
              <a16:creationId xmlns:a16="http://schemas.microsoft.com/office/drawing/2014/main" id="{EC4F5B36-C4A1-401C-BC17-B064F916B137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00" name="Text Box 910">
          <a:extLst>
            <a:ext uri="{FF2B5EF4-FFF2-40B4-BE49-F238E27FC236}">
              <a16:creationId xmlns:a16="http://schemas.microsoft.com/office/drawing/2014/main" id="{73818AD2-7F7B-459C-B2FF-5EC75071C6B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01" name="Text Box 910">
          <a:extLst>
            <a:ext uri="{FF2B5EF4-FFF2-40B4-BE49-F238E27FC236}">
              <a16:creationId xmlns:a16="http://schemas.microsoft.com/office/drawing/2014/main" id="{9074461B-D435-483F-BD4B-18157E60EB2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02" name="Text Box 910">
          <a:extLst>
            <a:ext uri="{FF2B5EF4-FFF2-40B4-BE49-F238E27FC236}">
              <a16:creationId xmlns:a16="http://schemas.microsoft.com/office/drawing/2014/main" id="{1B1E443E-7669-4165-8E81-7BA77E36BA7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03" name="Text Box 910">
          <a:extLst>
            <a:ext uri="{FF2B5EF4-FFF2-40B4-BE49-F238E27FC236}">
              <a16:creationId xmlns:a16="http://schemas.microsoft.com/office/drawing/2014/main" id="{41427F6F-E748-43FF-8419-D78181F59D6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204" name="Text Box 909">
          <a:extLst>
            <a:ext uri="{FF2B5EF4-FFF2-40B4-BE49-F238E27FC236}">
              <a16:creationId xmlns:a16="http://schemas.microsoft.com/office/drawing/2014/main" id="{3082E9CC-8AF1-4500-B806-4DB9AE62A698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05" name="Text Box 910">
          <a:extLst>
            <a:ext uri="{FF2B5EF4-FFF2-40B4-BE49-F238E27FC236}">
              <a16:creationId xmlns:a16="http://schemas.microsoft.com/office/drawing/2014/main" id="{9FBF6E01-D614-4F1F-92ED-6BA70243A37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06" name="Text Box 910">
          <a:extLst>
            <a:ext uri="{FF2B5EF4-FFF2-40B4-BE49-F238E27FC236}">
              <a16:creationId xmlns:a16="http://schemas.microsoft.com/office/drawing/2014/main" id="{7EC1F45B-5723-460A-8873-4A7F61F80AE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07" name="Text Box 910">
          <a:extLst>
            <a:ext uri="{FF2B5EF4-FFF2-40B4-BE49-F238E27FC236}">
              <a16:creationId xmlns:a16="http://schemas.microsoft.com/office/drawing/2014/main" id="{9FC5E597-9362-407D-A878-4370ECB052C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08" name="Text Box 910">
          <a:extLst>
            <a:ext uri="{FF2B5EF4-FFF2-40B4-BE49-F238E27FC236}">
              <a16:creationId xmlns:a16="http://schemas.microsoft.com/office/drawing/2014/main" id="{B72466CD-01E1-4C96-8336-D87097C6371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18</xdr:row>
      <xdr:rowOff>38100</xdr:rowOff>
    </xdr:from>
    <xdr:to>
      <xdr:col>32</xdr:col>
      <xdr:colOff>142875</xdr:colOff>
      <xdr:row>19</xdr:row>
      <xdr:rowOff>47625</xdr:rowOff>
    </xdr:to>
    <xdr:sp macro="" textlink="">
      <xdr:nvSpPr>
        <xdr:cNvPr id="1209" name="Text Box 909">
          <a:extLst>
            <a:ext uri="{FF2B5EF4-FFF2-40B4-BE49-F238E27FC236}">
              <a16:creationId xmlns:a16="http://schemas.microsoft.com/office/drawing/2014/main" id="{EF95AC5C-5918-4175-A5A3-869BF0276345}"/>
            </a:ext>
          </a:extLst>
        </xdr:cNvPr>
        <xdr:cNvSpPr txBox="1">
          <a:spLocks noChangeArrowheads="1"/>
        </xdr:cNvSpPr>
      </xdr:nvSpPr>
      <xdr:spPr bwMode="auto">
        <a:xfrm>
          <a:off x="4000500" y="552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0" name="Text Box 910">
          <a:extLst>
            <a:ext uri="{FF2B5EF4-FFF2-40B4-BE49-F238E27FC236}">
              <a16:creationId xmlns:a16="http://schemas.microsoft.com/office/drawing/2014/main" id="{695D6FD1-76C2-49DB-BA99-E77BFED1B2E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1" name="Text Box 910">
          <a:extLst>
            <a:ext uri="{FF2B5EF4-FFF2-40B4-BE49-F238E27FC236}">
              <a16:creationId xmlns:a16="http://schemas.microsoft.com/office/drawing/2014/main" id="{91617943-3277-4698-B588-0EA6D3F2DC9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2" name="Text Box 910">
          <a:extLst>
            <a:ext uri="{FF2B5EF4-FFF2-40B4-BE49-F238E27FC236}">
              <a16:creationId xmlns:a16="http://schemas.microsoft.com/office/drawing/2014/main" id="{AEEB197B-8944-404A-8ABA-3B52C98E165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3" name="Text Box 910">
          <a:extLst>
            <a:ext uri="{FF2B5EF4-FFF2-40B4-BE49-F238E27FC236}">
              <a16:creationId xmlns:a16="http://schemas.microsoft.com/office/drawing/2014/main" id="{7B3D76B6-B904-42FA-A94E-1BDF822C217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4" name="Text Box 910">
          <a:extLst>
            <a:ext uri="{FF2B5EF4-FFF2-40B4-BE49-F238E27FC236}">
              <a16:creationId xmlns:a16="http://schemas.microsoft.com/office/drawing/2014/main" id="{02573457-84D1-4599-8C10-8FD79D0D4DE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5" name="Text Box 910">
          <a:extLst>
            <a:ext uri="{FF2B5EF4-FFF2-40B4-BE49-F238E27FC236}">
              <a16:creationId xmlns:a16="http://schemas.microsoft.com/office/drawing/2014/main" id="{CA2F2D2E-C403-4C96-AE65-98235107A4A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6" name="Text Box 910">
          <a:extLst>
            <a:ext uri="{FF2B5EF4-FFF2-40B4-BE49-F238E27FC236}">
              <a16:creationId xmlns:a16="http://schemas.microsoft.com/office/drawing/2014/main" id="{134F4ED0-07EC-422A-9DDC-F30A591C9FF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7" name="Text Box 910">
          <a:extLst>
            <a:ext uri="{FF2B5EF4-FFF2-40B4-BE49-F238E27FC236}">
              <a16:creationId xmlns:a16="http://schemas.microsoft.com/office/drawing/2014/main" id="{38292C65-08D0-44CE-B09A-6C9F63E3091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8" name="Text Box 910">
          <a:extLst>
            <a:ext uri="{FF2B5EF4-FFF2-40B4-BE49-F238E27FC236}">
              <a16:creationId xmlns:a16="http://schemas.microsoft.com/office/drawing/2014/main" id="{C00E26D3-7F51-48C0-B6B8-0A56E5B3B29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19" name="Text Box 910">
          <a:extLst>
            <a:ext uri="{FF2B5EF4-FFF2-40B4-BE49-F238E27FC236}">
              <a16:creationId xmlns:a16="http://schemas.microsoft.com/office/drawing/2014/main" id="{F68FFA49-7ACC-414C-A673-2DB4AD870B9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0" name="Text Box 910">
          <a:extLst>
            <a:ext uri="{FF2B5EF4-FFF2-40B4-BE49-F238E27FC236}">
              <a16:creationId xmlns:a16="http://schemas.microsoft.com/office/drawing/2014/main" id="{6B53BC2B-D1FB-47AB-BFE1-9534ADF9FE4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1" name="Text Box 910">
          <a:extLst>
            <a:ext uri="{FF2B5EF4-FFF2-40B4-BE49-F238E27FC236}">
              <a16:creationId xmlns:a16="http://schemas.microsoft.com/office/drawing/2014/main" id="{9961B167-6A66-4DE0-A731-D953A0CE7BD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2" name="Text Box 910">
          <a:extLst>
            <a:ext uri="{FF2B5EF4-FFF2-40B4-BE49-F238E27FC236}">
              <a16:creationId xmlns:a16="http://schemas.microsoft.com/office/drawing/2014/main" id="{F0C5B93C-41C6-4B41-80ED-69FCC1C51CC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3" name="Text Box 910">
          <a:extLst>
            <a:ext uri="{FF2B5EF4-FFF2-40B4-BE49-F238E27FC236}">
              <a16:creationId xmlns:a16="http://schemas.microsoft.com/office/drawing/2014/main" id="{626346AC-1DAE-443D-850E-08772B7F9A9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4" name="Text Box 910">
          <a:extLst>
            <a:ext uri="{FF2B5EF4-FFF2-40B4-BE49-F238E27FC236}">
              <a16:creationId xmlns:a16="http://schemas.microsoft.com/office/drawing/2014/main" id="{4CBA3E05-3BB4-4EAA-A499-81BD1DA5042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5" name="Text Box 910">
          <a:extLst>
            <a:ext uri="{FF2B5EF4-FFF2-40B4-BE49-F238E27FC236}">
              <a16:creationId xmlns:a16="http://schemas.microsoft.com/office/drawing/2014/main" id="{BA46CC74-E425-43A6-8120-0A73674A08B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6" name="Text Box 910">
          <a:extLst>
            <a:ext uri="{FF2B5EF4-FFF2-40B4-BE49-F238E27FC236}">
              <a16:creationId xmlns:a16="http://schemas.microsoft.com/office/drawing/2014/main" id="{79498A0C-8ADB-4194-B5AB-48BD51F417A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7" name="Text Box 910">
          <a:extLst>
            <a:ext uri="{FF2B5EF4-FFF2-40B4-BE49-F238E27FC236}">
              <a16:creationId xmlns:a16="http://schemas.microsoft.com/office/drawing/2014/main" id="{6476BF63-F3E8-47B7-8BC7-4BA6AFAC603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8" name="Text Box 910">
          <a:extLst>
            <a:ext uri="{FF2B5EF4-FFF2-40B4-BE49-F238E27FC236}">
              <a16:creationId xmlns:a16="http://schemas.microsoft.com/office/drawing/2014/main" id="{2934BCC0-97E9-4B68-B220-58D72F5EBE1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29" name="Text Box 910">
          <a:extLst>
            <a:ext uri="{FF2B5EF4-FFF2-40B4-BE49-F238E27FC236}">
              <a16:creationId xmlns:a16="http://schemas.microsoft.com/office/drawing/2014/main" id="{FFD7A09C-4E76-4859-8FFC-810E8C11B00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0" name="Text Box 910">
          <a:extLst>
            <a:ext uri="{FF2B5EF4-FFF2-40B4-BE49-F238E27FC236}">
              <a16:creationId xmlns:a16="http://schemas.microsoft.com/office/drawing/2014/main" id="{DF7F02DA-BD22-4984-8477-A1D17DA8B3E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1" name="Text Box 910">
          <a:extLst>
            <a:ext uri="{FF2B5EF4-FFF2-40B4-BE49-F238E27FC236}">
              <a16:creationId xmlns:a16="http://schemas.microsoft.com/office/drawing/2014/main" id="{A4E54C2C-2FEE-417A-AC82-0E41F8BA7FF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2" name="Text Box 910">
          <a:extLst>
            <a:ext uri="{FF2B5EF4-FFF2-40B4-BE49-F238E27FC236}">
              <a16:creationId xmlns:a16="http://schemas.microsoft.com/office/drawing/2014/main" id="{BBF9AD34-E1B7-4E94-92EE-8800C8A6A6F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3" name="Text Box 910">
          <a:extLst>
            <a:ext uri="{FF2B5EF4-FFF2-40B4-BE49-F238E27FC236}">
              <a16:creationId xmlns:a16="http://schemas.microsoft.com/office/drawing/2014/main" id="{E70CCFD6-BFC4-40FB-BCDF-1EEEA6BE1E8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4" name="Text Box 910">
          <a:extLst>
            <a:ext uri="{FF2B5EF4-FFF2-40B4-BE49-F238E27FC236}">
              <a16:creationId xmlns:a16="http://schemas.microsoft.com/office/drawing/2014/main" id="{571874C6-1F83-4360-B76C-FB6762A4FEC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5" name="Text Box 910">
          <a:extLst>
            <a:ext uri="{FF2B5EF4-FFF2-40B4-BE49-F238E27FC236}">
              <a16:creationId xmlns:a16="http://schemas.microsoft.com/office/drawing/2014/main" id="{A186894D-AEE4-407E-ADA1-39B412CBC98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6" name="Text Box 910">
          <a:extLst>
            <a:ext uri="{FF2B5EF4-FFF2-40B4-BE49-F238E27FC236}">
              <a16:creationId xmlns:a16="http://schemas.microsoft.com/office/drawing/2014/main" id="{AD9CD4C9-F9CD-48CE-A013-EFF0224D147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7" name="Text Box 910">
          <a:extLst>
            <a:ext uri="{FF2B5EF4-FFF2-40B4-BE49-F238E27FC236}">
              <a16:creationId xmlns:a16="http://schemas.microsoft.com/office/drawing/2014/main" id="{6B8F651F-445C-4AF8-A0C7-456696E69BC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8" name="Text Box 910">
          <a:extLst>
            <a:ext uri="{FF2B5EF4-FFF2-40B4-BE49-F238E27FC236}">
              <a16:creationId xmlns:a16="http://schemas.microsoft.com/office/drawing/2014/main" id="{EE536595-5BA7-4822-87F2-C2B14D45DFE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39" name="Text Box 910">
          <a:extLst>
            <a:ext uri="{FF2B5EF4-FFF2-40B4-BE49-F238E27FC236}">
              <a16:creationId xmlns:a16="http://schemas.microsoft.com/office/drawing/2014/main" id="{6E6D92C5-1FBA-4845-A474-8E5FDEAA957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0" name="Text Box 910">
          <a:extLst>
            <a:ext uri="{FF2B5EF4-FFF2-40B4-BE49-F238E27FC236}">
              <a16:creationId xmlns:a16="http://schemas.microsoft.com/office/drawing/2014/main" id="{B4CF731B-1AB2-41A7-87C9-DD9F8F00ED4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1" name="Text Box 910">
          <a:extLst>
            <a:ext uri="{FF2B5EF4-FFF2-40B4-BE49-F238E27FC236}">
              <a16:creationId xmlns:a16="http://schemas.microsoft.com/office/drawing/2014/main" id="{5B7F644D-49D9-4A49-AC06-71522882A17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2" name="Text Box 910">
          <a:extLst>
            <a:ext uri="{FF2B5EF4-FFF2-40B4-BE49-F238E27FC236}">
              <a16:creationId xmlns:a16="http://schemas.microsoft.com/office/drawing/2014/main" id="{B7A2FA80-4111-4592-810D-A6C46C8CADB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3" name="Text Box 910">
          <a:extLst>
            <a:ext uri="{FF2B5EF4-FFF2-40B4-BE49-F238E27FC236}">
              <a16:creationId xmlns:a16="http://schemas.microsoft.com/office/drawing/2014/main" id="{91AE0B1F-B299-4B48-9AA5-DAD5C2514E0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4" name="Text Box 910">
          <a:extLst>
            <a:ext uri="{FF2B5EF4-FFF2-40B4-BE49-F238E27FC236}">
              <a16:creationId xmlns:a16="http://schemas.microsoft.com/office/drawing/2014/main" id="{0F405C8D-B34C-4169-8C3F-8C7B19E9DF4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5" name="Text Box 910">
          <a:extLst>
            <a:ext uri="{FF2B5EF4-FFF2-40B4-BE49-F238E27FC236}">
              <a16:creationId xmlns:a16="http://schemas.microsoft.com/office/drawing/2014/main" id="{EA55BDB0-6E29-485E-85E3-FADC8AE2242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6" name="Text Box 910">
          <a:extLst>
            <a:ext uri="{FF2B5EF4-FFF2-40B4-BE49-F238E27FC236}">
              <a16:creationId xmlns:a16="http://schemas.microsoft.com/office/drawing/2014/main" id="{EF9226EF-1805-40AF-95CF-3D23FC5281C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7" name="Text Box 910">
          <a:extLst>
            <a:ext uri="{FF2B5EF4-FFF2-40B4-BE49-F238E27FC236}">
              <a16:creationId xmlns:a16="http://schemas.microsoft.com/office/drawing/2014/main" id="{B752275C-C6BC-40F0-9EE0-16B68E193F0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8" name="Text Box 910">
          <a:extLst>
            <a:ext uri="{FF2B5EF4-FFF2-40B4-BE49-F238E27FC236}">
              <a16:creationId xmlns:a16="http://schemas.microsoft.com/office/drawing/2014/main" id="{B8089E46-4568-44ED-9DC7-AA5B6865F00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49" name="Text Box 910">
          <a:extLst>
            <a:ext uri="{FF2B5EF4-FFF2-40B4-BE49-F238E27FC236}">
              <a16:creationId xmlns:a16="http://schemas.microsoft.com/office/drawing/2014/main" id="{8A344061-0FD8-41EB-91B9-1785FD9C54C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0" name="Text Box 910">
          <a:extLst>
            <a:ext uri="{FF2B5EF4-FFF2-40B4-BE49-F238E27FC236}">
              <a16:creationId xmlns:a16="http://schemas.microsoft.com/office/drawing/2014/main" id="{61E010A9-8DEA-4519-9E27-BC605389D19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1" name="Text Box 910">
          <a:extLst>
            <a:ext uri="{FF2B5EF4-FFF2-40B4-BE49-F238E27FC236}">
              <a16:creationId xmlns:a16="http://schemas.microsoft.com/office/drawing/2014/main" id="{A2A949E2-377A-4D7B-BC74-411B4B912D5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2" name="Text Box 910">
          <a:extLst>
            <a:ext uri="{FF2B5EF4-FFF2-40B4-BE49-F238E27FC236}">
              <a16:creationId xmlns:a16="http://schemas.microsoft.com/office/drawing/2014/main" id="{F294ADCB-A3B1-493E-8D70-74E40E6D046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3" name="Text Box 910">
          <a:extLst>
            <a:ext uri="{FF2B5EF4-FFF2-40B4-BE49-F238E27FC236}">
              <a16:creationId xmlns:a16="http://schemas.microsoft.com/office/drawing/2014/main" id="{B3389FBB-F73B-4D90-95FD-9D74B59E070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4" name="Text Box 910">
          <a:extLst>
            <a:ext uri="{FF2B5EF4-FFF2-40B4-BE49-F238E27FC236}">
              <a16:creationId xmlns:a16="http://schemas.microsoft.com/office/drawing/2014/main" id="{B0EE90A5-5A7B-4E88-82BC-AE45E1B7317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5" name="Text Box 910">
          <a:extLst>
            <a:ext uri="{FF2B5EF4-FFF2-40B4-BE49-F238E27FC236}">
              <a16:creationId xmlns:a16="http://schemas.microsoft.com/office/drawing/2014/main" id="{AE721EA3-7FAB-4BC4-93FD-4B11F4FE4A0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6" name="Text Box 910">
          <a:extLst>
            <a:ext uri="{FF2B5EF4-FFF2-40B4-BE49-F238E27FC236}">
              <a16:creationId xmlns:a16="http://schemas.microsoft.com/office/drawing/2014/main" id="{245D6206-496C-4699-B221-8B76B02A447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7" name="Text Box 910">
          <a:extLst>
            <a:ext uri="{FF2B5EF4-FFF2-40B4-BE49-F238E27FC236}">
              <a16:creationId xmlns:a16="http://schemas.microsoft.com/office/drawing/2014/main" id="{6621BDCD-FEEB-4D03-A447-3AB15952A5B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8" name="Text Box 910">
          <a:extLst>
            <a:ext uri="{FF2B5EF4-FFF2-40B4-BE49-F238E27FC236}">
              <a16:creationId xmlns:a16="http://schemas.microsoft.com/office/drawing/2014/main" id="{AEAB29B1-758B-4C8C-BFBC-F66C9233B3A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59" name="Text Box 910">
          <a:extLst>
            <a:ext uri="{FF2B5EF4-FFF2-40B4-BE49-F238E27FC236}">
              <a16:creationId xmlns:a16="http://schemas.microsoft.com/office/drawing/2014/main" id="{DB8570A3-99FC-4ED4-9728-9F2EEDFCB5F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0" name="Text Box 910">
          <a:extLst>
            <a:ext uri="{FF2B5EF4-FFF2-40B4-BE49-F238E27FC236}">
              <a16:creationId xmlns:a16="http://schemas.microsoft.com/office/drawing/2014/main" id="{2542A542-7006-479F-A530-B68A5EBC52E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1" name="Text Box 910">
          <a:extLst>
            <a:ext uri="{FF2B5EF4-FFF2-40B4-BE49-F238E27FC236}">
              <a16:creationId xmlns:a16="http://schemas.microsoft.com/office/drawing/2014/main" id="{0C6AF0A2-3E98-43A4-9A66-91464C9DAC8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2" name="Text Box 910">
          <a:extLst>
            <a:ext uri="{FF2B5EF4-FFF2-40B4-BE49-F238E27FC236}">
              <a16:creationId xmlns:a16="http://schemas.microsoft.com/office/drawing/2014/main" id="{CF912B9D-E6DF-4AA8-BCF8-1A3C5E810FA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3" name="Text Box 910">
          <a:extLst>
            <a:ext uri="{FF2B5EF4-FFF2-40B4-BE49-F238E27FC236}">
              <a16:creationId xmlns:a16="http://schemas.microsoft.com/office/drawing/2014/main" id="{BB6ED05D-F8B4-4DEB-B936-A060D208543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4" name="Text Box 910">
          <a:extLst>
            <a:ext uri="{FF2B5EF4-FFF2-40B4-BE49-F238E27FC236}">
              <a16:creationId xmlns:a16="http://schemas.microsoft.com/office/drawing/2014/main" id="{21006331-4890-49A8-82F0-E184CB3C835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5" name="Text Box 910">
          <a:extLst>
            <a:ext uri="{FF2B5EF4-FFF2-40B4-BE49-F238E27FC236}">
              <a16:creationId xmlns:a16="http://schemas.microsoft.com/office/drawing/2014/main" id="{9A305DC1-708C-478E-8094-42327ACD911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6" name="Text Box 910">
          <a:extLst>
            <a:ext uri="{FF2B5EF4-FFF2-40B4-BE49-F238E27FC236}">
              <a16:creationId xmlns:a16="http://schemas.microsoft.com/office/drawing/2014/main" id="{0736F7A2-68DF-4606-BAE4-A2D9A5D1111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7" name="Text Box 910">
          <a:extLst>
            <a:ext uri="{FF2B5EF4-FFF2-40B4-BE49-F238E27FC236}">
              <a16:creationId xmlns:a16="http://schemas.microsoft.com/office/drawing/2014/main" id="{61F94A46-D115-4C77-9997-F969388B899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8" name="Text Box 910">
          <a:extLst>
            <a:ext uri="{FF2B5EF4-FFF2-40B4-BE49-F238E27FC236}">
              <a16:creationId xmlns:a16="http://schemas.microsoft.com/office/drawing/2014/main" id="{5CA77665-86D2-41B7-8880-4A728E912CD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69" name="Text Box 910">
          <a:extLst>
            <a:ext uri="{FF2B5EF4-FFF2-40B4-BE49-F238E27FC236}">
              <a16:creationId xmlns:a16="http://schemas.microsoft.com/office/drawing/2014/main" id="{353D7B5F-D2A6-40A2-AAD7-C90D597198D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0" name="Text Box 910">
          <a:extLst>
            <a:ext uri="{FF2B5EF4-FFF2-40B4-BE49-F238E27FC236}">
              <a16:creationId xmlns:a16="http://schemas.microsoft.com/office/drawing/2014/main" id="{7A8D593B-6C0A-466C-9579-CA2C45037CC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1" name="Text Box 910">
          <a:extLst>
            <a:ext uri="{FF2B5EF4-FFF2-40B4-BE49-F238E27FC236}">
              <a16:creationId xmlns:a16="http://schemas.microsoft.com/office/drawing/2014/main" id="{D25CEC58-2406-4492-B19A-D1E4B571E4C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2" name="Text Box 910">
          <a:extLst>
            <a:ext uri="{FF2B5EF4-FFF2-40B4-BE49-F238E27FC236}">
              <a16:creationId xmlns:a16="http://schemas.microsoft.com/office/drawing/2014/main" id="{0AF7E5BD-04B8-405F-B74A-7A35378BCA9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3" name="Text Box 910">
          <a:extLst>
            <a:ext uri="{FF2B5EF4-FFF2-40B4-BE49-F238E27FC236}">
              <a16:creationId xmlns:a16="http://schemas.microsoft.com/office/drawing/2014/main" id="{5E93533C-DF90-4467-B6F0-3F52DF21533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4" name="Text Box 910">
          <a:extLst>
            <a:ext uri="{FF2B5EF4-FFF2-40B4-BE49-F238E27FC236}">
              <a16:creationId xmlns:a16="http://schemas.microsoft.com/office/drawing/2014/main" id="{F2FD4678-09EE-4AB0-A58B-275516F7C17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5" name="Text Box 910">
          <a:extLst>
            <a:ext uri="{FF2B5EF4-FFF2-40B4-BE49-F238E27FC236}">
              <a16:creationId xmlns:a16="http://schemas.microsoft.com/office/drawing/2014/main" id="{679CFA46-52BE-42D5-8539-7E6885D220D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6" name="Text Box 910">
          <a:extLst>
            <a:ext uri="{FF2B5EF4-FFF2-40B4-BE49-F238E27FC236}">
              <a16:creationId xmlns:a16="http://schemas.microsoft.com/office/drawing/2014/main" id="{F11C3B0A-2995-413F-A366-017BBD9B81B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7" name="Text Box 910">
          <a:extLst>
            <a:ext uri="{FF2B5EF4-FFF2-40B4-BE49-F238E27FC236}">
              <a16:creationId xmlns:a16="http://schemas.microsoft.com/office/drawing/2014/main" id="{B24127A1-E372-49E8-A7CF-266838B09A8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8" name="Text Box 910">
          <a:extLst>
            <a:ext uri="{FF2B5EF4-FFF2-40B4-BE49-F238E27FC236}">
              <a16:creationId xmlns:a16="http://schemas.microsoft.com/office/drawing/2014/main" id="{4F03483B-EED7-4BAD-A894-077322619B8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79" name="Text Box 910">
          <a:extLst>
            <a:ext uri="{FF2B5EF4-FFF2-40B4-BE49-F238E27FC236}">
              <a16:creationId xmlns:a16="http://schemas.microsoft.com/office/drawing/2014/main" id="{266B738A-06CC-412F-958F-4B13CA70505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0" name="Text Box 910">
          <a:extLst>
            <a:ext uri="{FF2B5EF4-FFF2-40B4-BE49-F238E27FC236}">
              <a16:creationId xmlns:a16="http://schemas.microsoft.com/office/drawing/2014/main" id="{BE4F98A4-425A-4CA2-A77C-762EEA2B62D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1" name="Text Box 910">
          <a:extLst>
            <a:ext uri="{FF2B5EF4-FFF2-40B4-BE49-F238E27FC236}">
              <a16:creationId xmlns:a16="http://schemas.microsoft.com/office/drawing/2014/main" id="{F15E46B6-8D05-4B7E-AFF6-32B5BD047C5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2" name="Text Box 910">
          <a:extLst>
            <a:ext uri="{FF2B5EF4-FFF2-40B4-BE49-F238E27FC236}">
              <a16:creationId xmlns:a16="http://schemas.microsoft.com/office/drawing/2014/main" id="{DCD8FD0E-5552-4AEC-9EB7-910A45AECA1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3" name="Text Box 910">
          <a:extLst>
            <a:ext uri="{FF2B5EF4-FFF2-40B4-BE49-F238E27FC236}">
              <a16:creationId xmlns:a16="http://schemas.microsoft.com/office/drawing/2014/main" id="{1A223C4F-8586-41F0-AE80-63E0755D301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4" name="Text Box 910">
          <a:extLst>
            <a:ext uri="{FF2B5EF4-FFF2-40B4-BE49-F238E27FC236}">
              <a16:creationId xmlns:a16="http://schemas.microsoft.com/office/drawing/2014/main" id="{651F0F2A-376F-4961-BF37-D57872C47E2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5" name="Text Box 910">
          <a:extLst>
            <a:ext uri="{FF2B5EF4-FFF2-40B4-BE49-F238E27FC236}">
              <a16:creationId xmlns:a16="http://schemas.microsoft.com/office/drawing/2014/main" id="{74E6D356-6C02-4F14-8E26-4B4AB331568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6" name="Text Box 910">
          <a:extLst>
            <a:ext uri="{FF2B5EF4-FFF2-40B4-BE49-F238E27FC236}">
              <a16:creationId xmlns:a16="http://schemas.microsoft.com/office/drawing/2014/main" id="{B78E7865-1C25-4CA6-B4BB-B4FA4FB0996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7" name="Text Box 910">
          <a:extLst>
            <a:ext uri="{FF2B5EF4-FFF2-40B4-BE49-F238E27FC236}">
              <a16:creationId xmlns:a16="http://schemas.microsoft.com/office/drawing/2014/main" id="{B2B97436-4E64-4A44-B78A-EE71B6BEF87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8" name="Text Box 910">
          <a:extLst>
            <a:ext uri="{FF2B5EF4-FFF2-40B4-BE49-F238E27FC236}">
              <a16:creationId xmlns:a16="http://schemas.microsoft.com/office/drawing/2014/main" id="{0AC25ADE-7744-4E78-8ECF-C8AF60A9272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89" name="Text Box 910">
          <a:extLst>
            <a:ext uri="{FF2B5EF4-FFF2-40B4-BE49-F238E27FC236}">
              <a16:creationId xmlns:a16="http://schemas.microsoft.com/office/drawing/2014/main" id="{A0A10CDF-13A1-410C-8340-11EE9206E8A2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0" name="Text Box 910">
          <a:extLst>
            <a:ext uri="{FF2B5EF4-FFF2-40B4-BE49-F238E27FC236}">
              <a16:creationId xmlns:a16="http://schemas.microsoft.com/office/drawing/2014/main" id="{8105F3B9-ED3F-4E1A-BC64-6FB592D7D40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1" name="Text Box 910">
          <a:extLst>
            <a:ext uri="{FF2B5EF4-FFF2-40B4-BE49-F238E27FC236}">
              <a16:creationId xmlns:a16="http://schemas.microsoft.com/office/drawing/2014/main" id="{BB48FAD0-4E73-4D73-9E68-0305F6FD72B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2" name="Text Box 910">
          <a:extLst>
            <a:ext uri="{FF2B5EF4-FFF2-40B4-BE49-F238E27FC236}">
              <a16:creationId xmlns:a16="http://schemas.microsoft.com/office/drawing/2014/main" id="{5A1FA0EB-D4F7-4624-B271-12887852043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3" name="Text Box 910">
          <a:extLst>
            <a:ext uri="{FF2B5EF4-FFF2-40B4-BE49-F238E27FC236}">
              <a16:creationId xmlns:a16="http://schemas.microsoft.com/office/drawing/2014/main" id="{39FE3E32-A7BE-4477-A058-EDE1DC48DFD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4" name="Text Box 910">
          <a:extLst>
            <a:ext uri="{FF2B5EF4-FFF2-40B4-BE49-F238E27FC236}">
              <a16:creationId xmlns:a16="http://schemas.microsoft.com/office/drawing/2014/main" id="{9041CA5C-3E48-4415-9FC1-0229323953D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5" name="Text Box 910">
          <a:extLst>
            <a:ext uri="{FF2B5EF4-FFF2-40B4-BE49-F238E27FC236}">
              <a16:creationId xmlns:a16="http://schemas.microsoft.com/office/drawing/2014/main" id="{E5D12B27-6908-4CCC-AA37-4051A7091B5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6" name="Text Box 910">
          <a:extLst>
            <a:ext uri="{FF2B5EF4-FFF2-40B4-BE49-F238E27FC236}">
              <a16:creationId xmlns:a16="http://schemas.microsoft.com/office/drawing/2014/main" id="{992E2B3A-1E99-4E20-BBBF-C55729AAC41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7" name="Text Box 910">
          <a:extLst>
            <a:ext uri="{FF2B5EF4-FFF2-40B4-BE49-F238E27FC236}">
              <a16:creationId xmlns:a16="http://schemas.microsoft.com/office/drawing/2014/main" id="{B96524E1-904C-48FE-B0EF-CB571A9969F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8" name="Text Box 910">
          <a:extLst>
            <a:ext uri="{FF2B5EF4-FFF2-40B4-BE49-F238E27FC236}">
              <a16:creationId xmlns:a16="http://schemas.microsoft.com/office/drawing/2014/main" id="{4C027988-BBA4-47E1-91A7-F9985B590DD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299" name="Text Box 910">
          <a:extLst>
            <a:ext uri="{FF2B5EF4-FFF2-40B4-BE49-F238E27FC236}">
              <a16:creationId xmlns:a16="http://schemas.microsoft.com/office/drawing/2014/main" id="{38D7EE82-DE3C-419D-B233-9EB48D6C89C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0" name="Text Box 910">
          <a:extLst>
            <a:ext uri="{FF2B5EF4-FFF2-40B4-BE49-F238E27FC236}">
              <a16:creationId xmlns:a16="http://schemas.microsoft.com/office/drawing/2014/main" id="{8DD1EFBC-6911-4A82-90FA-08A294825B3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1" name="Text Box 910">
          <a:extLst>
            <a:ext uri="{FF2B5EF4-FFF2-40B4-BE49-F238E27FC236}">
              <a16:creationId xmlns:a16="http://schemas.microsoft.com/office/drawing/2014/main" id="{362FAE7D-22A6-460C-A57A-1A80303B468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2" name="Text Box 910">
          <a:extLst>
            <a:ext uri="{FF2B5EF4-FFF2-40B4-BE49-F238E27FC236}">
              <a16:creationId xmlns:a16="http://schemas.microsoft.com/office/drawing/2014/main" id="{5AEEE91A-0CFC-4224-A7CA-D42AF19CD3D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3" name="Text Box 910">
          <a:extLst>
            <a:ext uri="{FF2B5EF4-FFF2-40B4-BE49-F238E27FC236}">
              <a16:creationId xmlns:a16="http://schemas.microsoft.com/office/drawing/2014/main" id="{AD800218-B8C2-43EF-87DC-FDC76F00B73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4" name="Text Box 910">
          <a:extLst>
            <a:ext uri="{FF2B5EF4-FFF2-40B4-BE49-F238E27FC236}">
              <a16:creationId xmlns:a16="http://schemas.microsoft.com/office/drawing/2014/main" id="{A300B721-6170-42D4-8D15-8523E91E671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5" name="Text Box 910">
          <a:extLst>
            <a:ext uri="{FF2B5EF4-FFF2-40B4-BE49-F238E27FC236}">
              <a16:creationId xmlns:a16="http://schemas.microsoft.com/office/drawing/2014/main" id="{36840020-950E-4A1D-ABAA-BD32F0A8212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6" name="Text Box 910">
          <a:extLst>
            <a:ext uri="{FF2B5EF4-FFF2-40B4-BE49-F238E27FC236}">
              <a16:creationId xmlns:a16="http://schemas.microsoft.com/office/drawing/2014/main" id="{61FCAAD8-F3AE-4EAC-9376-A2DC9C04420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7" name="Text Box 910">
          <a:extLst>
            <a:ext uri="{FF2B5EF4-FFF2-40B4-BE49-F238E27FC236}">
              <a16:creationId xmlns:a16="http://schemas.microsoft.com/office/drawing/2014/main" id="{5EF0CDBD-F570-411C-A07F-5C673DA78BF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8" name="Text Box 910">
          <a:extLst>
            <a:ext uri="{FF2B5EF4-FFF2-40B4-BE49-F238E27FC236}">
              <a16:creationId xmlns:a16="http://schemas.microsoft.com/office/drawing/2014/main" id="{A3F0230A-AA88-45F5-86C9-0C33B9672CE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09" name="Text Box 910">
          <a:extLst>
            <a:ext uri="{FF2B5EF4-FFF2-40B4-BE49-F238E27FC236}">
              <a16:creationId xmlns:a16="http://schemas.microsoft.com/office/drawing/2014/main" id="{AD6F882A-358C-4B76-AE7D-BB64557147A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0" name="Text Box 910">
          <a:extLst>
            <a:ext uri="{FF2B5EF4-FFF2-40B4-BE49-F238E27FC236}">
              <a16:creationId xmlns:a16="http://schemas.microsoft.com/office/drawing/2014/main" id="{BCF02C3C-D296-4680-BD84-EAD5C391338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1" name="Text Box 910">
          <a:extLst>
            <a:ext uri="{FF2B5EF4-FFF2-40B4-BE49-F238E27FC236}">
              <a16:creationId xmlns:a16="http://schemas.microsoft.com/office/drawing/2014/main" id="{7EB256E7-1483-40E7-AC2A-52CE5F33705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2" name="Text Box 910">
          <a:extLst>
            <a:ext uri="{FF2B5EF4-FFF2-40B4-BE49-F238E27FC236}">
              <a16:creationId xmlns:a16="http://schemas.microsoft.com/office/drawing/2014/main" id="{6FF5B87C-AFB2-4793-856D-81FC73FAAE9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3" name="Text Box 910">
          <a:extLst>
            <a:ext uri="{FF2B5EF4-FFF2-40B4-BE49-F238E27FC236}">
              <a16:creationId xmlns:a16="http://schemas.microsoft.com/office/drawing/2014/main" id="{D0B27C5C-E987-4CB0-8254-012E0CEF53E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4" name="Text Box 910">
          <a:extLst>
            <a:ext uri="{FF2B5EF4-FFF2-40B4-BE49-F238E27FC236}">
              <a16:creationId xmlns:a16="http://schemas.microsoft.com/office/drawing/2014/main" id="{7903E552-B51B-4F50-BE9D-9ECC266BA9C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5" name="Text Box 910">
          <a:extLst>
            <a:ext uri="{FF2B5EF4-FFF2-40B4-BE49-F238E27FC236}">
              <a16:creationId xmlns:a16="http://schemas.microsoft.com/office/drawing/2014/main" id="{85FF0314-8783-4034-813F-06C96B38A9C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6" name="Text Box 910">
          <a:extLst>
            <a:ext uri="{FF2B5EF4-FFF2-40B4-BE49-F238E27FC236}">
              <a16:creationId xmlns:a16="http://schemas.microsoft.com/office/drawing/2014/main" id="{3846AAB3-1C50-4949-8B12-1F732730C7D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7" name="Text Box 910">
          <a:extLst>
            <a:ext uri="{FF2B5EF4-FFF2-40B4-BE49-F238E27FC236}">
              <a16:creationId xmlns:a16="http://schemas.microsoft.com/office/drawing/2014/main" id="{B8D851C7-29E2-434E-BB84-DA97AA03157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8" name="Text Box 910">
          <a:extLst>
            <a:ext uri="{FF2B5EF4-FFF2-40B4-BE49-F238E27FC236}">
              <a16:creationId xmlns:a16="http://schemas.microsoft.com/office/drawing/2014/main" id="{13F1FF57-5307-432B-BF51-011CD24C1CC1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19" name="Text Box 910">
          <a:extLst>
            <a:ext uri="{FF2B5EF4-FFF2-40B4-BE49-F238E27FC236}">
              <a16:creationId xmlns:a16="http://schemas.microsoft.com/office/drawing/2014/main" id="{BA63859D-15B6-4D8F-9CAF-23A1A4F406E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0" name="Text Box 910">
          <a:extLst>
            <a:ext uri="{FF2B5EF4-FFF2-40B4-BE49-F238E27FC236}">
              <a16:creationId xmlns:a16="http://schemas.microsoft.com/office/drawing/2014/main" id="{C8D13CCF-90F3-4431-BFED-AE7CE2FD0ABA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1" name="Text Box 910">
          <a:extLst>
            <a:ext uri="{FF2B5EF4-FFF2-40B4-BE49-F238E27FC236}">
              <a16:creationId xmlns:a16="http://schemas.microsoft.com/office/drawing/2014/main" id="{87E5509A-7DA7-45B9-A723-43DC4F2524B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2" name="Text Box 910">
          <a:extLst>
            <a:ext uri="{FF2B5EF4-FFF2-40B4-BE49-F238E27FC236}">
              <a16:creationId xmlns:a16="http://schemas.microsoft.com/office/drawing/2014/main" id="{4A8E9B6D-8FE4-4502-B4EA-93368B03A735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3" name="Text Box 910">
          <a:extLst>
            <a:ext uri="{FF2B5EF4-FFF2-40B4-BE49-F238E27FC236}">
              <a16:creationId xmlns:a16="http://schemas.microsoft.com/office/drawing/2014/main" id="{F035D98A-CD6C-4539-82E8-E8C4EC97CA53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4" name="Text Box 910">
          <a:extLst>
            <a:ext uri="{FF2B5EF4-FFF2-40B4-BE49-F238E27FC236}">
              <a16:creationId xmlns:a16="http://schemas.microsoft.com/office/drawing/2014/main" id="{7FF3E0BD-F9BA-4E62-97C7-D25716A3AAF0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5" name="Text Box 910">
          <a:extLst>
            <a:ext uri="{FF2B5EF4-FFF2-40B4-BE49-F238E27FC236}">
              <a16:creationId xmlns:a16="http://schemas.microsoft.com/office/drawing/2014/main" id="{B5912825-52F7-4BD7-BEEA-F081FBBEDA9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6" name="Text Box 910">
          <a:extLst>
            <a:ext uri="{FF2B5EF4-FFF2-40B4-BE49-F238E27FC236}">
              <a16:creationId xmlns:a16="http://schemas.microsoft.com/office/drawing/2014/main" id="{14780C1A-5C16-49A8-B8E8-2619539FC846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7" name="Text Box 910">
          <a:extLst>
            <a:ext uri="{FF2B5EF4-FFF2-40B4-BE49-F238E27FC236}">
              <a16:creationId xmlns:a16="http://schemas.microsoft.com/office/drawing/2014/main" id="{26A76DD4-3E14-465D-8D81-956EEA6CCCAF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8" name="Text Box 910">
          <a:extLst>
            <a:ext uri="{FF2B5EF4-FFF2-40B4-BE49-F238E27FC236}">
              <a16:creationId xmlns:a16="http://schemas.microsoft.com/office/drawing/2014/main" id="{A2EEAE1B-291D-4F4F-94E7-FD81215FA44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29" name="Text Box 910">
          <a:extLst>
            <a:ext uri="{FF2B5EF4-FFF2-40B4-BE49-F238E27FC236}">
              <a16:creationId xmlns:a16="http://schemas.microsoft.com/office/drawing/2014/main" id="{D247BD97-A4AE-4DEB-A476-AD5DDA86147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0" name="Text Box 910">
          <a:extLst>
            <a:ext uri="{FF2B5EF4-FFF2-40B4-BE49-F238E27FC236}">
              <a16:creationId xmlns:a16="http://schemas.microsoft.com/office/drawing/2014/main" id="{83B5620B-BEA4-46B1-973E-652CFD8BDD37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1" name="Text Box 910">
          <a:extLst>
            <a:ext uri="{FF2B5EF4-FFF2-40B4-BE49-F238E27FC236}">
              <a16:creationId xmlns:a16="http://schemas.microsoft.com/office/drawing/2014/main" id="{8FC8252D-8F58-4E4C-BF85-BBEAF5193BC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2" name="Text Box 910">
          <a:extLst>
            <a:ext uri="{FF2B5EF4-FFF2-40B4-BE49-F238E27FC236}">
              <a16:creationId xmlns:a16="http://schemas.microsoft.com/office/drawing/2014/main" id="{5BDC528A-C464-4D6F-933B-BF73AA08117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3" name="Text Box 910">
          <a:extLst>
            <a:ext uri="{FF2B5EF4-FFF2-40B4-BE49-F238E27FC236}">
              <a16:creationId xmlns:a16="http://schemas.microsoft.com/office/drawing/2014/main" id="{6C4E42B0-D8A2-4D72-B3FA-754AE2C2E5B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4" name="Text Box 910">
          <a:extLst>
            <a:ext uri="{FF2B5EF4-FFF2-40B4-BE49-F238E27FC236}">
              <a16:creationId xmlns:a16="http://schemas.microsoft.com/office/drawing/2014/main" id="{74AB590C-457E-4EA1-8374-BA0E3A7AE5DE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5" name="Text Box 910">
          <a:extLst>
            <a:ext uri="{FF2B5EF4-FFF2-40B4-BE49-F238E27FC236}">
              <a16:creationId xmlns:a16="http://schemas.microsoft.com/office/drawing/2014/main" id="{F72440B1-BDA0-4BDF-9581-9A92C67D19CD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6" name="Text Box 910">
          <a:extLst>
            <a:ext uri="{FF2B5EF4-FFF2-40B4-BE49-F238E27FC236}">
              <a16:creationId xmlns:a16="http://schemas.microsoft.com/office/drawing/2014/main" id="{8357835A-8F28-4DB4-9713-93D6099AF73B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7" name="Text Box 910">
          <a:extLst>
            <a:ext uri="{FF2B5EF4-FFF2-40B4-BE49-F238E27FC236}">
              <a16:creationId xmlns:a16="http://schemas.microsoft.com/office/drawing/2014/main" id="{E6F27F61-1C4D-425D-9A9F-7AED688499A9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8" name="Text Box 910">
          <a:extLst>
            <a:ext uri="{FF2B5EF4-FFF2-40B4-BE49-F238E27FC236}">
              <a16:creationId xmlns:a16="http://schemas.microsoft.com/office/drawing/2014/main" id="{425A826A-2340-4054-AA71-459C2D50E998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39" name="Text Box 910">
          <a:extLst>
            <a:ext uri="{FF2B5EF4-FFF2-40B4-BE49-F238E27FC236}">
              <a16:creationId xmlns:a16="http://schemas.microsoft.com/office/drawing/2014/main" id="{04D97446-9515-4950-9D46-879A2A4BABEC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27</xdr:row>
      <xdr:rowOff>68580</xdr:rowOff>
    </xdr:from>
    <xdr:to>
      <xdr:col>29</xdr:col>
      <xdr:colOff>104775</xdr:colOff>
      <xdr:row>29</xdr:row>
      <xdr:rowOff>9525</xdr:rowOff>
    </xdr:to>
    <xdr:sp macro="" textlink="">
      <xdr:nvSpPr>
        <xdr:cNvPr id="1340" name="Text Box 910">
          <a:extLst>
            <a:ext uri="{FF2B5EF4-FFF2-40B4-BE49-F238E27FC236}">
              <a16:creationId xmlns:a16="http://schemas.microsoft.com/office/drawing/2014/main" id="{98EB2C86-9C49-4349-B337-446AFD428A34}"/>
            </a:ext>
          </a:extLst>
        </xdr:cNvPr>
        <xdr:cNvSpPr txBox="1">
          <a:spLocks noChangeArrowheads="1"/>
        </xdr:cNvSpPr>
      </xdr:nvSpPr>
      <xdr:spPr bwMode="auto">
        <a:xfrm>
          <a:off x="4514850" y="21545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41" name="Text Box 910">
          <a:extLst>
            <a:ext uri="{FF2B5EF4-FFF2-40B4-BE49-F238E27FC236}">
              <a16:creationId xmlns:a16="http://schemas.microsoft.com/office/drawing/2014/main" id="{8EA50359-0DD4-41D6-B19F-DF9F593870A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oneCellAnchor>
    <xdr:from>
      <xdr:col>1</xdr:col>
      <xdr:colOff>28575</xdr:colOff>
      <xdr:row>31</xdr:row>
      <xdr:rowOff>38101</xdr:rowOff>
    </xdr:from>
    <xdr:ext cx="928001" cy="288000"/>
    <xdr:pic>
      <xdr:nvPicPr>
        <xdr:cNvPr id="1342" name="Imagen 3">
          <a:extLst>
            <a:ext uri="{FF2B5EF4-FFF2-40B4-BE49-F238E27FC236}">
              <a16:creationId xmlns:a16="http://schemas.microsoft.com/office/drawing/2014/main" id="{91C0E6CB-5668-40C4-9042-87BCCB62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6700" y="5391151"/>
          <a:ext cx="928001" cy="28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43" name="Text Box 909">
          <a:extLst>
            <a:ext uri="{FF2B5EF4-FFF2-40B4-BE49-F238E27FC236}">
              <a16:creationId xmlns:a16="http://schemas.microsoft.com/office/drawing/2014/main" id="{DDFE2F52-6B77-4287-A585-63B31FC49966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44" name="Text Box 910">
          <a:extLst>
            <a:ext uri="{FF2B5EF4-FFF2-40B4-BE49-F238E27FC236}">
              <a16:creationId xmlns:a16="http://schemas.microsoft.com/office/drawing/2014/main" id="{232599BD-26AC-40D1-889F-BAA66239D50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45" name="Text Box 910">
          <a:extLst>
            <a:ext uri="{FF2B5EF4-FFF2-40B4-BE49-F238E27FC236}">
              <a16:creationId xmlns:a16="http://schemas.microsoft.com/office/drawing/2014/main" id="{20DD989B-327C-485B-9CDD-639EACA305D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46" name="Text Box 910">
          <a:extLst>
            <a:ext uri="{FF2B5EF4-FFF2-40B4-BE49-F238E27FC236}">
              <a16:creationId xmlns:a16="http://schemas.microsoft.com/office/drawing/2014/main" id="{B828F9B8-231F-476B-890A-A774B2C724F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47" name="Text Box 910">
          <a:extLst>
            <a:ext uri="{FF2B5EF4-FFF2-40B4-BE49-F238E27FC236}">
              <a16:creationId xmlns:a16="http://schemas.microsoft.com/office/drawing/2014/main" id="{212A2F0C-3506-475A-8609-09BFD4C69C2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48" name="Text Box 909">
          <a:extLst>
            <a:ext uri="{FF2B5EF4-FFF2-40B4-BE49-F238E27FC236}">
              <a16:creationId xmlns:a16="http://schemas.microsoft.com/office/drawing/2014/main" id="{32A7CA9F-0F9C-4407-B83A-FEFB04D0CB05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49" name="Text Box 910">
          <a:extLst>
            <a:ext uri="{FF2B5EF4-FFF2-40B4-BE49-F238E27FC236}">
              <a16:creationId xmlns:a16="http://schemas.microsoft.com/office/drawing/2014/main" id="{E3FEE931-481D-4038-BCEB-41B0206CE13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50" name="Text Box 910">
          <a:extLst>
            <a:ext uri="{FF2B5EF4-FFF2-40B4-BE49-F238E27FC236}">
              <a16:creationId xmlns:a16="http://schemas.microsoft.com/office/drawing/2014/main" id="{6E14930D-F1E7-495D-9195-686E83A4FC2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51" name="Text Box 910">
          <a:extLst>
            <a:ext uri="{FF2B5EF4-FFF2-40B4-BE49-F238E27FC236}">
              <a16:creationId xmlns:a16="http://schemas.microsoft.com/office/drawing/2014/main" id="{39DD1D5A-B9C3-45BF-AB6E-63F304AB377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52" name="Text Box 910">
          <a:extLst>
            <a:ext uri="{FF2B5EF4-FFF2-40B4-BE49-F238E27FC236}">
              <a16:creationId xmlns:a16="http://schemas.microsoft.com/office/drawing/2014/main" id="{679675DE-B4CC-402E-AE99-EBDD9ED1F23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53" name="Text Box 909">
          <a:extLst>
            <a:ext uri="{FF2B5EF4-FFF2-40B4-BE49-F238E27FC236}">
              <a16:creationId xmlns:a16="http://schemas.microsoft.com/office/drawing/2014/main" id="{D89A6E83-A4E1-4CEA-A74D-234C448E27D4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54" name="Text Box 910">
          <a:extLst>
            <a:ext uri="{FF2B5EF4-FFF2-40B4-BE49-F238E27FC236}">
              <a16:creationId xmlns:a16="http://schemas.microsoft.com/office/drawing/2014/main" id="{F422D30E-4DD5-49EB-BB56-6DD21333E9C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55" name="Text Box 910">
          <a:extLst>
            <a:ext uri="{FF2B5EF4-FFF2-40B4-BE49-F238E27FC236}">
              <a16:creationId xmlns:a16="http://schemas.microsoft.com/office/drawing/2014/main" id="{0376850C-F36D-4E77-A104-2543453053E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56" name="Text Box 910">
          <a:extLst>
            <a:ext uri="{FF2B5EF4-FFF2-40B4-BE49-F238E27FC236}">
              <a16:creationId xmlns:a16="http://schemas.microsoft.com/office/drawing/2014/main" id="{19E57513-2F58-4966-B1EA-AF9383B015A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57" name="Text Box 910">
          <a:extLst>
            <a:ext uri="{FF2B5EF4-FFF2-40B4-BE49-F238E27FC236}">
              <a16:creationId xmlns:a16="http://schemas.microsoft.com/office/drawing/2014/main" id="{E98C0C96-9C57-4319-8CE5-983B740A0ED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58" name="Text Box 909">
          <a:extLst>
            <a:ext uri="{FF2B5EF4-FFF2-40B4-BE49-F238E27FC236}">
              <a16:creationId xmlns:a16="http://schemas.microsoft.com/office/drawing/2014/main" id="{B8DB2B68-2C1E-45EE-A013-10E1875EA257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59" name="Text Box 910">
          <a:extLst>
            <a:ext uri="{FF2B5EF4-FFF2-40B4-BE49-F238E27FC236}">
              <a16:creationId xmlns:a16="http://schemas.microsoft.com/office/drawing/2014/main" id="{EE6B2217-86B7-4C1D-B205-BEB94010E52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60" name="Text Box 910">
          <a:extLst>
            <a:ext uri="{FF2B5EF4-FFF2-40B4-BE49-F238E27FC236}">
              <a16:creationId xmlns:a16="http://schemas.microsoft.com/office/drawing/2014/main" id="{565B4122-F54B-4465-8AE1-A4DF151021E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61" name="Text Box 910">
          <a:extLst>
            <a:ext uri="{FF2B5EF4-FFF2-40B4-BE49-F238E27FC236}">
              <a16:creationId xmlns:a16="http://schemas.microsoft.com/office/drawing/2014/main" id="{FB4E7932-468A-4772-9B4C-AE450B5B2AA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62" name="Text Box 910">
          <a:extLst>
            <a:ext uri="{FF2B5EF4-FFF2-40B4-BE49-F238E27FC236}">
              <a16:creationId xmlns:a16="http://schemas.microsoft.com/office/drawing/2014/main" id="{41E2B117-1674-405B-9F05-30C8FEA5875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63" name="Text Box 909">
          <a:extLst>
            <a:ext uri="{FF2B5EF4-FFF2-40B4-BE49-F238E27FC236}">
              <a16:creationId xmlns:a16="http://schemas.microsoft.com/office/drawing/2014/main" id="{1EC5B974-F602-4F9C-B49B-A13E0C6D8BA1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64" name="Text Box 910">
          <a:extLst>
            <a:ext uri="{FF2B5EF4-FFF2-40B4-BE49-F238E27FC236}">
              <a16:creationId xmlns:a16="http://schemas.microsoft.com/office/drawing/2014/main" id="{9A986D24-55F7-4A61-B825-00A7FB8A848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65" name="Text Box 910">
          <a:extLst>
            <a:ext uri="{FF2B5EF4-FFF2-40B4-BE49-F238E27FC236}">
              <a16:creationId xmlns:a16="http://schemas.microsoft.com/office/drawing/2014/main" id="{399B3ED3-0B31-406F-B2C0-B6AE6FFA5BA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66" name="Text Box 910">
          <a:extLst>
            <a:ext uri="{FF2B5EF4-FFF2-40B4-BE49-F238E27FC236}">
              <a16:creationId xmlns:a16="http://schemas.microsoft.com/office/drawing/2014/main" id="{971ECF20-9750-45FA-958F-8366DBAF590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67" name="Text Box 910">
          <a:extLst>
            <a:ext uri="{FF2B5EF4-FFF2-40B4-BE49-F238E27FC236}">
              <a16:creationId xmlns:a16="http://schemas.microsoft.com/office/drawing/2014/main" id="{2A393CC6-FB05-48C3-A7BA-69C63036FB1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68" name="Text Box 909">
          <a:extLst>
            <a:ext uri="{FF2B5EF4-FFF2-40B4-BE49-F238E27FC236}">
              <a16:creationId xmlns:a16="http://schemas.microsoft.com/office/drawing/2014/main" id="{5EBD6647-2546-408C-BF72-AF874EFD8C68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69" name="Text Box 910">
          <a:extLst>
            <a:ext uri="{FF2B5EF4-FFF2-40B4-BE49-F238E27FC236}">
              <a16:creationId xmlns:a16="http://schemas.microsoft.com/office/drawing/2014/main" id="{C7496D91-0689-4E52-B125-D92FD198485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70" name="Text Box 910">
          <a:extLst>
            <a:ext uri="{FF2B5EF4-FFF2-40B4-BE49-F238E27FC236}">
              <a16:creationId xmlns:a16="http://schemas.microsoft.com/office/drawing/2014/main" id="{F307FE24-EEDE-46E6-BA97-2494104877E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71" name="Text Box 910">
          <a:extLst>
            <a:ext uri="{FF2B5EF4-FFF2-40B4-BE49-F238E27FC236}">
              <a16:creationId xmlns:a16="http://schemas.microsoft.com/office/drawing/2014/main" id="{786D5FBC-E45C-474C-8A51-7E09E11E40B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72" name="Text Box 910">
          <a:extLst>
            <a:ext uri="{FF2B5EF4-FFF2-40B4-BE49-F238E27FC236}">
              <a16:creationId xmlns:a16="http://schemas.microsoft.com/office/drawing/2014/main" id="{8F19E290-4621-4F9A-90C6-C24BA80FF90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73" name="Text Box 909">
          <a:extLst>
            <a:ext uri="{FF2B5EF4-FFF2-40B4-BE49-F238E27FC236}">
              <a16:creationId xmlns:a16="http://schemas.microsoft.com/office/drawing/2014/main" id="{4D2CEA52-E3F5-47E3-82D8-3758A49E64F5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74" name="Text Box 910">
          <a:extLst>
            <a:ext uri="{FF2B5EF4-FFF2-40B4-BE49-F238E27FC236}">
              <a16:creationId xmlns:a16="http://schemas.microsoft.com/office/drawing/2014/main" id="{E6915DA0-D7E9-4A71-9778-E6245DDB6DD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75" name="Text Box 910">
          <a:extLst>
            <a:ext uri="{FF2B5EF4-FFF2-40B4-BE49-F238E27FC236}">
              <a16:creationId xmlns:a16="http://schemas.microsoft.com/office/drawing/2014/main" id="{6AFA3044-17B4-4C3E-AFD5-BB4F747B039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76" name="Text Box 910">
          <a:extLst>
            <a:ext uri="{FF2B5EF4-FFF2-40B4-BE49-F238E27FC236}">
              <a16:creationId xmlns:a16="http://schemas.microsoft.com/office/drawing/2014/main" id="{CA062E02-83F0-4948-AF7C-5B09191DB6E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77" name="Text Box 910">
          <a:extLst>
            <a:ext uri="{FF2B5EF4-FFF2-40B4-BE49-F238E27FC236}">
              <a16:creationId xmlns:a16="http://schemas.microsoft.com/office/drawing/2014/main" id="{CD757E39-C891-4710-8FD2-0A01A3B1327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78" name="Text Box 909">
          <a:extLst>
            <a:ext uri="{FF2B5EF4-FFF2-40B4-BE49-F238E27FC236}">
              <a16:creationId xmlns:a16="http://schemas.microsoft.com/office/drawing/2014/main" id="{B294BCC1-0D38-4F4E-ABF7-5DB4AE09277F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79" name="Text Box 910">
          <a:extLst>
            <a:ext uri="{FF2B5EF4-FFF2-40B4-BE49-F238E27FC236}">
              <a16:creationId xmlns:a16="http://schemas.microsoft.com/office/drawing/2014/main" id="{F3797D20-04CA-4A5A-A09A-8613AFE3882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80" name="Text Box 910">
          <a:extLst>
            <a:ext uri="{FF2B5EF4-FFF2-40B4-BE49-F238E27FC236}">
              <a16:creationId xmlns:a16="http://schemas.microsoft.com/office/drawing/2014/main" id="{6E0AEF73-0239-4864-902B-299DFD5621C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81" name="Text Box 910">
          <a:extLst>
            <a:ext uri="{FF2B5EF4-FFF2-40B4-BE49-F238E27FC236}">
              <a16:creationId xmlns:a16="http://schemas.microsoft.com/office/drawing/2014/main" id="{DB5C99CD-D94F-4ECE-8C11-065E244F678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82" name="Text Box 910">
          <a:extLst>
            <a:ext uri="{FF2B5EF4-FFF2-40B4-BE49-F238E27FC236}">
              <a16:creationId xmlns:a16="http://schemas.microsoft.com/office/drawing/2014/main" id="{B92C8819-E6D3-4ACC-87D5-D56CB2F80B4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83" name="Text Box 909">
          <a:extLst>
            <a:ext uri="{FF2B5EF4-FFF2-40B4-BE49-F238E27FC236}">
              <a16:creationId xmlns:a16="http://schemas.microsoft.com/office/drawing/2014/main" id="{3F082BE9-B9B3-4714-806F-5FDB8769861D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84" name="Text Box 910">
          <a:extLst>
            <a:ext uri="{FF2B5EF4-FFF2-40B4-BE49-F238E27FC236}">
              <a16:creationId xmlns:a16="http://schemas.microsoft.com/office/drawing/2014/main" id="{F0831799-EE96-432F-BE92-8E76678A05D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85" name="Text Box 910">
          <a:extLst>
            <a:ext uri="{FF2B5EF4-FFF2-40B4-BE49-F238E27FC236}">
              <a16:creationId xmlns:a16="http://schemas.microsoft.com/office/drawing/2014/main" id="{018BCE58-6C04-42C4-B9D4-3BD96305C7C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86" name="Text Box 910">
          <a:extLst>
            <a:ext uri="{FF2B5EF4-FFF2-40B4-BE49-F238E27FC236}">
              <a16:creationId xmlns:a16="http://schemas.microsoft.com/office/drawing/2014/main" id="{36FDB857-937A-4296-A164-5212BC7A483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87" name="Text Box 910">
          <a:extLst>
            <a:ext uri="{FF2B5EF4-FFF2-40B4-BE49-F238E27FC236}">
              <a16:creationId xmlns:a16="http://schemas.microsoft.com/office/drawing/2014/main" id="{32690AB8-A84E-47BD-91E1-C6C725CD80B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88" name="Text Box 909">
          <a:extLst>
            <a:ext uri="{FF2B5EF4-FFF2-40B4-BE49-F238E27FC236}">
              <a16:creationId xmlns:a16="http://schemas.microsoft.com/office/drawing/2014/main" id="{899714D4-6CFF-4B5B-82E9-1AF677118423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89" name="Text Box 910">
          <a:extLst>
            <a:ext uri="{FF2B5EF4-FFF2-40B4-BE49-F238E27FC236}">
              <a16:creationId xmlns:a16="http://schemas.microsoft.com/office/drawing/2014/main" id="{AF3C3FF7-C879-44FD-965D-6241B330C78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90" name="Text Box 910">
          <a:extLst>
            <a:ext uri="{FF2B5EF4-FFF2-40B4-BE49-F238E27FC236}">
              <a16:creationId xmlns:a16="http://schemas.microsoft.com/office/drawing/2014/main" id="{1993AB1D-0F50-4115-916E-AE2F64020D1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91" name="Text Box 910">
          <a:extLst>
            <a:ext uri="{FF2B5EF4-FFF2-40B4-BE49-F238E27FC236}">
              <a16:creationId xmlns:a16="http://schemas.microsoft.com/office/drawing/2014/main" id="{DF63BC07-900D-4226-A708-E14831A811C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92" name="Text Box 910">
          <a:extLst>
            <a:ext uri="{FF2B5EF4-FFF2-40B4-BE49-F238E27FC236}">
              <a16:creationId xmlns:a16="http://schemas.microsoft.com/office/drawing/2014/main" id="{9FE70A00-C603-409B-A61A-43D3523CC7D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93" name="Text Box 909">
          <a:extLst>
            <a:ext uri="{FF2B5EF4-FFF2-40B4-BE49-F238E27FC236}">
              <a16:creationId xmlns:a16="http://schemas.microsoft.com/office/drawing/2014/main" id="{8D8D7768-C264-4DA4-9531-B9B9FACBADAC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94" name="Text Box 910">
          <a:extLst>
            <a:ext uri="{FF2B5EF4-FFF2-40B4-BE49-F238E27FC236}">
              <a16:creationId xmlns:a16="http://schemas.microsoft.com/office/drawing/2014/main" id="{B2A64B30-56B4-4D1F-9EC8-475A9E747E9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95" name="Text Box 910">
          <a:extLst>
            <a:ext uri="{FF2B5EF4-FFF2-40B4-BE49-F238E27FC236}">
              <a16:creationId xmlns:a16="http://schemas.microsoft.com/office/drawing/2014/main" id="{B28710EC-99EB-4227-83B0-F45223BD16C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96" name="Text Box 910">
          <a:extLst>
            <a:ext uri="{FF2B5EF4-FFF2-40B4-BE49-F238E27FC236}">
              <a16:creationId xmlns:a16="http://schemas.microsoft.com/office/drawing/2014/main" id="{0F1C8067-3722-4EB7-AD9C-240956D639F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97" name="Text Box 910">
          <a:extLst>
            <a:ext uri="{FF2B5EF4-FFF2-40B4-BE49-F238E27FC236}">
              <a16:creationId xmlns:a16="http://schemas.microsoft.com/office/drawing/2014/main" id="{D86147DF-B0BE-481A-BF14-22AA7E9B486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398" name="Text Box 909">
          <a:extLst>
            <a:ext uri="{FF2B5EF4-FFF2-40B4-BE49-F238E27FC236}">
              <a16:creationId xmlns:a16="http://schemas.microsoft.com/office/drawing/2014/main" id="{546E1157-C3AE-4833-A78B-75EF7A2CB015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399" name="Text Box 910">
          <a:extLst>
            <a:ext uri="{FF2B5EF4-FFF2-40B4-BE49-F238E27FC236}">
              <a16:creationId xmlns:a16="http://schemas.microsoft.com/office/drawing/2014/main" id="{16C6BFA2-06AB-4B7D-9AB4-2996307B9B3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00" name="Text Box 910">
          <a:extLst>
            <a:ext uri="{FF2B5EF4-FFF2-40B4-BE49-F238E27FC236}">
              <a16:creationId xmlns:a16="http://schemas.microsoft.com/office/drawing/2014/main" id="{84FF3510-4F08-491A-942F-E9CCAAE5BE5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01" name="Text Box 910">
          <a:extLst>
            <a:ext uri="{FF2B5EF4-FFF2-40B4-BE49-F238E27FC236}">
              <a16:creationId xmlns:a16="http://schemas.microsoft.com/office/drawing/2014/main" id="{CB3B00D8-56E7-4BDE-AA41-C6152DF11BD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02" name="Text Box 910">
          <a:extLst>
            <a:ext uri="{FF2B5EF4-FFF2-40B4-BE49-F238E27FC236}">
              <a16:creationId xmlns:a16="http://schemas.microsoft.com/office/drawing/2014/main" id="{427D1456-E9A0-4FE3-9FD3-F24ACD0BEB2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03" name="Text Box 909">
          <a:extLst>
            <a:ext uri="{FF2B5EF4-FFF2-40B4-BE49-F238E27FC236}">
              <a16:creationId xmlns:a16="http://schemas.microsoft.com/office/drawing/2014/main" id="{5D0E1BBA-8063-4380-BC91-F4196197B623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04" name="Text Box 910">
          <a:extLst>
            <a:ext uri="{FF2B5EF4-FFF2-40B4-BE49-F238E27FC236}">
              <a16:creationId xmlns:a16="http://schemas.microsoft.com/office/drawing/2014/main" id="{B9CE35FC-574B-455E-AA77-3111E88A534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05" name="Text Box 910">
          <a:extLst>
            <a:ext uri="{FF2B5EF4-FFF2-40B4-BE49-F238E27FC236}">
              <a16:creationId xmlns:a16="http://schemas.microsoft.com/office/drawing/2014/main" id="{C42E5078-099B-4215-98B8-BC686CA4E0B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06" name="Text Box 910">
          <a:extLst>
            <a:ext uri="{FF2B5EF4-FFF2-40B4-BE49-F238E27FC236}">
              <a16:creationId xmlns:a16="http://schemas.microsoft.com/office/drawing/2014/main" id="{B88D8887-89B0-4B68-8D23-3988AAD4485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07" name="Text Box 910">
          <a:extLst>
            <a:ext uri="{FF2B5EF4-FFF2-40B4-BE49-F238E27FC236}">
              <a16:creationId xmlns:a16="http://schemas.microsoft.com/office/drawing/2014/main" id="{E6E9CAC4-C7A6-4F71-A520-6AE87342139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08" name="Text Box 909">
          <a:extLst>
            <a:ext uri="{FF2B5EF4-FFF2-40B4-BE49-F238E27FC236}">
              <a16:creationId xmlns:a16="http://schemas.microsoft.com/office/drawing/2014/main" id="{519786E1-75AB-418A-9FEA-76D1BF1B9D4C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09" name="Text Box 910">
          <a:extLst>
            <a:ext uri="{FF2B5EF4-FFF2-40B4-BE49-F238E27FC236}">
              <a16:creationId xmlns:a16="http://schemas.microsoft.com/office/drawing/2014/main" id="{4B745149-BB0D-41B9-BFAB-F72A680A4E1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10" name="Text Box 910">
          <a:extLst>
            <a:ext uri="{FF2B5EF4-FFF2-40B4-BE49-F238E27FC236}">
              <a16:creationId xmlns:a16="http://schemas.microsoft.com/office/drawing/2014/main" id="{7A68A65C-E12C-43E8-84FC-E0563CB1E6D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11" name="Text Box 910">
          <a:extLst>
            <a:ext uri="{FF2B5EF4-FFF2-40B4-BE49-F238E27FC236}">
              <a16:creationId xmlns:a16="http://schemas.microsoft.com/office/drawing/2014/main" id="{93C24879-3378-447A-9660-25CF189343A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12" name="Text Box 910">
          <a:extLst>
            <a:ext uri="{FF2B5EF4-FFF2-40B4-BE49-F238E27FC236}">
              <a16:creationId xmlns:a16="http://schemas.microsoft.com/office/drawing/2014/main" id="{D7494BA6-A8D9-4B53-BD12-54A05B3D54D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13" name="Text Box 909">
          <a:extLst>
            <a:ext uri="{FF2B5EF4-FFF2-40B4-BE49-F238E27FC236}">
              <a16:creationId xmlns:a16="http://schemas.microsoft.com/office/drawing/2014/main" id="{631F4E03-4BF9-48D4-B484-B4EF67C83DE2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14" name="Text Box 910">
          <a:extLst>
            <a:ext uri="{FF2B5EF4-FFF2-40B4-BE49-F238E27FC236}">
              <a16:creationId xmlns:a16="http://schemas.microsoft.com/office/drawing/2014/main" id="{46D142E7-759C-494D-9922-B6B670FC79F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15" name="Text Box 910">
          <a:extLst>
            <a:ext uri="{FF2B5EF4-FFF2-40B4-BE49-F238E27FC236}">
              <a16:creationId xmlns:a16="http://schemas.microsoft.com/office/drawing/2014/main" id="{DE9490E6-C2B1-4EE7-A26C-EE4FCF008C6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16" name="Text Box 910">
          <a:extLst>
            <a:ext uri="{FF2B5EF4-FFF2-40B4-BE49-F238E27FC236}">
              <a16:creationId xmlns:a16="http://schemas.microsoft.com/office/drawing/2014/main" id="{AD0A4AFE-0765-4158-9D1C-B57CED0C2DD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17" name="Text Box 910">
          <a:extLst>
            <a:ext uri="{FF2B5EF4-FFF2-40B4-BE49-F238E27FC236}">
              <a16:creationId xmlns:a16="http://schemas.microsoft.com/office/drawing/2014/main" id="{FACF4121-B891-48D7-BAF0-F5C6A6C5DD4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18" name="Text Box 909">
          <a:extLst>
            <a:ext uri="{FF2B5EF4-FFF2-40B4-BE49-F238E27FC236}">
              <a16:creationId xmlns:a16="http://schemas.microsoft.com/office/drawing/2014/main" id="{C1EDA857-EFE1-4957-838C-78EFC4F68549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19" name="Text Box 910">
          <a:extLst>
            <a:ext uri="{FF2B5EF4-FFF2-40B4-BE49-F238E27FC236}">
              <a16:creationId xmlns:a16="http://schemas.microsoft.com/office/drawing/2014/main" id="{7DBAED2C-F4B2-4F75-B357-B01B27D7BD2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20" name="Text Box 910">
          <a:extLst>
            <a:ext uri="{FF2B5EF4-FFF2-40B4-BE49-F238E27FC236}">
              <a16:creationId xmlns:a16="http://schemas.microsoft.com/office/drawing/2014/main" id="{9F58677D-117A-420C-9AA1-ACB78A51797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21" name="Text Box 910">
          <a:extLst>
            <a:ext uri="{FF2B5EF4-FFF2-40B4-BE49-F238E27FC236}">
              <a16:creationId xmlns:a16="http://schemas.microsoft.com/office/drawing/2014/main" id="{1A625F67-FEFA-423D-BC4B-E011D9C6A44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22" name="Text Box 910">
          <a:extLst>
            <a:ext uri="{FF2B5EF4-FFF2-40B4-BE49-F238E27FC236}">
              <a16:creationId xmlns:a16="http://schemas.microsoft.com/office/drawing/2014/main" id="{E6D37EDB-5551-4BFE-A679-DAA830D9574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23" name="Text Box 909">
          <a:extLst>
            <a:ext uri="{FF2B5EF4-FFF2-40B4-BE49-F238E27FC236}">
              <a16:creationId xmlns:a16="http://schemas.microsoft.com/office/drawing/2014/main" id="{AF434E69-8B34-4347-883A-B51F6387A934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24" name="Text Box 910">
          <a:extLst>
            <a:ext uri="{FF2B5EF4-FFF2-40B4-BE49-F238E27FC236}">
              <a16:creationId xmlns:a16="http://schemas.microsoft.com/office/drawing/2014/main" id="{F8753DF7-1A36-4237-B69D-CE036FF62D5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25" name="Text Box 910">
          <a:extLst>
            <a:ext uri="{FF2B5EF4-FFF2-40B4-BE49-F238E27FC236}">
              <a16:creationId xmlns:a16="http://schemas.microsoft.com/office/drawing/2014/main" id="{E0AA6A62-FBB5-45EB-8504-34362733340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26" name="Text Box 910">
          <a:extLst>
            <a:ext uri="{FF2B5EF4-FFF2-40B4-BE49-F238E27FC236}">
              <a16:creationId xmlns:a16="http://schemas.microsoft.com/office/drawing/2014/main" id="{65D81605-06BD-4BA8-A7C1-90FC9D869A7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27" name="Text Box 910">
          <a:extLst>
            <a:ext uri="{FF2B5EF4-FFF2-40B4-BE49-F238E27FC236}">
              <a16:creationId xmlns:a16="http://schemas.microsoft.com/office/drawing/2014/main" id="{A23E1D2F-E8A6-4096-A73B-F570EE33922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28" name="Text Box 909">
          <a:extLst>
            <a:ext uri="{FF2B5EF4-FFF2-40B4-BE49-F238E27FC236}">
              <a16:creationId xmlns:a16="http://schemas.microsoft.com/office/drawing/2014/main" id="{A7AE9D50-3BF9-4D3A-9833-3420DE4641AE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29" name="Text Box 910">
          <a:extLst>
            <a:ext uri="{FF2B5EF4-FFF2-40B4-BE49-F238E27FC236}">
              <a16:creationId xmlns:a16="http://schemas.microsoft.com/office/drawing/2014/main" id="{AA364151-4910-4854-8C61-BA69F4B8415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30" name="Text Box 910">
          <a:extLst>
            <a:ext uri="{FF2B5EF4-FFF2-40B4-BE49-F238E27FC236}">
              <a16:creationId xmlns:a16="http://schemas.microsoft.com/office/drawing/2014/main" id="{DB0D4BD1-096F-4E0A-AF3F-5286037D31E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31" name="Text Box 910">
          <a:extLst>
            <a:ext uri="{FF2B5EF4-FFF2-40B4-BE49-F238E27FC236}">
              <a16:creationId xmlns:a16="http://schemas.microsoft.com/office/drawing/2014/main" id="{BB83053D-5859-4EFE-8936-86EE7A70565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32" name="Text Box 910">
          <a:extLst>
            <a:ext uri="{FF2B5EF4-FFF2-40B4-BE49-F238E27FC236}">
              <a16:creationId xmlns:a16="http://schemas.microsoft.com/office/drawing/2014/main" id="{968B9A7A-F5D2-4BC9-9745-5495800F76B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33" name="Text Box 909">
          <a:extLst>
            <a:ext uri="{FF2B5EF4-FFF2-40B4-BE49-F238E27FC236}">
              <a16:creationId xmlns:a16="http://schemas.microsoft.com/office/drawing/2014/main" id="{5127F872-81A6-4284-8289-3ED935D3D917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34" name="Text Box 910">
          <a:extLst>
            <a:ext uri="{FF2B5EF4-FFF2-40B4-BE49-F238E27FC236}">
              <a16:creationId xmlns:a16="http://schemas.microsoft.com/office/drawing/2014/main" id="{D83703EF-198E-4A4C-82F6-BD2729DC557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35" name="Text Box 910">
          <a:extLst>
            <a:ext uri="{FF2B5EF4-FFF2-40B4-BE49-F238E27FC236}">
              <a16:creationId xmlns:a16="http://schemas.microsoft.com/office/drawing/2014/main" id="{9C6C7B3E-D0BC-429D-ACF6-ACC39E25699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36" name="Text Box 910">
          <a:extLst>
            <a:ext uri="{FF2B5EF4-FFF2-40B4-BE49-F238E27FC236}">
              <a16:creationId xmlns:a16="http://schemas.microsoft.com/office/drawing/2014/main" id="{76DAD3C3-0A22-487E-815D-416E00479AC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37" name="Text Box 910">
          <a:extLst>
            <a:ext uri="{FF2B5EF4-FFF2-40B4-BE49-F238E27FC236}">
              <a16:creationId xmlns:a16="http://schemas.microsoft.com/office/drawing/2014/main" id="{F5C82F0B-AC77-497B-AE40-D195F1BFA8C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38" name="Text Box 909">
          <a:extLst>
            <a:ext uri="{FF2B5EF4-FFF2-40B4-BE49-F238E27FC236}">
              <a16:creationId xmlns:a16="http://schemas.microsoft.com/office/drawing/2014/main" id="{4CB9FE51-646A-40FA-BF18-252343CD88FE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39" name="Text Box 910">
          <a:extLst>
            <a:ext uri="{FF2B5EF4-FFF2-40B4-BE49-F238E27FC236}">
              <a16:creationId xmlns:a16="http://schemas.microsoft.com/office/drawing/2014/main" id="{FAD9EAA2-E9D2-4044-9D50-62C6954E8FD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40" name="Text Box 910">
          <a:extLst>
            <a:ext uri="{FF2B5EF4-FFF2-40B4-BE49-F238E27FC236}">
              <a16:creationId xmlns:a16="http://schemas.microsoft.com/office/drawing/2014/main" id="{984DC3C7-AD6D-45CC-A7E7-CBA2404B7AF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41" name="Text Box 910">
          <a:extLst>
            <a:ext uri="{FF2B5EF4-FFF2-40B4-BE49-F238E27FC236}">
              <a16:creationId xmlns:a16="http://schemas.microsoft.com/office/drawing/2014/main" id="{AF07720B-DC2B-453F-B000-BFC78FF97C4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42" name="Text Box 910">
          <a:extLst>
            <a:ext uri="{FF2B5EF4-FFF2-40B4-BE49-F238E27FC236}">
              <a16:creationId xmlns:a16="http://schemas.microsoft.com/office/drawing/2014/main" id="{1014D7CC-D88F-4EC0-87B8-C850D0FF546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43" name="Text Box 909">
          <a:extLst>
            <a:ext uri="{FF2B5EF4-FFF2-40B4-BE49-F238E27FC236}">
              <a16:creationId xmlns:a16="http://schemas.microsoft.com/office/drawing/2014/main" id="{71D8B977-FB39-4E5A-9133-F01F809582DC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44" name="Text Box 910">
          <a:extLst>
            <a:ext uri="{FF2B5EF4-FFF2-40B4-BE49-F238E27FC236}">
              <a16:creationId xmlns:a16="http://schemas.microsoft.com/office/drawing/2014/main" id="{0EFD72C8-7188-4175-A684-5429F309949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45" name="Text Box 910">
          <a:extLst>
            <a:ext uri="{FF2B5EF4-FFF2-40B4-BE49-F238E27FC236}">
              <a16:creationId xmlns:a16="http://schemas.microsoft.com/office/drawing/2014/main" id="{C2D0230D-FE0C-403A-9D0D-0A1C97083E1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46" name="Text Box 910">
          <a:extLst>
            <a:ext uri="{FF2B5EF4-FFF2-40B4-BE49-F238E27FC236}">
              <a16:creationId xmlns:a16="http://schemas.microsoft.com/office/drawing/2014/main" id="{8D26A839-76A4-490F-B7C4-F02C6753600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47" name="Text Box 910">
          <a:extLst>
            <a:ext uri="{FF2B5EF4-FFF2-40B4-BE49-F238E27FC236}">
              <a16:creationId xmlns:a16="http://schemas.microsoft.com/office/drawing/2014/main" id="{6EA4A678-704C-42F5-835E-43348617EFC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48" name="Text Box 909">
          <a:extLst>
            <a:ext uri="{FF2B5EF4-FFF2-40B4-BE49-F238E27FC236}">
              <a16:creationId xmlns:a16="http://schemas.microsoft.com/office/drawing/2014/main" id="{1AADA353-53D6-463D-8DBE-85C87E1EEE52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49" name="Text Box 910">
          <a:extLst>
            <a:ext uri="{FF2B5EF4-FFF2-40B4-BE49-F238E27FC236}">
              <a16:creationId xmlns:a16="http://schemas.microsoft.com/office/drawing/2014/main" id="{2557EC62-EEAA-4974-A529-1D005C64AD1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50" name="Text Box 910">
          <a:extLst>
            <a:ext uri="{FF2B5EF4-FFF2-40B4-BE49-F238E27FC236}">
              <a16:creationId xmlns:a16="http://schemas.microsoft.com/office/drawing/2014/main" id="{03037B09-CB94-4321-9708-8AE737D4096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51" name="Text Box 910">
          <a:extLst>
            <a:ext uri="{FF2B5EF4-FFF2-40B4-BE49-F238E27FC236}">
              <a16:creationId xmlns:a16="http://schemas.microsoft.com/office/drawing/2014/main" id="{C4DD9A94-6F38-4BEE-9206-AAB2A199BD6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52" name="Text Box 910">
          <a:extLst>
            <a:ext uri="{FF2B5EF4-FFF2-40B4-BE49-F238E27FC236}">
              <a16:creationId xmlns:a16="http://schemas.microsoft.com/office/drawing/2014/main" id="{A524AEBF-BC2E-470C-A769-CE094194972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53" name="Text Box 909">
          <a:extLst>
            <a:ext uri="{FF2B5EF4-FFF2-40B4-BE49-F238E27FC236}">
              <a16:creationId xmlns:a16="http://schemas.microsoft.com/office/drawing/2014/main" id="{20317E66-FC31-4F4F-9C8E-0D78FE89E251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54" name="Text Box 910">
          <a:extLst>
            <a:ext uri="{FF2B5EF4-FFF2-40B4-BE49-F238E27FC236}">
              <a16:creationId xmlns:a16="http://schemas.microsoft.com/office/drawing/2014/main" id="{27CD7EC5-80FD-4BFF-8C44-2D4A4D33F53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55" name="Text Box 910">
          <a:extLst>
            <a:ext uri="{FF2B5EF4-FFF2-40B4-BE49-F238E27FC236}">
              <a16:creationId xmlns:a16="http://schemas.microsoft.com/office/drawing/2014/main" id="{08B288D9-D2CA-4E0D-92B6-BB8EB3DC67F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56" name="Text Box 910">
          <a:extLst>
            <a:ext uri="{FF2B5EF4-FFF2-40B4-BE49-F238E27FC236}">
              <a16:creationId xmlns:a16="http://schemas.microsoft.com/office/drawing/2014/main" id="{3491DF49-9712-471C-8913-A91C1144F39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57" name="Text Box 910">
          <a:extLst>
            <a:ext uri="{FF2B5EF4-FFF2-40B4-BE49-F238E27FC236}">
              <a16:creationId xmlns:a16="http://schemas.microsoft.com/office/drawing/2014/main" id="{BB5DBE56-AE91-4F05-947D-90D05E9E651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58" name="Text Box 909">
          <a:extLst>
            <a:ext uri="{FF2B5EF4-FFF2-40B4-BE49-F238E27FC236}">
              <a16:creationId xmlns:a16="http://schemas.microsoft.com/office/drawing/2014/main" id="{654FF220-4656-45DD-B206-12BA68B5518D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59" name="Text Box 910">
          <a:extLst>
            <a:ext uri="{FF2B5EF4-FFF2-40B4-BE49-F238E27FC236}">
              <a16:creationId xmlns:a16="http://schemas.microsoft.com/office/drawing/2014/main" id="{0E6E8A18-AF67-4840-B140-030E54F0049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60" name="Text Box 910">
          <a:extLst>
            <a:ext uri="{FF2B5EF4-FFF2-40B4-BE49-F238E27FC236}">
              <a16:creationId xmlns:a16="http://schemas.microsoft.com/office/drawing/2014/main" id="{9050A42B-8218-4714-89E1-68614D83D1A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61" name="Text Box 910">
          <a:extLst>
            <a:ext uri="{FF2B5EF4-FFF2-40B4-BE49-F238E27FC236}">
              <a16:creationId xmlns:a16="http://schemas.microsoft.com/office/drawing/2014/main" id="{CC302B03-AD95-44DA-9F85-FF8A3BBDF8C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62" name="Text Box 910">
          <a:extLst>
            <a:ext uri="{FF2B5EF4-FFF2-40B4-BE49-F238E27FC236}">
              <a16:creationId xmlns:a16="http://schemas.microsoft.com/office/drawing/2014/main" id="{2068BF2A-BD60-4916-9729-C3157E4AA39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63" name="Text Box 909">
          <a:extLst>
            <a:ext uri="{FF2B5EF4-FFF2-40B4-BE49-F238E27FC236}">
              <a16:creationId xmlns:a16="http://schemas.microsoft.com/office/drawing/2014/main" id="{54477A74-E97D-429D-8671-72F017427A3B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64" name="Text Box 910">
          <a:extLst>
            <a:ext uri="{FF2B5EF4-FFF2-40B4-BE49-F238E27FC236}">
              <a16:creationId xmlns:a16="http://schemas.microsoft.com/office/drawing/2014/main" id="{8830BC3E-71A9-42AC-8889-1EEC06C490C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65" name="Text Box 910">
          <a:extLst>
            <a:ext uri="{FF2B5EF4-FFF2-40B4-BE49-F238E27FC236}">
              <a16:creationId xmlns:a16="http://schemas.microsoft.com/office/drawing/2014/main" id="{F7B854B6-9090-4ACE-8EE1-DAA04692C83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66" name="Text Box 910">
          <a:extLst>
            <a:ext uri="{FF2B5EF4-FFF2-40B4-BE49-F238E27FC236}">
              <a16:creationId xmlns:a16="http://schemas.microsoft.com/office/drawing/2014/main" id="{FC62651B-5677-4178-96C8-1B05F78E2BF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67" name="Text Box 910">
          <a:extLst>
            <a:ext uri="{FF2B5EF4-FFF2-40B4-BE49-F238E27FC236}">
              <a16:creationId xmlns:a16="http://schemas.microsoft.com/office/drawing/2014/main" id="{46BE560D-0E22-4B30-A7C8-B4EBC51133C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68" name="Text Box 909">
          <a:extLst>
            <a:ext uri="{FF2B5EF4-FFF2-40B4-BE49-F238E27FC236}">
              <a16:creationId xmlns:a16="http://schemas.microsoft.com/office/drawing/2014/main" id="{F03AD98E-5557-415E-A1E4-D26A58CEE6CF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69" name="Text Box 910">
          <a:extLst>
            <a:ext uri="{FF2B5EF4-FFF2-40B4-BE49-F238E27FC236}">
              <a16:creationId xmlns:a16="http://schemas.microsoft.com/office/drawing/2014/main" id="{B3290795-6CDD-4465-8F6E-93903224C91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70" name="Text Box 910">
          <a:extLst>
            <a:ext uri="{FF2B5EF4-FFF2-40B4-BE49-F238E27FC236}">
              <a16:creationId xmlns:a16="http://schemas.microsoft.com/office/drawing/2014/main" id="{76B958E2-5E9C-4A36-AC3E-737C54B4014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71" name="Text Box 910">
          <a:extLst>
            <a:ext uri="{FF2B5EF4-FFF2-40B4-BE49-F238E27FC236}">
              <a16:creationId xmlns:a16="http://schemas.microsoft.com/office/drawing/2014/main" id="{97AFE435-6C50-4206-B0FF-9BE9AA2B5FB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72" name="Text Box 910">
          <a:extLst>
            <a:ext uri="{FF2B5EF4-FFF2-40B4-BE49-F238E27FC236}">
              <a16:creationId xmlns:a16="http://schemas.microsoft.com/office/drawing/2014/main" id="{031EFAE3-D22D-4BF5-AE6A-F91727984B5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73" name="Text Box 909">
          <a:extLst>
            <a:ext uri="{FF2B5EF4-FFF2-40B4-BE49-F238E27FC236}">
              <a16:creationId xmlns:a16="http://schemas.microsoft.com/office/drawing/2014/main" id="{0396134A-E0DB-4746-8670-9F41F5D74A93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74" name="Text Box 910">
          <a:extLst>
            <a:ext uri="{FF2B5EF4-FFF2-40B4-BE49-F238E27FC236}">
              <a16:creationId xmlns:a16="http://schemas.microsoft.com/office/drawing/2014/main" id="{181BFFD2-0444-48BF-A6F9-187E577063C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75" name="Text Box 910">
          <a:extLst>
            <a:ext uri="{FF2B5EF4-FFF2-40B4-BE49-F238E27FC236}">
              <a16:creationId xmlns:a16="http://schemas.microsoft.com/office/drawing/2014/main" id="{D2A01A30-DDAC-4B33-A0B5-0E0165A8FDE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76" name="Text Box 910">
          <a:extLst>
            <a:ext uri="{FF2B5EF4-FFF2-40B4-BE49-F238E27FC236}">
              <a16:creationId xmlns:a16="http://schemas.microsoft.com/office/drawing/2014/main" id="{3BEF76C6-CC70-4B98-851D-3CE1897B3CF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77" name="Text Box 910">
          <a:extLst>
            <a:ext uri="{FF2B5EF4-FFF2-40B4-BE49-F238E27FC236}">
              <a16:creationId xmlns:a16="http://schemas.microsoft.com/office/drawing/2014/main" id="{84E96D6C-34AA-4D1D-807C-5EC89683768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78" name="Text Box 909">
          <a:extLst>
            <a:ext uri="{FF2B5EF4-FFF2-40B4-BE49-F238E27FC236}">
              <a16:creationId xmlns:a16="http://schemas.microsoft.com/office/drawing/2014/main" id="{5EE6F616-DD49-4428-9FE7-CF720BC09EAC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79" name="Text Box 910">
          <a:extLst>
            <a:ext uri="{FF2B5EF4-FFF2-40B4-BE49-F238E27FC236}">
              <a16:creationId xmlns:a16="http://schemas.microsoft.com/office/drawing/2014/main" id="{42280FA7-427A-4A53-A952-9A99ECB371C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80" name="Text Box 910">
          <a:extLst>
            <a:ext uri="{FF2B5EF4-FFF2-40B4-BE49-F238E27FC236}">
              <a16:creationId xmlns:a16="http://schemas.microsoft.com/office/drawing/2014/main" id="{090BF739-5BAE-4848-A46F-EEF2A9D2283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81" name="Text Box 910">
          <a:extLst>
            <a:ext uri="{FF2B5EF4-FFF2-40B4-BE49-F238E27FC236}">
              <a16:creationId xmlns:a16="http://schemas.microsoft.com/office/drawing/2014/main" id="{99D48D41-7AD8-40B1-B0C7-2A8DAB8F14E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82" name="Text Box 910">
          <a:extLst>
            <a:ext uri="{FF2B5EF4-FFF2-40B4-BE49-F238E27FC236}">
              <a16:creationId xmlns:a16="http://schemas.microsoft.com/office/drawing/2014/main" id="{68DCBD4C-8B00-4BF1-83CE-A8456C7891A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83" name="Text Box 909">
          <a:extLst>
            <a:ext uri="{FF2B5EF4-FFF2-40B4-BE49-F238E27FC236}">
              <a16:creationId xmlns:a16="http://schemas.microsoft.com/office/drawing/2014/main" id="{7E8ABC47-3EDD-45B6-BB68-4723A60B92E6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84" name="Text Box 910">
          <a:extLst>
            <a:ext uri="{FF2B5EF4-FFF2-40B4-BE49-F238E27FC236}">
              <a16:creationId xmlns:a16="http://schemas.microsoft.com/office/drawing/2014/main" id="{78BBE33C-2549-456A-97F3-FB04E3AB215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85" name="Text Box 910">
          <a:extLst>
            <a:ext uri="{FF2B5EF4-FFF2-40B4-BE49-F238E27FC236}">
              <a16:creationId xmlns:a16="http://schemas.microsoft.com/office/drawing/2014/main" id="{B496507D-F8F2-48CC-9870-9D49C7DE7C8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86" name="Text Box 910">
          <a:extLst>
            <a:ext uri="{FF2B5EF4-FFF2-40B4-BE49-F238E27FC236}">
              <a16:creationId xmlns:a16="http://schemas.microsoft.com/office/drawing/2014/main" id="{31160CDB-AC6B-44C5-8CD5-C090D00BFB1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87" name="Text Box 910">
          <a:extLst>
            <a:ext uri="{FF2B5EF4-FFF2-40B4-BE49-F238E27FC236}">
              <a16:creationId xmlns:a16="http://schemas.microsoft.com/office/drawing/2014/main" id="{131C6B27-E14B-411C-888C-CBEFE5B08D2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88" name="Text Box 909">
          <a:extLst>
            <a:ext uri="{FF2B5EF4-FFF2-40B4-BE49-F238E27FC236}">
              <a16:creationId xmlns:a16="http://schemas.microsoft.com/office/drawing/2014/main" id="{EC4F5B36-C4A1-401C-BC17-B064F916B137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89" name="Text Box 910">
          <a:extLst>
            <a:ext uri="{FF2B5EF4-FFF2-40B4-BE49-F238E27FC236}">
              <a16:creationId xmlns:a16="http://schemas.microsoft.com/office/drawing/2014/main" id="{73818AD2-7F7B-459C-B2FF-5EC75071C6B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90" name="Text Box 910">
          <a:extLst>
            <a:ext uri="{FF2B5EF4-FFF2-40B4-BE49-F238E27FC236}">
              <a16:creationId xmlns:a16="http://schemas.microsoft.com/office/drawing/2014/main" id="{9074461B-D435-483F-BD4B-18157E60EB2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91" name="Text Box 910">
          <a:extLst>
            <a:ext uri="{FF2B5EF4-FFF2-40B4-BE49-F238E27FC236}">
              <a16:creationId xmlns:a16="http://schemas.microsoft.com/office/drawing/2014/main" id="{1B1E443E-7669-4165-8E81-7BA77E36BA7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92" name="Text Box 910">
          <a:extLst>
            <a:ext uri="{FF2B5EF4-FFF2-40B4-BE49-F238E27FC236}">
              <a16:creationId xmlns:a16="http://schemas.microsoft.com/office/drawing/2014/main" id="{41427F6F-E748-43FF-8419-D78181F59D6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93" name="Text Box 909">
          <a:extLst>
            <a:ext uri="{FF2B5EF4-FFF2-40B4-BE49-F238E27FC236}">
              <a16:creationId xmlns:a16="http://schemas.microsoft.com/office/drawing/2014/main" id="{3082E9CC-8AF1-4500-B806-4DB9AE62A698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94" name="Text Box 910">
          <a:extLst>
            <a:ext uri="{FF2B5EF4-FFF2-40B4-BE49-F238E27FC236}">
              <a16:creationId xmlns:a16="http://schemas.microsoft.com/office/drawing/2014/main" id="{9FBF6E01-D614-4F1F-92ED-6BA70243A37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95" name="Text Box 910">
          <a:extLst>
            <a:ext uri="{FF2B5EF4-FFF2-40B4-BE49-F238E27FC236}">
              <a16:creationId xmlns:a16="http://schemas.microsoft.com/office/drawing/2014/main" id="{7EC1F45B-5723-460A-8873-4A7F61F80AE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96" name="Text Box 910">
          <a:extLst>
            <a:ext uri="{FF2B5EF4-FFF2-40B4-BE49-F238E27FC236}">
              <a16:creationId xmlns:a16="http://schemas.microsoft.com/office/drawing/2014/main" id="{9FC5E597-9362-407D-A878-4370ECB052C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97" name="Text Box 910">
          <a:extLst>
            <a:ext uri="{FF2B5EF4-FFF2-40B4-BE49-F238E27FC236}">
              <a16:creationId xmlns:a16="http://schemas.microsoft.com/office/drawing/2014/main" id="{B72466CD-01E1-4C96-8336-D87097C6371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33</xdr:row>
      <xdr:rowOff>38100</xdr:rowOff>
    </xdr:from>
    <xdr:to>
      <xdr:col>32</xdr:col>
      <xdr:colOff>142875</xdr:colOff>
      <xdr:row>34</xdr:row>
      <xdr:rowOff>47625</xdr:rowOff>
    </xdr:to>
    <xdr:sp macro="" textlink="">
      <xdr:nvSpPr>
        <xdr:cNvPr id="1498" name="Text Box 909">
          <a:extLst>
            <a:ext uri="{FF2B5EF4-FFF2-40B4-BE49-F238E27FC236}">
              <a16:creationId xmlns:a16="http://schemas.microsoft.com/office/drawing/2014/main" id="{EF95AC5C-5918-4175-A5A3-869BF0276345}"/>
            </a:ext>
          </a:extLst>
        </xdr:cNvPr>
        <xdr:cNvSpPr txBox="1">
          <a:spLocks noChangeArrowheads="1"/>
        </xdr:cNvSpPr>
      </xdr:nvSpPr>
      <xdr:spPr bwMode="auto">
        <a:xfrm>
          <a:off x="4000500" y="32194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499" name="Text Box 910">
          <a:extLst>
            <a:ext uri="{FF2B5EF4-FFF2-40B4-BE49-F238E27FC236}">
              <a16:creationId xmlns:a16="http://schemas.microsoft.com/office/drawing/2014/main" id="{695D6FD1-76C2-49DB-BA99-E77BFED1B2E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0" name="Text Box 910">
          <a:extLst>
            <a:ext uri="{FF2B5EF4-FFF2-40B4-BE49-F238E27FC236}">
              <a16:creationId xmlns:a16="http://schemas.microsoft.com/office/drawing/2014/main" id="{91617943-3277-4698-B588-0EA6D3F2DC9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1" name="Text Box 910">
          <a:extLst>
            <a:ext uri="{FF2B5EF4-FFF2-40B4-BE49-F238E27FC236}">
              <a16:creationId xmlns:a16="http://schemas.microsoft.com/office/drawing/2014/main" id="{AEEB197B-8944-404A-8ABA-3B52C98E165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2" name="Text Box 910">
          <a:extLst>
            <a:ext uri="{FF2B5EF4-FFF2-40B4-BE49-F238E27FC236}">
              <a16:creationId xmlns:a16="http://schemas.microsoft.com/office/drawing/2014/main" id="{7B3D76B6-B904-42FA-A94E-1BDF822C217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3" name="Text Box 910">
          <a:extLst>
            <a:ext uri="{FF2B5EF4-FFF2-40B4-BE49-F238E27FC236}">
              <a16:creationId xmlns:a16="http://schemas.microsoft.com/office/drawing/2014/main" id="{02573457-84D1-4599-8C10-8FD79D0D4DE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4" name="Text Box 910">
          <a:extLst>
            <a:ext uri="{FF2B5EF4-FFF2-40B4-BE49-F238E27FC236}">
              <a16:creationId xmlns:a16="http://schemas.microsoft.com/office/drawing/2014/main" id="{CA2F2D2E-C403-4C96-AE65-98235107A4A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5" name="Text Box 910">
          <a:extLst>
            <a:ext uri="{FF2B5EF4-FFF2-40B4-BE49-F238E27FC236}">
              <a16:creationId xmlns:a16="http://schemas.microsoft.com/office/drawing/2014/main" id="{134F4ED0-07EC-422A-9DDC-F30A591C9FF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6" name="Text Box 910">
          <a:extLst>
            <a:ext uri="{FF2B5EF4-FFF2-40B4-BE49-F238E27FC236}">
              <a16:creationId xmlns:a16="http://schemas.microsoft.com/office/drawing/2014/main" id="{38292C65-08D0-44CE-B09A-6C9F63E3091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7" name="Text Box 910">
          <a:extLst>
            <a:ext uri="{FF2B5EF4-FFF2-40B4-BE49-F238E27FC236}">
              <a16:creationId xmlns:a16="http://schemas.microsoft.com/office/drawing/2014/main" id="{C00E26D3-7F51-48C0-B6B8-0A56E5B3B29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8" name="Text Box 910">
          <a:extLst>
            <a:ext uri="{FF2B5EF4-FFF2-40B4-BE49-F238E27FC236}">
              <a16:creationId xmlns:a16="http://schemas.microsoft.com/office/drawing/2014/main" id="{F68FFA49-7ACC-414C-A673-2DB4AD870B9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09" name="Text Box 910">
          <a:extLst>
            <a:ext uri="{FF2B5EF4-FFF2-40B4-BE49-F238E27FC236}">
              <a16:creationId xmlns:a16="http://schemas.microsoft.com/office/drawing/2014/main" id="{6B53BC2B-D1FB-47AB-BFE1-9534ADF9FE4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0" name="Text Box 910">
          <a:extLst>
            <a:ext uri="{FF2B5EF4-FFF2-40B4-BE49-F238E27FC236}">
              <a16:creationId xmlns:a16="http://schemas.microsoft.com/office/drawing/2014/main" id="{9961B167-6A66-4DE0-A731-D953A0CE7BD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1" name="Text Box 910">
          <a:extLst>
            <a:ext uri="{FF2B5EF4-FFF2-40B4-BE49-F238E27FC236}">
              <a16:creationId xmlns:a16="http://schemas.microsoft.com/office/drawing/2014/main" id="{F0C5B93C-41C6-4B41-80ED-69FCC1C51CC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2" name="Text Box 910">
          <a:extLst>
            <a:ext uri="{FF2B5EF4-FFF2-40B4-BE49-F238E27FC236}">
              <a16:creationId xmlns:a16="http://schemas.microsoft.com/office/drawing/2014/main" id="{626346AC-1DAE-443D-850E-08772B7F9A9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3" name="Text Box 910">
          <a:extLst>
            <a:ext uri="{FF2B5EF4-FFF2-40B4-BE49-F238E27FC236}">
              <a16:creationId xmlns:a16="http://schemas.microsoft.com/office/drawing/2014/main" id="{4CBA3E05-3BB4-4EAA-A499-81BD1DA5042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4" name="Text Box 910">
          <a:extLst>
            <a:ext uri="{FF2B5EF4-FFF2-40B4-BE49-F238E27FC236}">
              <a16:creationId xmlns:a16="http://schemas.microsoft.com/office/drawing/2014/main" id="{BA46CC74-E425-43A6-8120-0A73674A08B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5" name="Text Box 910">
          <a:extLst>
            <a:ext uri="{FF2B5EF4-FFF2-40B4-BE49-F238E27FC236}">
              <a16:creationId xmlns:a16="http://schemas.microsoft.com/office/drawing/2014/main" id="{79498A0C-8ADB-4194-B5AB-48BD51F417A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6" name="Text Box 910">
          <a:extLst>
            <a:ext uri="{FF2B5EF4-FFF2-40B4-BE49-F238E27FC236}">
              <a16:creationId xmlns:a16="http://schemas.microsoft.com/office/drawing/2014/main" id="{6476BF63-F3E8-47B7-8BC7-4BA6AFAC603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7" name="Text Box 910">
          <a:extLst>
            <a:ext uri="{FF2B5EF4-FFF2-40B4-BE49-F238E27FC236}">
              <a16:creationId xmlns:a16="http://schemas.microsoft.com/office/drawing/2014/main" id="{2934BCC0-97E9-4B68-B220-58D72F5EBE1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8" name="Text Box 910">
          <a:extLst>
            <a:ext uri="{FF2B5EF4-FFF2-40B4-BE49-F238E27FC236}">
              <a16:creationId xmlns:a16="http://schemas.microsoft.com/office/drawing/2014/main" id="{FFD7A09C-4E76-4859-8FFC-810E8C11B00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19" name="Text Box 910">
          <a:extLst>
            <a:ext uri="{FF2B5EF4-FFF2-40B4-BE49-F238E27FC236}">
              <a16:creationId xmlns:a16="http://schemas.microsoft.com/office/drawing/2014/main" id="{DF7F02DA-BD22-4984-8477-A1D17DA8B3E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0" name="Text Box 910">
          <a:extLst>
            <a:ext uri="{FF2B5EF4-FFF2-40B4-BE49-F238E27FC236}">
              <a16:creationId xmlns:a16="http://schemas.microsoft.com/office/drawing/2014/main" id="{A4E54C2C-2FEE-417A-AC82-0E41F8BA7FF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1" name="Text Box 910">
          <a:extLst>
            <a:ext uri="{FF2B5EF4-FFF2-40B4-BE49-F238E27FC236}">
              <a16:creationId xmlns:a16="http://schemas.microsoft.com/office/drawing/2014/main" id="{BBF9AD34-E1B7-4E94-92EE-8800C8A6A6F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2" name="Text Box 910">
          <a:extLst>
            <a:ext uri="{FF2B5EF4-FFF2-40B4-BE49-F238E27FC236}">
              <a16:creationId xmlns:a16="http://schemas.microsoft.com/office/drawing/2014/main" id="{E70CCFD6-BFC4-40FB-BCDF-1EEEA6BE1E8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3" name="Text Box 910">
          <a:extLst>
            <a:ext uri="{FF2B5EF4-FFF2-40B4-BE49-F238E27FC236}">
              <a16:creationId xmlns:a16="http://schemas.microsoft.com/office/drawing/2014/main" id="{571874C6-1F83-4360-B76C-FB6762A4FEC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4" name="Text Box 910">
          <a:extLst>
            <a:ext uri="{FF2B5EF4-FFF2-40B4-BE49-F238E27FC236}">
              <a16:creationId xmlns:a16="http://schemas.microsoft.com/office/drawing/2014/main" id="{A186894D-AEE4-407E-ADA1-39B412CBC98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5" name="Text Box 910">
          <a:extLst>
            <a:ext uri="{FF2B5EF4-FFF2-40B4-BE49-F238E27FC236}">
              <a16:creationId xmlns:a16="http://schemas.microsoft.com/office/drawing/2014/main" id="{AD9CD4C9-F9CD-48CE-A013-EFF0224D147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6" name="Text Box 910">
          <a:extLst>
            <a:ext uri="{FF2B5EF4-FFF2-40B4-BE49-F238E27FC236}">
              <a16:creationId xmlns:a16="http://schemas.microsoft.com/office/drawing/2014/main" id="{6B8F651F-445C-4AF8-A0C7-456696E69BC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7" name="Text Box 910">
          <a:extLst>
            <a:ext uri="{FF2B5EF4-FFF2-40B4-BE49-F238E27FC236}">
              <a16:creationId xmlns:a16="http://schemas.microsoft.com/office/drawing/2014/main" id="{EE536595-5BA7-4822-87F2-C2B14D45DFE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8" name="Text Box 910">
          <a:extLst>
            <a:ext uri="{FF2B5EF4-FFF2-40B4-BE49-F238E27FC236}">
              <a16:creationId xmlns:a16="http://schemas.microsoft.com/office/drawing/2014/main" id="{6E6D92C5-1FBA-4845-A474-8E5FDEAA957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29" name="Text Box 910">
          <a:extLst>
            <a:ext uri="{FF2B5EF4-FFF2-40B4-BE49-F238E27FC236}">
              <a16:creationId xmlns:a16="http://schemas.microsoft.com/office/drawing/2014/main" id="{B4CF731B-1AB2-41A7-87C9-DD9F8F00ED4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0" name="Text Box 910">
          <a:extLst>
            <a:ext uri="{FF2B5EF4-FFF2-40B4-BE49-F238E27FC236}">
              <a16:creationId xmlns:a16="http://schemas.microsoft.com/office/drawing/2014/main" id="{5B7F644D-49D9-4A49-AC06-71522882A17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1" name="Text Box 910">
          <a:extLst>
            <a:ext uri="{FF2B5EF4-FFF2-40B4-BE49-F238E27FC236}">
              <a16:creationId xmlns:a16="http://schemas.microsoft.com/office/drawing/2014/main" id="{B7A2FA80-4111-4592-810D-A6C46C8CADB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2" name="Text Box 910">
          <a:extLst>
            <a:ext uri="{FF2B5EF4-FFF2-40B4-BE49-F238E27FC236}">
              <a16:creationId xmlns:a16="http://schemas.microsoft.com/office/drawing/2014/main" id="{91AE0B1F-B299-4B48-9AA5-DAD5C2514E0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3" name="Text Box 910">
          <a:extLst>
            <a:ext uri="{FF2B5EF4-FFF2-40B4-BE49-F238E27FC236}">
              <a16:creationId xmlns:a16="http://schemas.microsoft.com/office/drawing/2014/main" id="{0F405C8D-B34C-4169-8C3F-8C7B19E9DF4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4" name="Text Box 910">
          <a:extLst>
            <a:ext uri="{FF2B5EF4-FFF2-40B4-BE49-F238E27FC236}">
              <a16:creationId xmlns:a16="http://schemas.microsoft.com/office/drawing/2014/main" id="{EA55BDB0-6E29-485E-85E3-FADC8AE2242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5" name="Text Box 910">
          <a:extLst>
            <a:ext uri="{FF2B5EF4-FFF2-40B4-BE49-F238E27FC236}">
              <a16:creationId xmlns:a16="http://schemas.microsoft.com/office/drawing/2014/main" id="{EF9226EF-1805-40AF-95CF-3D23FC5281C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6" name="Text Box 910">
          <a:extLst>
            <a:ext uri="{FF2B5EF4-FFF2-40B4-BE49-F238E27FC236}">
              <a16:creationId xmlns:a16="http://schemas.microsoft.com/office/drawing/2014/main" id="{B752275C-C6BC-40F0-9EE0-16B68E193F0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7" name="Text Box 910">
          <a:extLst>
            <a:ext uri="{FF2B5EF4-FFF2-40B4-BE49-F238E27FC236}">
              <a16:creationId xmlns:a16="http://schemas.microsoft.com/office/drawing/2014/main" id="{B8089E46-4568-44ED-9DC7-AA5B6865F00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8" name="Text Box 910">
          <a:extLst>
            <a:ext uri="{FF2B5EF4-FFF2-40B4-BE49-F238E27FC236}">
              <a16:creationId xmlns:a16="http://schemas.microsoft.com/office/drawing/2014/main" id="{8A344061-0FD8-41EB-91B9-1785FD9C54C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39" name="Text Box 910">
          <a:extLst>
            <a:ext uri="{FF2B5EF4-FFF2-40B4-BE49-F238E27FC236}">
              <a16:creationId xmlns:a16="http://schemas.microsoft.com/office/drawing/2014/main" id="{61E010A9-8DEA-4519-9E27-BC605389D19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0" name="Text Box 910">
          <a:extLst>
            <a:ext uri="{FF2B5EF4-FFF2-40B4-BE49-F238E27FC236}">
              <a16:creationId xmlns:a16="http://schemas.microsoft.com/office/drawing/2014/main" id="{A2A949E2-377A-4D7B-BC74-411B4B912D5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1" name="Text Box 910">
          <a:extLst>
            <a:ext uri="{FF2B5EF4-FFF2-40B4-BE49-F238E27FC236}">
              <a16:creationId xmlns:a16="http://schemas.microsoft.com/office/drawing/2014/main" id="{F294ADCB-A3B1-493E-8D70-74E40E6D046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2" name="Text Box 910">
          <a:extLst>
            <a:ext uri="{FF2B5EF4-FFF2-40B4-BE49-F238E27FC236}">
              <a16:creationId xmlns:a16="http://schemas.microsoft.com/office/drawing/2014/main" id="{B3389FBB-F73B-4D90-95FD-9D74B59E070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3" name="Text Box 910">
          <a:extLst>
            <a:ext uri="{FF2B5EF4-FFF2-40B4-BE49-F238E27FC236}">
              <a16:creationId xmlns:a16="http://schemas.microsoft.com/office/drawing/2014/main" id="{B0EE90A5-5A7B-4E88-82BC-AE45E1B7317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4" name="Text Box 910">
          <a:extLst>
            <a:ext uri="{FF2B5EF4-FFF2-40B4-BE49-F238E27FC236}">
              <a16:creationId xmlns:a16="http://schemas.microsoft.com/office/drawing/2014/main" id="{AE721EA3-7FAB-4BC4-93FD-4B11F4FE4A0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5" name="Text Box 910">
          <a:extLst>
            <a:ext uri="{FF2B5EF4-FFF2-40B4-BE49-F238E27FC236}">
              <a16:creationId xmlns:a16="http://schemas.microsoft.com/office/drawing/2014/main" id="{245D6206-496C-4699-B221-8B76B02A447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6" name="Text Box 910">
          <a:extLst>
            <a:ext uri="{FF2B5EF4-FFF2-40B4-BE49-F238E27FC236}">
              <a16:creationId xmlns:a16="http://schemas.microsoft.com/office/drawing/2014/main" id="{6621BDCD-FEEB-4D03-A447-3AB15952A5B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7" name="Text Box 910">
          <a:extLst>
            <a:ext uri="{FF2B5EF4-FFF2-40B4-BE49-F238E27FC236}">
              <a16:creationId xmlns:a16="http://schemas.microsoft.com/office/drawing/2014/main" id="{AEAB29B1-758B-4C8C-BFBC-F66C9233B3A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8" name="Text Box 910">
          <a:extLst>
            <a:ext uri="{FF2B5EF4-FFF2-40B4-BE49-F238E27FC236}">
              <a16:creationId xmlns:a16="http://schemas.microsoft.com/office/drawing/2014/main" id="{DB8570A3-99FC-4ED4-9728-9F2EEDFCB5F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49" name="Text Box 910">
          <a:extLst>
            <a:ext uri="{FF2B5EF4-FFF2-40B4-BE49-F238E27FC236}">
              <a16:creationId xmlns:a16="http://schemas.microsoft.com/office/drawing/2014/main" id="{2542A542-7006-479F-A530-B68A5EBC52E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0" name="Text Box 910">
          <a:extLst>
            <a:ext uri="{FF2B5EF4-FFF2-40B4-BE49-F238E27FC236}">
              <a16:creationId xmlns:a16="http://schemas.microsoft.com/office/drawing/2014/main" id="{0C6AF0A2-3E98-43A4-9A66-91464C9DAC8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1" name="Text Box 910">
          <a:extLst>
            <a:ext uri="{FF2B5EF4-FFF2-40B4-BE49-F238E27FC236}">
              <a16:creationId xmlns:a16="http://schemas.microsoft.com/office/drawing/2014/main" id="{CF912B9D-E6DF-4AA8-BCF8-1A3C5E810FA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2" name="Text Box 910">
          <a:extLst>
            <a:ext uri="{FF2B5EF4-FFF2-40B4-BE49-F238E27FC236}">
              <a16:creationId xmlns:a16="http://schemas.microsoft.com/office/drawing/2014/main" id="{BB6ED05D-F8B4-4DEB-B936-A060D208543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3" name="Text Box 910">
          <a:extLst>
            <a:ext uri="{FF2B5EF4-FFF2-40B4-BE49-F238E27FC236}">
              <a16:creationId xmlns:a16="http://schemas.microsoft.com/office/drawing/2014/main" id="{21006331-4890-49A8-82F0-E184CB3C835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4" name="Text Box 910">
          <a:extLst>
            <a:ext uri="{FF2B5EF4-FFF2-40B4-BE49-F238E27FC236}">
              <a16:creationId xmlns:a16="http://schemas.microsoft.com/office/drawing/2014/main" id="{9A305DC1-708C-478E-8094-42327ACD911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5" name="Text Box 910">
          <a:extLst>
            <a:ext uri="{FF2B5EF4-FFF2-40B4-BE49-F238E27FC236}">
              <a16:creationId xmlns:a16="http://schemas.microsoft.com/office/drawing/2014/main" id="{0736F7A2-68DF-4606-BAE4-A2D9A5D1111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6" name="Text Box 910">
          <a:extLst>
            <a:ext uri="{FF2B5EF4-FFF2-40B4-BE49-F238E27FC236}">
              <a16:creationId xmlns:a16="http://schemas.microsoft.com/office/drawing/2014/main" id="{61F94A46-D115-4C77-9997-F969388B899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7" name="Text Box 910">
          <a:extLst>
            <a:ext uri="{FF2B5EF4-FFF2-40B4-BE49-F238E27FC236}">
              <a16:creationId xmlns:a16="http://schemas.microsoft.com/office/drawing/2014/main" id="{5CA77665-86D2-41B7-8880-4A728E912CD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8" name="Text Box 910">
          <a:extLst>
            <a:ext uri="{FF2B5EF4-FFF2-40B4-BE49-F238E27FC236}">
              <a16:creationId xmlns:a16="http://schemas.microsoft.com/office/drawing/2014/main" id="{353D7B5F-D2A6-40A2-AAD7-C90D597198D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59" name="Text Box 910">
          <a:extLst>
            <a:ext uri="{FF2B5EF4-FFF2-40B4-BE49-F238E27FC236}">
              <a16:creationId xmlns:a16="http://schemas.microsoft.com/office/drawing/2014/main" id="{7A8D593B-6C0A-466C-9579-CA2C45037CC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0" name="Text Box 910">
          <a:extLst>
            <a:ext uri="{FF2B5EF4-FFF2-40B4-BE49-F238E27FC236}">
              <a16:creationId xmlns:a16="http://schemas.microsoft.com/office/drawing/2014/main" id="{D25CEC58-2406-4492-B19A-D1E4B571E4C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1" name="Text Box 910">
          <a:extLst>
            <a:ext uri="{FF2B5EF4-FFF2-40B4-BE49-F238E27FC236}">
              <a16:creationId xmlns:a16="http://schemas.microsoft.com/office/drawing/2014/main" id="{0AF7E5BD-04B8-405F-B74A-7A35378BCA9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2" name="Text Box 910">
          <a:extLst>
            <a:ext uri="{FF2B5EF4-FFF2-40B4-BE49-F238E27FC236}">
              <a16:creationId xmlns:a16="http://schemas.microsoft.com/office/drawing/2014/main" id="{5E93533C-DF90-4467-B6F0-3F52DF21533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3" name="Text Box 910">
          <a:extLst>
            <a:ext uri="{FF2B5EF4-FFF2-40B4-BE49-F238E27FC236}">
              <a16:creationId xmlns:a16="http://schemas.microsoft.com/office/drawing/2014/main" id="{F2FD4678-09EE-4AB0-A58B-275516F7C17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4" name="Text Box 910">
          <a:extLst>
            <a:ext uri="{FF2B5EF4-FFF2-40B4-BE49-F238E27FC236}">
              <a16:creationId xmlns:a16="http://schemas.microsoft.com/office/drawing/2014/main" id="{679CFA46-52BE-42D5-8539-7E6885D220D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5" name="Text Box 910">
          <a:extLst>
            <a:ext uri="{FF2B5EF4-FFF2-40B4-BE49-F238E27FC236}">
              <a16:creationId xmlns:a16="http://schemas.microsoft.com/office/drawing/2014/main" id="{F11C3B0A-2995-413F-A366-017BBD9B81B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6" name="Text Box 910">
          <a:extLst>
            <a:ext uri="{FF2B5EF4-FFF2-40B4-BE49-F238E27FC236}">
              <a16:creationId xmlns:a16="http://schemas.microsoft.com/office/drawing/2014/main" id="{B24127A1-E372-49E8-A7CF-266838B09A8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7" name="Text Box 910">
          <a:extLst>
            <a:ext uri="{FF2B5EF4-FFF2-40B4-BE49-F238E27FC236}">
              <a16:creationId xmlns:a16="http://schemas.microsoft.com/office/drawing/2014/main" id="{4F03483B-EED7-4BAD-A894-077322619B8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8" name="Text Box 910">
          <a:extLst>
            <a:ext uri="{FF2B5EF4-FFF2-40B4-BE49-F238E27FC236}">
              <a16:creationId xmlns:a16="http://schemas.microsoft.com/office/drawing/2014/main" id="{266B738A-06CC-412F-958F-4B13CA70505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69" name="Text Box 910">
          <a:extLst>
            <a:ext uri="{FF2B5EF4-FFF2-40B4-BE49-F238E27FC236}">
              <a16:creationId xmlns:a16="http://schemas.microsoft.com/office/drawing/2014/main" id="{BE4F98A4-425A-4CA2-A77C-762EEA2B62D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0" name="Text Box 910">
          <a:extLst>
            <a:ext uri="{FF2B5EF4-FFF2-40B4-BE49-F238E27FC236}">
              <a16:creationId xmlns:a16="http://schemas.microsoft.com/office/drawing/2014/main" id="{F15E46B6-8D05-4B7E-AFF6-32B5BD047C5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1" name="Text Box 910">
          <a:extLst>
            <a:ext uri="{FF2B5EF4-FFF2-40B4-BE49-F238E27FC236}">
              <a16:creationId xmlns:a16="http://schemas.microsoft.com/office/drawing/2014/main" id="{DCD8FD0E-5552-4AEC-9EB7-910A45AECA1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2" name="Text Box 910">
          <a:extLst>
            <a:ext uri="{FF2B5EF4-FFF2-40B4-BE49-F238E27FC236}">
              <a16:creationId xmlns:a16="http://schemas.microsoft.com/office/drawing/2014/main" id="{1A223C4F-8586-41F0-AE80-63E0755D301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3" name="Text Box 910">
          <a:extLst>
            <a:ext uri="{FF2B5EF4-FFF2-40B4-BE49-F238E27FC236}">
              <a16:creationId xmlns:a16="http://schemas.microsoft.com/office/drawing/2014/main" id="{651F0F2A-376F-4961-BF37-D57872C47E2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4" name="Text Box 910">
          <a:extLst>
            <a:ext uri="{FF2B5EF4-FFF2-40B4-BE49-F238E27FC236}">
              <a16:creationId xmlns:a16="http://schemas.microsoft.com/office/drawing/2014/main" id="{74E6D356-6C02-4F14-8E26-4B4AB331568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5" name="Text Box 910">
          <a:extLst>
            <a:ext uri="{FF2B5EF4-FFF2-40B4-BE49-F238E27FC236}">
              <a16:creationId xmlns:a16="http://schemas.microsoft.com/office/drawing/2014/main" id="{B78E7865-1C25-4CA6-B4BB-B4FA4FB0996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6" name="Text Box 910">
          <a:extLst>
            <a:ext uri="{FF2B5EF4-FFF2-40B4-BE49-F238E27FC236}">
              <a16:creationId xmlns:a16="http://schemas.microsoft.com/office/drawing/2014/main" id="{B2B97436-4E64-4A44-B78A-EE71B6BEF87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7" name="Text Box 910">
          <a:extLst>
            <a:ext uri="{FF2B5EF4-FFF2-40B4-BE49-F238E27FC236}">
              <a16:creationId xmlns:a16="http://schemas.microsoft.com/office/drawing/2014/main" id="{0AC25ADE-7744-4E78-8ECF-C8AF60A9272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8" name="Text Box 910">
          <a:extLst>
            <a:ext uri="{FF2B5EF4-FFF2-40B4-BE49-F238E27FC236}">
              <a16:creationId xmlns:a16="http://schemas.microsoft.com/office/drawing/2014/main" id="{A0A10CDF-13A1-410C-8340-11EE9206E8A2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79" name="Text Box 910">
          <a:extLst>
            <a:ext uri="{FF2B5EF4-FFF2-40B4-BE49-F238E27FC236}">
              <a16:creationId xmlns:a16="http://schemas.microsoft.com/office/drawing/2014/main" id="{8105F3B9-ED3F-4E1A-BC64-6FB592D7D40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0" name="Text Box 910">
          <a:extLst>
            <a:ext uri="{FF2B5EF4-FFF2-40B4-BE49-F238E27FC236}">
              <a16:creationId xmlns:a16="http://schemas.microsoft.com/office/drawing/2014/main" id="{BB48FAD0-4E73-4D73-9E68-0305F6FD72B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1" name="Text Box 910">
          <a:extLst>
            <a:ext uri="{FF2B5EF4-FFF2-40B4-BE49-F238E27FC236}">
              <a16:creationId xmlns:a16="http://schemas.microsoft.com/office/drawing/2014/main" id="{5A1FA0EB-D4F7-4624-B271-12887852043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2" name="Text Box 910">
          <a:extLst>
            <a:ext uri="{FF2B5EF4-FFF2-40B4-BE49-F238E27FC236}">
              <a16:creationId xmlns:a16="http://schemas.microsoft.com/office/drawing/2014/main" id="{39FE3E32-A7BE-4477-A058-EDE1DC48DFD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3" name="Text Box 910">
          <a:extLst>
            <a:ext uri="{FF2B5EF4-FFF2-40B4-BE49-F238E27FC236}">
              <a16:creationId xmlns:a16="http://schemas.microsoft.com/office/drawing/2014/main" id="{9041CA5C-3E48-4415-9FC1-0229323953D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4" name="Text Box 910">
          <a:extLst>
            <a:ext uri="{FF2B5EF4-FFF2-40B4-BE49-F238E27FC236}">
              <a16:creationId xmlns:a16="http://schemas.microsoft.com/office/drawing/2014/main" id="{E5D12B27-6908-4CCC-AA37-4051A7091B5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5" name="Text Box 910">
          <a:extLst>
            <a:ext uri="{FF2B5EF4-FFF2-40B4-BE49-F238E27FC236}">
              <a16:creationId xmlns:a16="http://schemas.microsoft.com/office/drawing/2014/main" id="{992E2B3A-1E99-4E20-BBBF-C55729AAC41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6" name="Text Box 910">
          <a:extLst>
            <a:ext uri="{FF2B5EF4-FFF2-40B4-BE49-F238E27FC236}">
              <a16:creationId xmlns:a16="http://schemas.microsoft.com/office/drawing/2014/main" id="{B96524E1-904C-48FE-B0EF-CB571A9969F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7" name="Text Box 910">
          <a:extLst>
            <a:ext uri="{FF2B5EF4-FFF2-40B4-BE49-F238E27FC236}">
              <a16:creationId xmlns:a16="http://schemas.microsoft.com/office/drawing/2014/main" id="{4C027988-BBA4-47E1-91A7-F9985B590DD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8" name="Text Box 910">
          <a:extLst>
            <a:ext uri="{FF2B5EF4-FFF2-40B4-BE49-F238E27FC236}">
              <a16:creationId xmlns:a16="http://schemas.microsoft.com/office/drawing/2014/main" id="{38D7EE82-DE3C-419D-B233-9EB48D6C89C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89" name="Text Box 910">
          <a:extLst>
            <a:ext uri="{FF2B5EF4-FFF2-40B4-BE49-F238E27FC236}">
              <a16:creationId xmlns:a16="http://schemas.microsoft.com/office/drawing/2014/main" id="{8DD1EFBC-6911-4A82-90FA-08A294825B3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0" name="Text Box 910">
          <a:extLst>
            <a:ext uri="{FF2B5EF4-FFF2-40B4-BE49-F238E27FC236}">
              <a16:creationId xmlns:a16="http://schemas.microsoft.com/office/drawing/2014/main" id="{362FAE7D-22A6-460C-A57A-1A80303B468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1" name="Text Box 910">
          <a:extLst>
            <a:ext uri="{FF2B5EF4-FFF2-40B4-BE49-F238E27FC236}">
              <a16:creationId xmlns:a16="http://schemas.microsoft.com/office/drawing/2014/main" id="{5AEEE91A-0CFC-4224-A7CA-D42AF19CD3D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2" name="Text Box 910">
          <a:extLst>
            <a:ext uri="{FF2B5EF4-FFF2-40B4-BE49-F238E27FC236}">
              <a16:creationId xmlns:a16="http://schemas.microsoft.com/office/drawing/2014/main" id="{AD800218-B8C2-43EF-87DC-FDC76F00B73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3" name="Text Box 910">
          <a:extLst>
            <a:ext uri="{FF2B5EF4-FFF2-40B4-BE49-F238E27FC236}">
              <a16:creationId xmlns:a16="http://schemas.microsoft.com/office/drawing/2014/main" id="{A300B721-6170-42D4-8D15-8523E91E671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4" name="Text Box 910">
          <a:extLst>
            <a:ext uri="{FF2B5EF4-FFF2-40B4-BE49-F238E27FC236}">
              <a16:creationId xmlns:a16="http://schemas.microsoft.com/office/drawing/2014/main" id="{36840020-950E-4A1D-ABAA-BD32F0A8212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5" name="Text Box 910">
          <a:extLst>
            <a:ext uri="{FF2B5EF4-FFF2-40B4-BE49-F238E27FC236}">
              <a16:creationId xmlns:a16="http://schemas.microsoft.com/office/drawing/2014/main" id="{61FCAAD8-F3AE-4EAC-9376-A2DC9C04420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6" name="Text Box 910">
          <a:extLst>
            <a:ext uri="{FF2B5EF4-FFF2-40B4-BE49-F238E27FC236}">
              <a16:creationId xmlns:a16="http://schemas.microsoft.com/office/drawing/2014/main" id="{5EF0CDBD-F570-411C-A07F-5C673DA78BF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7" name="Text Box 910">
          <a:extLst>
            <a:ext uri="{FF2B5EF4-FFF2-40B4-BE49-F238E27FC236}">
              <a16:creationId xmlns:a16="http://schemas.microsoft.com/office/drawing/2014/main" id="{A3F0230A-AA88-45F5-86C9-0C33B9672CE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8" name="Text Box 910">
          <a:extLst>
            <a:ext uri="{FF2B5EF4-FFF2-40B4-BE49-F238E27FC236}">
              <a16:creationId xmlns:a16="http://schemas.microsoft.com/office/drawing/2014/main" id="{AD6F882A-358C-4B76-AE7D-BB64557147A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599" name="Text Box 910">
          <a:extLst>
            <a:ext uri="{FF2B5EF4-FFF2-40B4-BE49-F238E27FC236}">
              <a16:creationId xmlns:a16="http://schemas.microsoft.com/office/drawing/2014/main" id="{BCF02C3C-D296-4680-BD84-EAD5C391338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0" name="Text Box 910">
          <a:extLst>
            <a:ext uri="{FF2B5EF4-FFF2-40B4-BE49-F238E27FC236}">
              <a16:creationId xmlns:a16="http://schemas.microsoft.com/office/drawing/2014/main" id="{7EB256E7-1483-40E7-AC2A-52CE5F33705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1" name="Text Box 910">
          <a:extLst>
            <a:ext uri="{FF2B5EF4-FFF2-40B4-BE49-F238E27FC236}">
              <a16:creationId xmlns:a16="http://schemas.microsoft.com/office/drawing/2014/main" id="{6FF5B87C-AFB2-4793-856D-81FC73FAAE9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2" name="Text Box 910">
          <a:extLst>
            <a:ext uri="{FF2B5EF4-FFF2-40B4-BE49-F238E27FC236}">
              <a16:creationId xmlns:a16="http://schemas.microsoft.com/office/drawing/2014/main" id="{D0B27C5C-E987-4CB0-8254-012E0CEF53E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3" name="Text Box 910">
          <a:extLst>
            <a:ext uri="{FF2B5EF4-FFF2-40B4-BE49-F238E27FC236}">
              <a16:creationId xmlns:a16="http://schemas.microsoft.com/office/drawing/2014/main" id="{7903E552-B51B-4F50-BE9D-9ECC266BA9C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4" name="Text Box 910">
          <a:extLst>
            <a:ext uri="{FF2B5EF4-FFF2-40B4-BE49-F238E27FC236}">
              <a16:creationId xmlns:a16="http://schemas.microsoft.com/office/drawing/2014/main" id="{85FF0314-8783-4034-813F-06C96B38A9C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5" name="Text Box 910">
          <a:extLst>
            <a:ext uri="{FF2B5EF4-FFF2-40B4-BE49-F238E27FC236}">
              <a16:creationId xmlns:a16="http://schemas.microsoft.com/office/drawing/2014/main" id="{3846AAB3-1C50-4949-8B12-1F732730C7D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6" name="Text Box 910">
          <a:extLst>
            <a:ext uri="{FF2B5EF4-FFF2-40B4-BE49-F238E27FC236}">
              <a16:creationId xmlns:a16="http://schemas.microsoft.com/office/drawing/2014/main" id="{B8D851C7-29E2-434E-BB84-DA97AA03157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7" name="Text Box 910">
          <a:extLst>
            <a:ext uri="{FF2B5EF4-FFF2-40B4-BE49-F238E27FC236}">
              <a16:creationId xmlns:a16="http://schemas.microsoft.com/office/drawing/2014/main" id="{13F1FF57-5307-432B-BF51-011CD24C1CC1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8" name="Text Box 910">
          <a:extLst>
            <a:ext uri="{FF2B5EF4-FFF2-40B4-BE49-F238E27FC236}">
              <a16:creationId xmlns:a16="http://schemas.microsoft.com/office/drawing/2014/main" id="{BA63859D-15B6-4D8F-9CAF-23A1A4F406E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09" name="Text Box 910">
          <a:extLst>
            <a:ext uri="{FF2B5EF4-FFF2-40B4-BE49-F238E27FC236}">
              <a16:creationId xmlns:a16="http://schemas.microsoft.com/office/drawing/2014/main" id="{C8D13CCF-90F3-4431-BFED-AE7CE2FD0ABA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0" name="Text Box 910">
          <a:extLst>
            <a:ext uri="{FF2B5EF4-FFF2-40B4-BE49-F238E27FC236}">
              <a16:creationId xmlns:a16="http://schemas.microsoft.com/office/drawing/2014/main" id="{87E5509A-7DA7-45B9-A723-43DC4F2524B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1" name="Text Box 910">
          <a:extLst>
            <a:ext uri="{FF2B5EF4-FFF2-40B4-BE49-F238E27FC236}">
              <a16:creationId xmlns:a16="http://schemas.microsoft.com/office/drawing/2014/main" id="{4A8E9B6D-8FE4-4502-B4EA-93368B03A735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2" name="Text Box 910">
          <a:extLst>
            <a:ext uri="{FF2B5EF4-FFF2-40B4-BE49-F238E27FC236}">
              <a16:creationId xmlns:a16="http://schemas.microsoft.com/office/drawing/2014/main" id="{F035D98A-CD6C-4539-82E8-E8C4EC97CA53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3" name="Text Box 910">
          <a:extLst>
            <a:ext uri="{FF2B5EF4-FFF2-40B4-BE49-F238E27FC236}">
              <a16:creationId xmlns:a16="http://schemas.microsoft.com/office/drawing/2014/main" id="{7FF3E0BD-F9BA-4E62-97C7-D25716A3AAF0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4" name="Text Box 910">
          <a:extLst>
            <a:ext uri="{FF2B5EF4-FFF2-40B4-BE49-F238E27FC236}">
              <a16:creationId xmlns:a16="http://schemas.microsoft.com/office/drawing/2014/main" id="{B5912825-52F7-4BD7-BEEA-F081FBBEDA9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5" name="Text Box 910">
          <a:extLst>
            <a:ext uri="{FF2B5EF4-FFF2-40B4-BE49-F238E27FC236}">
              <a16:creationId xmlns:a16="http://schemas.microsoft.com/office/drawing/2014/main" id="{14780C1A-5C16-49A8-B8E8-2619539FC846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6" name="Text Box 910">
          <a:extLst>
            <a:ext uri="{FF2B5EF4-FFF2-40B4-BE49-F238E27FC236}">
              <a16:creationId xmlns:a16="http://schemas.microsoft.com/office/drawing/2014/main" id="{26A76DD4-3E14-465D-8D81-956EEA6CCCAF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7" name="Text Box 910">
          <a:extLst>
            <a:ext uri="{FF2B5EF4-FFF2-40B4-BE49-F238E27FC236}">
              <a16:creationId xmlns:a16="http://schemas.microsoft.com/office/drawing/2014/main" id="{A2EEAE1B-291D-4F4F-94E7-FD81215FA44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8" name="Text Box 910">
          <a:extLst>
            <a:ext uri="{FF2B5EF4-FFF2-40B4-BE49-F238E27FC236}">
              <a16:creationId xmlns:a16="http://schemas.microsoft.com/office/drawing/2014/main" id="{D247BD97-A4AE-4DEB-A476-AD5DDA86147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19" name="Text Box 910">
          <a:extLst>
            <a:ext uri="{FF2B5EF4-FFF2-40B4-BE49-F238E27FC236}">
              <a16:creationId xmlns:a16="http://schemas.microsoft.com/office/drawing/2014/main" id="{83B5620B-BEA4-46B1-973E-652CFD8BDD37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0" name="Text Box 910">
          <a:extLst>
            <a:ext uri="{FF2B5EF4-FFF2-40B4-BE49-F238E27FC236}">
              <a16:creationId xmlns:a16="http://schemas.microsoft.com/office/drawing/2014/main" id="{8FC8252D-8F58-4E4C-BF85-BBEAF5193BC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1" name="Text Box 910">
          <a:extLst>
            <a:ext uri="{FF2B5EF4-FFF2-40B4-BE49-F238E27FC236}">
              <a16:creationId xmlns:a16="http://schemas.microsoft.com/office/drawing/2014/main" id="{5BDC528A-C464-4D6F-933B-BF73AA08117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2" name="Text Box 910">
          <a:extLst>
            <a:ext uri="{FF2B5EF4-FFF2-40B4-BE49-F238E27FC236}">
              <a16:creationId xmlns:a16="http://schemas.microsoft.com/office/drawing/2014/main" id="{6C4E42B0-D8A2-4D72-B3FA-754AE2C2E5B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3" name="Text Box 910">
          <a:extLst>
            <a:ext uri="{FF2B5EF4-FFF2-40B4-BE49-F238E27FC236}">
              <a16:creationId xmlns:a16="http://schemas.microsoft.com/office/drawing/2014/main" id="{74AB590C-457E-4EA1-8374-BA0E3A7AE5DE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4" name="Text Box 910">
          <a:extLst>
            <a:ext uri="{FF2B5EF4-FFF2-40B4-BE49-F238E27FC236}">
              <a16:creationId xmlns:a16="http://schemas.microsoft.com/office/drawing/2014/main" id="{F72440B1-BDA0-4BDF-9581-9A92C67D19CD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5" name="Text Box 910">
          <a:extLst>
            <a:ext uri="{FF2B5EF4-FFF2-40B4-BE49-F238E27FC236}">
              <a16:creationId xmlns:a16="http://schemas.microsoft.com/office/drawing/2014/main" id="{8357835A-8F28-4DB4-9713-93D6099AF73B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6" name="Text Box 910">
          <a:extLst>
            <a:ext uri="{FF2B5EF4-FFF2-40B4-BE49-F238E27FC236}">
              <a16:creationId xmlns:a16="http://schemas.microsoft.com/office/drawing/2014/main" id="{E6F27F61-1C4D-425D-9A9F-7AED688499A9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7" name="Text Box 910">
          <a:extLst>
            <a:ext uri="{FF2B5EF4-FFF2-40B4-BE49-F238E27FC236}">
              <a16:creationId xmlns:a16="http://schemas.microsoft.com/office/drawing/2014/main" id="{425A826A-2340-4054-AA71-459C2D50E998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8" name="Text Box 910">
          <a:extLst>
            <a:ext uri="{FF2B5EF4-FFF2-40B4-BE49-F238E27FC236}">
              <a16:creationId xmlns:a16="http://schemas.microsoft.com/office/drawing/2014/main" id="{04D97446-9515-4950-9D46-879A2A4BABEC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42</xdr:row>
      <xdr:rowOff>68580</xdr:rowOff>
    </xdr:from>
    <xdr:to>
      <xdr:col>29</xdr:col>
      <xdr:colOff>104775</xdr:colOff>
      <xdr:row>44</xdr:row>
      <xdr:rowOff>9525</xdr:rowOff>
    </xdr:to>
    <xdr:sp macro="" textlink="">
      <xdr:nvSpPr>
        <xdr:cNvPr id="1629" name="Text Box 910">
          <a:extLst>
            <a:ext uri="{FF2B5EF4-FFF2-40B4-BE49-F238E27FC236}">
              <a16:creationId xmlns:a16="http://schemas.microsoft.com/office/drawing/2014/main" id="{98EB2C86-9C49-4349-B337-446AFD428A34}"/>
            </a:ext>
          </a:extLst>
        </xdr:cNvPr>
        <xdr:cNvSpPr txBox="1">
          <a:spLocks noChangeArrowheads="1"/>
        </xdr:cNvSpPr>
      </xdr:nvSpPr>
      <xdr:spPr bwMode="auto">
        <a:xfrm>
          <a:off x="4514850" y="47263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30" name="Text Box 910">
          <a:extLst>
            <a:ext uri="{FF2B5EF4-FFF2-40B4-BE49-F238E27FC236}">
              <a16:creationId xmlns:a16="http://schemas.microsoft.com/office/drawing/2014/main" id="{8EA50359-0DD4-41D6-B19F-DF9F593870A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oneCellAnchor>
    <xdr:from>
      <xdr:col>1</xdr:col>
      <xdr:colOff>28575</xdr:colOff>
      <xdr:row>46</xdr:row>
      <xdr:rowOff>38101</xdr:rowOff>
    </xdr:from>
    <xdr:ext cx="928001" cy="288000"/>
    <xdr:pic>
      <xdr:nvPicPr>
        <xdr:cNvPr id="1631" name="Imagen 3">
          <a:extLst>
            <a:ext uri="{FF2B5EF4-FFF2-40B4-BE49-F238E27FC236}">
              <a16:creationId xmlns:a16="http://schemas.microsoft.com/office/drawing/2014/main" id="{91C0E6CB-5668-40C4-9042-87BCCB62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66700" y="8048626"/>
          <a:ext cx="928001" cy="28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32" name="Text Box 909">
          <a:extLst>
            <a:ext uri="{FF2B5EF4-FFF2-40B4-BE49-F238E27FC236}">
              <a16:creationId xmlns:a16="http://schemas.microsoft.com/office/drawing/2014/main" id="{DDFE2F52-6B77-4287-A585-63B31FC49966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33" name="Text Box 910">
          <a:extLst>
            <a:ext uri="{FF2B5EF4-FFF2-40B4-BE49-F238E27FC236}">
              <a16:creationId xmlns:a16="http://schemas.microsoft.com/office/drawing/2014/main" id="{232599BD-26AC-40D1-889F-BAA66239D50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34" name="Text Box 910">
          <a:extLst>
            <a:ext uri="{FF2B5EF4-FFF2-40B4-BE49-F238E27FC236}">
              <a16:creationId xmlns:a16="http://schemas.microsoft.com/office/drawing/2014/main" id="{20DD989B-327C-485B-9CDD-639EACA305D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35" name="Text Box 910">
          <a:extLst>
            <a:ext uri="{FF2B5EF4-FFF2-40B4-BE49-F238E27FC236}">
              <a16:creationId xmlns:a16="http://schemas.microsoft.com/office/drawing/2014/main" id="{B828F9B8-231F-476B-890A-A774B2C724F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36" name="Text Box 910">
          <a:extLst>
            <a:ext uri="{FF2B5EF4-FFF2-40B4-BE49-F238E27FC236}">
              <a16:creationId xmlns:a16="http://schemas.microsoft.com/office/drawing/2014/main" id="{212A2F0C-3506-475A-8609-09BFD4C69C2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37" name="Text Box 909">
          <a:extLst>
            <a:ext uri="{FF2B5EF4-FFF2-40B4-BE49-F238E27FC236}">
              <a16:creationId xmlns:a16="http://schemas.microsoft.com/office/drawing/2014/main" id="{32A7CA9F-0F9C-4407-B83A-FEFB04D0CB05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38" name="Text Box 910">
          <a:extLst>
            <a:ext uri="{FF2B5EF4-FFF2-40B4-BE49-F238E27FC236}">
              <a16:creationId xmlns:a16="http://schemas.microsoft.com/office/drawing/2014/main" id="{E3FEE931-481D-4038-BCEB-41B0206CE13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39" name="Text Box 910">
          <a:extLst>
            <a:ext uri="{FF2B5EF4-FFF2-40B4-BE49-F238E27FC236}">
              <a16:creationId xmlns:a16="http://schemas.microsoft.com/office/drawing/2014/main" id="{6E14930D-F1E7-495D-9195-686E83A4FC2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40" name="Text Box 910">
          <a:extLst>
            <a:ext uri="{FF2B5EF4-FFF2-40B4-BE49-F238E27FC236}">
              <a16:creationId xmlns:a16="http://schemas.microsoft.com/office/drawing/2014/main" id="{39DD1D5A-B9C3-45BF-AB6E-63F304AB377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41" name="Text Box 910">
          <a:extLst>
            <a:ext uri="{FF2B5EF4-FFF2-40B4-BE49-F238E27FC236}">
              <a16:creationId xmlns:a16="http://schemas.microsoft.com/office/drawing/2014/main" id="{679675DE-B4CC-402E-AE99-EBDD9ED1F23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42" name="Text Box 909">
          <a:extLst>
            <a:ext uri="{FF2B5EF4-FFF2-40B4-BE49-F238E27FC236}">
              <a16:creationId xmlns:a16="http://schemas.microsoft.com/office/drawing/2014/main" id="{D89A6E83-A4E1-4CEA-A74D-234C448E27D4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43" name="Text Box 910">
          <a:extLst>
            <a:ext uri="{FF2B5EF4-FFF2-40B4-BE49-F238E27FC236}">
              <a16:creationId xmlns:a16="http://schemas.microsoft.com/office/drawing/2014/main" id="{F422D30E-4DD5-49EB-BB56-6DD21333E9C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44" name="Text Box 910">
          <a:extLst>
            <a:ext uri="{FF2B5EF4-FFF2-40B4-BE49-F238E27FC236}">
              <a16:creationId xmlns:a16="http://schemas.microsoft.com/office/drawing/2014/main" id="{0376850C-F36D-4E77-A104-2543453053E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45" name="Text Box 910">
          <a:extLst>
            <a:ext uri="{FF2B5EF4-FFF2-40B4-BE49-F238E27FC236}">
              <a16:creationId xmlns:a16="http://schemas.microsoft.com/office/drawing/2014/main" id="{19E57513-2F58-4966-B1EA-AF9383B015A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46" name="Text Box 910">
          <a:extLst>
            <a:ext uri="{FF2B5EF4-FFF2-40B4-BE49-F238E27FC236}">
              <a16:creationId xmlns:a16="http://schemas.microsoft.com/office/drawing/2014/main" id="{E98C0C96-9C57-4319-8CE5-983B740A0ED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47" name="Text Box 909">
          <a:extLst>
            <a:ext uri="{FF2B5EF4-FFF2-40B4-BE49-F238E27FC236}">
              <a16:creationId xmlns:a16="http://schemas.microsoft.com/office/drawing/2014/main" id="{B8DB2B68-2C1E-45EE-A013-10E1875EA257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48" name="Text Box 910">
          <a:extLst>
            <a:ext uri="{FF2B5EF4-FFF2-40B4-BE49-F238E27FC236}">
              <a16:creationId xmlns:a16="http://schemas.microsoft.com/office/drawing/2014/main" id="{EE6B2217-86B7-4C1D-B205-BEB94010E52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49" name="Text Box 910">
          <a:extLst>
            <a:ext uri="{FF2B5EF4-FFF2-40B4-BE49-F238E27FC236}">
              <a16:creationId xmlns:a16="http://schemas.microsoft.com/office/drawing/2014/main" id="{565B4122-F54B-4465-8AE1-A4DF151021E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50" name="Text Box 910">
          <a:extLst>
            <a:ext uri="{FF2B5EF4-FFF2-40B4-BE49-F238E27FC236}">
              <a16:creationId xmlns:a16="http://schemas.microsoft.com/office/drawing/2014/main" id="{FB4E7932-468A-4772-9B4C-AE450B5B2AA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51" name="Text Box 910">
          <a:extLst>
            <a:ext uri="{FF2B5EF4-FFF2-40B4-BE49-F238E27FC236}">
              <a16:creationId xmlns:a16="http://schemas.microsoft.com/office/drawing/2014/main" id="{41E2B117-1674-405B-9F05-30C8FEA5875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52" name="Text Box 909">
          <a:extLst>
            <a:ext uri="{FF2B5EF4-FFF2-40B4-BE49-F238E27FC236}">
              <a16:creationId xmlns:a16="http://schemas.microsoft.com/office/drawing/2014/main" id="{1EC5B974-F602-4F9C-B49B-A13E0C6D8BA1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53" name="Text Box 910">
          <a:extLst>
            <a:ext uri="{FF2B5EF4-FFF2-40B4-BE49-F238E27FC236}">
              <a16:creationId xmlns:a16="http://schemas.microsoft.com/office/drawing/2014/main" id="{9A986D24-55F7-4A61-B825-00A7FB8A848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54" name="Text Box 910">
          <a:extLst>
            <a:ext uri="{FF2B5EF4-FFF2-40B4-BE49-F238E27FC236}">
              <a16:creationId xmlns:a16="http://schemas.microsoft.com/office/drawing/2014/main" id="{399B3ED3-0B31-406F-B2C0-B6AE6FFA5BA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55" name="Text Box 910">
          <a:extLst>
            <a:ext uri="{FF2B5EF4-FFF2-40B4-BE49-F238E27FC236}">
              <a16:creationId xmlns:a16="http://schemas.microsoft.com/office/drawing/2014/main" id="{971ECF20-9750-45FA-958F-8366DBAF590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56" name="Text Box 910">
          <a:extLst>
            <a:ext uri="{FF2B5EF4-FFF2-40B4-BE49-F238E27FC236}">
              <a16:creationId xmlns:a16="http://schemas.microsoft.com/office/drawing/2014/main" id="{2A393CC6-FB05-48C3-A7BA-69C63036FB1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57" name="Text Box 909">
          <a:extLst>
            <a:ext uri="{FF2B5EF4-FFF2-40B4-BE49-F238E27FC236}">
              <a16:creationId xmlns:a16="http://schemas.microsoft.com/office/drawing/2014/main" id="{5EBD6647-2546-408C-BF72-AF874EFD8C68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58" name="Text Box 910">
          <a:extLst>
            <a:ext uri="{FF2B5EF4-FFF2-40B4-BE49-F238E27FC236}">
              <a16:creationId xmlns:a16="http://schemas.microsoft.com/office/drawing/2014/main" id="{C7496D91-0689-4E52-B125-D92FD198485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59" name="Text Box 910">
          <a:extLst>
            <a:ext uri="{FF2B5EF4-FFF2-40B4-BE49-F238E27FC236}">
              <a16:creationId xmlns:a16="http://schemas.microsoft.com/office/drawing/2014/main" id="{F307FE24-EEDE-46E6-BA97-2494104877E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60" name="Text Box 910">
          <a:extLst>
            <a:ext uri="{FF2B5EF4-FFF2-40B4-BE49-F238E27FC236}">
              <a16:creationId xmlns:a16="http://schemas.microsoft.com/office/drawing/2014/main" id="{786D5FBC-E45C-474C-8A51-7E09E11E40B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61" name="Text Box 910">
          <a:extLst>
            <a:ext uri="{FF2B5EF4-FFF2-40B4-BE49-F238E27FC236}">
              <a16:creationId xmlns:a16="http://schemas.microsoft.com/office/drawing/2014/main" id="{8F19E290-4621-4F9A-90C6-C24BA80FF90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62" name="Text Box 909">
          <a:extLst>
            <a:ext uri="{FF2B5EF4-FFF2-40B4-BE49-F238E27FC236}">
              <a16:creationId xmlns:a16="http://schemas.microsoft.com/office/drawing/2014/main" id="{4D2CEA52-E3F5-47E3-82D8-3758A49E64F5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63" name="Text Box 910">
          <a:extLst>
            <a:ext uri="{FF2B5EF4-FFF2-40B4-BE49-F238E27FC236}">
              <a16:creationId xmlns:a16="http://schemas.microsoft.com/office/drawing/2014/main" id="{E6915DA0-D7E9-4A71-9778-E6245DDB6DD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64" name="Text Box 910">
          <a:extLst>
            <a:ext uri="{FF2B5EF4-FFF2-40B4-BE49-F238E27FC236}">
              <a16:creationId xmlns:a16="http://schemas.microsoft.com/office/drawing/2014/main" id="{6AFA3044-17B4-4C3E-AFD5-BB4F747B039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65" name="Text Box 910">
          <a:extLst>
            <a:ext uri="{FF2B5EF4-FFF2-40B4-BE49-F238E27FC236}">
              <a16:creationId xmlns:a16="http://schemas.microsoft.com/office/drawing/2014/main" id="{CA062E02-83F0-4948-AF7C-5B09191DB6E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66" name="Text Box 910">
          <a:extLst>
            <a:ext uri="{FF2B5EF4-FFF2-40B4-BE49-F238E27FC236}">
              <a16:creationId xmlns:a16="http://schemas.microsoft.com/office/drawing/2014/main" id="{CD757E39-C891-4710-8FD2-0A01A3B1327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67" name="Text Box 909">
          <a:extLst>
            <a:ext uri="{FF2B5EF4-FFF2-40B4-BE49-F238E27FC236}">
              <a16:creationId xmlns:a16="http://schemas.microsoft.com/office/drawing/2014/main" id="{B294BCC1-0D38-4F4E-ABF7-5DB4AE09277F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68" name="Text Box 910">
          <a:extLst>
            <a:ext uri="{FF2B5EF4-FFF2-40B4-BE49-F238E27FC236}">
              <a16:creationId xmlns:a16="http://schemas.microsoft.com/office/drawing/2014/main" id="{F3797D20-04CA-4A5A-A09A-8613AFE3882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69" name="Text Box 910">
          <a:extLst>
            <a:ext uri="{FF2B5EF4-FFF2-40B4-BE49-F238E27FC236}">
              <a16:creationId xmlns:a16="http://schemas.microsoft.com/office/drawing/2014/main" id="{6E0AEF73-0239-4864-902B-299DFD5621C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70" name="Text Box 910">
          <a:extLst>
            <a:ext uri="{FF2B5EF4-FFF2-40B4-BE49-F238E27FC236}">
              <a16:creationId xmlns:a16="http://schemas.microsoft.com/office/drawing/2014/main" id="{DB5C99CD-D94F-4ECE-8C11-065E244F678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71" name="Text Box 910">
          <a:extLst>
            <a:ext uri="{FF2B5EF4-FFF2-40B4-BE49-F238E27FC236}">
              <a16:creationId xmlns:a16="http://schemas.microsoft.com/office/drawing/2014/main" id="{B92C8819-E6D3-4ACC-87D5-D56CB2F80B4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72" name="Text Box 909">
          <a:extLst>
            <a:ext uri="{FF2B5EF4-FFF2-40B4-BE49-F238E27FC236}">
              <a16:creationId xmlns:a16="http://schemas.microsoft.com/office/drawing/2014/main" id="{3F082BE9-B9B3-4714-806F-5FDB8769861D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73" name="Text Box 910">
          <a:extLst>
            <a:ext uri="{FF2B5EF4-FFF2-40B4-BE49-F238E27FC236}">
              <a16:creationId xmlns:a16="http://schemas.microsoft.com/office/drawing/2014/main" id="{F0831799-EE96-432F-BE92-8E76678A05D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74" name="Text Box 910">
          <a:extLst>
            <a:ext uri="{FF2B5EF4-FFF2-40B4-BE49-F238E27FC236}">
              <a16:creationId xmlns:a16="http://schemas.microsoft.com/office/drawing/2014/main" id="{018BCE58-6C04-42C4-B9D4-3BD96305C7C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75" name="Text Box 910">
          <a:extLst>
            <a:ext uri="{FF2B5EF4-FFF2-40B4-BE49-F238E27FC236}">
              <a16:creationId xmlns:a16="http://schemas.microsoft.com/office/drawing/2014/main" id="{36FDB857-937A-4296-A164-5212BC7A483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76" name="Text Box 910">
          <a:extLst>
            <a:ext uri="{FF2B5EF4-FFF2-40B4-BE49-F238E27FC236}">
              <a16:creationId xmlns:a16="http://schemas.microsoft.com/office/drawing/2014/main" id="{32690AB8-A84E-47BD-91E1-C6C725CD80B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77" name="Text Box 909">
          <a:extLst>
            <a:ext uri="{FF2B5EF4-FFF2-40B4-BE49-F238E27FC236}">
              <a16:creationId xmlns:a16="http://schemas.microsoft.com/office/drawing/2014/main" id="{899714D4-6CFF-4B5B-82E9-1AF677118423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78" name="Text Box 910">
          <a:extLst>
            <a:ext uri="{FF2B5EF4-FFF2-40B4-BE49-F238E27FC236}">
              <a16:creationId xmlns:a16="http://schemas.microsoft.com/office/drawing/2014/main" id="{AF3C3FF7-C879-44FD-965D-6241B330C78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79" name="Text Box 910">
          <a:extLst>
            <a:ext uri="{FF2B5EF4-FFF2-40B4-BE49-F238E27FC236}">
              <a16:creationId xmlns:a16="http://schemas.microsoft.com/office/drawing/2014/main" id="{1993AB1D-0F50-4115-916E-AE2F64020D1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80" name="Text Box 910">
          <a:extLst>
            <a:ext uri="{FF2B5EF4-FFF2-40B4-BE49-F238E27FC236}">
              <a16:creationId xmlns:a16="http://schemas.microsoft.com/office/drawing/2014/main" id="{DF63BC07-900D-4226-A708-E14831A811C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81" name="Text Box 910">
          <a:extLst>
            <a:ext uri="{FF2B5EF4-FFF2-40B4-BE49-F238E27FC236}">
              <a16:creationId xmlns:a16="http://schemas.microsoft.com/office/drawing/2014/main" id="{9FE70A00-C603-409B-A61A-43D3523CC7D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82" name="Text Box 909">
          <a:extLst>
            <a:ext uri="{FF2B5EF4-FFF2-40B4-BE49-F238E27FC236}">
              <a16:creationId xmlns:a16="http://schemas.microsoft.com/office/drawing/2014/main" id="{8D8D7768-C264-4DA4-9531-B9B9FACBADAC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83" name="Text Box 910">
          <a:extLst>
            <a:ext uri="{FF2B5EF4-FFF2-40B4-BE49-F238E27FC236}">
              <a16:creationId xmlns:a16="http://schemas.microsoft.com/office/drawing/2014/main" id="{B2A64B30-56B4-4D1F-9EC8-475A9E747E9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84" name="Text Box 910">
          <a:extLst>
            <a:ext uri="{FF2B5EF4-FFF2-40B4-BE49-F238E27FC236}">
              <a16:creationId xmlns:a16="http://schemas.microsoft.com/office/drawing/2014/main" id="{B28710EC-99EB-4227-83B0-F45223BD16C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85" name="Text Box 910">
          <a:extLst>
            <a:ext uri="{FF2B5EF4-FFF2-40B4-BE49-F238E27FC236}">
              <a16:creationId xmlns:a16="http://schemas.microsoft.com/office/drawing/2014/main" id="{0F1C8067-3722-4EB7-AD9C-240956D639F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86" name="Text Box 910">
          <a:extLst>
            <a:ext uri="{FF2B5EF4-FFF2-40B4-BE49-F238E27FC236}">
              <a16:creationId xmlns:a16="http://schemas.microsoft.com/office/drawing/2014/main" id="{D86147DF-B0BE-481A-BF14-22AA7E9B486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87" name="Text Box 909">
          <a:extLst>
            <a:ext uri="{FF2B5EF4-FFF2-40B4-BE49-F238E27FC236}">
              <a16:creationId xmlns:a16="http://schemas.microsoft.com/office/drawing/2014/main" id="{546E1157-C3AE-4833-A78B-75EF7A2CB015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88" name="Text Box 910">
          <a:extLst>
            <a:ext uri="{FF2B5EF4-FFF2-40B4-BE49-F238E27FC236}">
              <a16:creationId xmlns:a16="http://schemas.microsoft.com/office/drawing/2014/main" id="{16C6BFA2-06AB-4B7D-9AB4-2996307B9B3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89" name="Text Box 910">
          <a:extLst>
            <a:ext uri="{FF2B5EF4-FFF2-40B4-BE49-F238E27FC236}">
              <a16:creationId xmlns:a16="http://schemas.microsoft.com/office/drawing/2014/main" id="{84FF3510-4F08-491A-942F-E9CCAAE5BE5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90" name="Text Box 910">
          <a:extLst>
            <a:ext uri="{FF2B5EF4-FFF2-40B4-BE49-F238E27FC236}">
              <a16:creationId xmlns:a16="http://schemas.microsoft.com/office/drawing/2014/main" id="{CB3B00D8-56E7-4BDE-AA41-C6152DF11BD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91" name="Text Box 910">
          <a:extLst>
            <a:ext uri="{FF2B5EF4-FFF2-40B4-BE49-F238E27FC236}">
              <a16:creationId xmlns:a16="http://schemas.microsoft.com/office/drawing/2014/main" id="{427D1456-E9A0-4FE3-9FD3-F24ACD0BEB2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92" name="Text Box 909">
          <a:extLst>
            <a:ext uri="{FF2B5EF4-FFF2-40B4-BE49-F238E27FC236}">
              <a16:creationId xmlns:a16="http://schemas.microsoft.com/office/drawing/2014/main" id="{5D0E1BBA-8063-4380-BC91-F4196197B623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93" name="Text Box 910">
          <a:extLst>
            <a:ext uri="{FF2B5EF4-FFF2-40B4-BE49-F238E27FC236}">
              <a16:creationId xmlns:a16="http://schemas.microsoft.com/office/drawing/2014/main" id="{B9CE35FC-574B-455E-AA77-3111E88A534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94" name="Text Box 910">
          <a:extLst>
            <a:ext uri="{FF2B5EF4-FFF2-40B4-BE49-F238E27FC236}">
              <a16:creationId xmlns:a16="http://schemas.microsoft.com/office/drawing/2014/main" id="{C42E5078-099B-4215-98B8-BC686CA4E0B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95" name="Text Box 910">
          <a:extLst>
            <a:ext uri="{FF2B5EF4-FFF2-40B4-BE49-F238E27FC236}">
              <a16:creationId xmlns:a16="http://schemas.microsoft.com/office/drawing/2014/main" id="{B88D8887-89B0-4B68-8D23-3988AAD4485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96" name="Text Box 910">
          <a:extLst>
            <a:ext uri="{FF2B5EF4-FFF2-40B4-BE49-F238E27FC236}">
              <a16:creationId xmlns:a16="http://schemas.microsoft.com/office/drawing/2014/main" id="{E6E9CAC4-C7A6-4F71-A520-6AE87342139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697" name="Text Box 909">
          <a:extLst>
            <a:ext uri="{FF2B5EF4-FFF2-40B4-BE49-F238E27FC236}">
              <a16:creationId xmlns:a16="http://schemas.microsoft.com/office/drawing/2014/main" id="{519786E1-75AB-418A-9FEA-76D1BF1B9D4C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98" name="Text Box 910">
          <a:extLst>
            <a:ext uri="{FF2B5EF4-FFF2-40B4-BE49-F238E27FC236}">
              <a16:creationId xmlns:a16="http://schemas.microsoft.com/office/drawing/2014/main" id="{4B745149-BB0D-41B9-BFAB-F72A680A4E1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699" name="Text Box 910">
          <a:extLst>
            <a:ext uri="{FF2B5EF4-FFF2-40B4-BE49-F238E27FC236}">
              <a16:creationId xmlns:a16="http://schemas.microsoft.com/office/drawing/2014/main" id="{7A68A65C-E12C-43E8-84FC-E0563CB1E6D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00" name="Text Box 910">
          <a:extLst>
            <a:ext uri="{FF2B5EF4-FFF2-40B4-BE49-F238E27FC236}">
              <a16:creationId xmlns:a16="http://schemas.microsoft.com/office/drawing/2014/main" id="{93C24879-3378-447A-9660-25CF189343A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01" name="Text Box 910">
          <a:extLst>
            <a:ext uri="{FF2B5EF4-FFF2-40B4-BE49-F238E27FC236}">
              <a16:creationId xmlns:a16="http://schemas.microsoft.com/office/drawing/2014/main" id="{D7494BA6-A8D9-4B53-BD12-54A05B3D54D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02" name="Text Box 909">
          <a:extLst>
            <a:ext uri="{FF2B5EF4-FFF2-40B4-BE49-F238E27FC236}">
              <a16:creationId xmlns:a16="http://schemas.microsoft.com/office/drawing/2014/main" id="{631F4E03-4BF9-48D4-B484-B4EF67C83DE2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03" name="Text Box 910">
          <a:extLst>
            <a:ext uri="{FF2B5EF4-FFF2-40B4-BE49-F238E27FC236}">
              <a16:creationId xmlns:a16="http://schemas.microsoft.com/office/drawing/2014/main" id="{46D142E7-759C-494D-9922-B6B670FC79F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04" name="Text Box 910">
          <a:extLst>
            <a:ext uri="{FF2B5EF4-FFF2-40B4-BE49-F238E27FC236}">
              <a16:creationId xmlns:a16="http://schemas.microsoft.com/office/drawing/2014/main" id="{DE9490E6-C2B1-4EE7-A26C-EE4FCF008C6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05" name="Text Box 910">
          <a:extLst>
            <a:ext uri="{FF2B5EF4-FFF2-40B4-BE49-F238E27FC236}">
              <a16:creationId xmlns:a16="http://schemas.microsoft.com/office/drawing/2014/main" id="{AD0A4AFE-0765-4158-9D1C-B57CED0C2DD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06" name="Text Box 910">
          <a:extLst>
            <a:ext uri="{FF2B5EF4-FFF2-40B4-BE49-F238E27FC236}">
              <a16:creationId xmlns:a16="http://schemas.microsoft.com/office/drawing/2014/main" id="{FACF4121-B891-48D7-BAF0-F5C6A6C5DD4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07" name="Text Box 909">
          <a:extLst>
            <a:ext uri="{FF2B5EF4-FFF2-40B4-BE49-F238E27FC236}">
              <a16:creationId xmlns:a16="http://schemas.microsoft.com/office/drawing/2014/main" id="{C1EDA857-EFE1-4957-838C-78EFC4F68549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08" name="Text Box 910">
          <a:extLst>
            <a:ext uri="{FF2B5EF4-FFF2-40B4-BE49-F238E27FC236}">
              <a16:creationId xmlns:a16="http://schemas.microsoft.com/office/drawing/2014/main" id="{7DBAED2C-F4B2-4F75-B357-B01B27D7BD2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09" name="Text Box 910">
          <a:extLst>
            <a:ext uri="{FF2B5EF4-FFF2-40B4-BE49-F238E27FC236}">
              <a16:creationId xmlns:a16="http://schemas.microsoft.com/office/drawing/2014/main" id="{9F58677D-117A-420C-9AA1-ACB78A51797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10" name="Text Box 910">
          <a:extLst>
            <a:ext uri="{FF2B5EF4-FFF2-40B4-BE49-F238E27FC236}">
              <a16:creationId xmlns:a16="http://schemas.microsoft.com/office/drawing/2014/main" id="{1A625F67-FEFA-423D-BC4B-E011D9C6A44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11" name="Text Box 910">
          <a:extLst>
            <a:ext uri="{FF2B5EF4-FFF2-40B4-BE49-F238E27FC236}">
              <a16:creationId xmlns:a16="http://schemas.microsoft.com/office/drawing/2014/main" id="{E6D37EDB-5551-4BFE-A679-DAA830D9574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12" name="Text Box 909">
          <a:extLst>
            <a:ext uri="{FF2B5EF4-FFF2-40B4-BE49-F238E27FC236}">
              <a16:creationId xmlns:a16="http://schemas.microsoft.com/office/drawing/2014/main" id="{AF434E69-8B34-4347-883A-B51F6387A934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13" name="Text Box 910">
          <a:extLst>
            <a:ext uri="{FF2B5EF4-FFF2-40B4-BE49-F238E27FC236}">
              <a16:creationId xmlns:a16="http://schemas.microsoft.com/office/drawing/2014/main" id="{F8753DF7-1A36-4237-B69D-CE036FF62D5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14" name="Text Box 910">
          <a:extLst>
            <a:ext uri="{FF2B5EF4-FFF2-40B4-BE49-F238E27FC236}">
              <a16:creationId xmlns:a16="http://schemas.microsoft.com/office/drawing/2014/main" id="{E0AA6A62-FBB5-45EB-8504-34362733340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15" name="Text Box 910">
          <a:extLst>
            <a:ext uri="{FF2B5EF4-FFF2-40B4-BE49-F238E27FC236}">
              <a16:creationId xmlns:a16="http://schemas.microsoft.com/office/drawing/2014/main" id="{65D81605-06BD-4BA8-A7C1-90FC9D869A7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16" name="Text Box 910">
          <a:extLst>
            <a:ext uri="{FF2B5EF4-FFF2-40B4-BE49-F238E27FC236}">
              <a16:creationId xmlns:a16="http://schemas.microsoft.com/office/drawing/2014/main" id="{A23E1D2F-E8A6-4096-A73B-F570EE33922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17" name="Text Box 909">
          <a:extLst>
            <a:ext uri="{FF2B5EF4-FFF2-40B4-BE49-F238E27FC236}">
              <a16:creationId xmlns:a16="http://schemas.microsoft.com/office/drawing/2014/main" id="{A7AE9D50-3BF9-4D3A-9833-3420DE4641AE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18" name="Text Box 910">
          <a:extLst>
            <a:ext uri="{FF2B5EF4-FFF2-40B4-BE49-F238E27FC236}">
              <a16:creationId xmlns:a16="http://schemas.microsoft.com/office/drawing/2014/main" id="{AA364151-4910-4854-8C61-BA69F4B8415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19" name="Text Box 910">
          <a:extLst>
            <a:ext uri="{FF2B5EF4-FFF2-40B4-BE49-F238E27FC236}">
              <a16:creationId xmlns:a16="http://schemas.microsoft.com/office/drawing/2014/main" id="{DB0D4BD1-096F-4E0A-AF3F-5286037D31E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20" name="Text Box 910">
          <a:extLst>
            <a:ext uri="{FF2B5EF4-FFF2-40B4-BE49-F238E27FC236}">
              <a16:creationId xmlns:a16="http://schemas.microsoft.com/office/drawing/2014/main" id="{BB83053D-5859-4EFE-8936-86EE7A70565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21" name="Text Box 910">
          <a:extLst>
            <a:ext uri="{FF2B5EF4-FFF2-40B4-BE49-F238E27FC236}">
              <a16:creationId xmlns:a16="http://schemas.microsoft.com/office/drawing/2014/main" id="{968B9A7A-F5D2-4BC9-9745-5495800F76B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22" name="Text Box 909">
          <a:extLst>
            <a:ext uri="{FF2B5EF4-FFF2-40B4-BE49-F238E27FC236}">
              <a16:creationId xmlns:a16="http://schemas.microsoft.com/office/drawing/2014/main" id="{5127F872-81A6-4284-8289-3ED935D3D917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23" name="Text Box 910">
          <a:extLst>
            <a:ext uri="{FF2B5EF4-FFF2-40B4-BE49-F238E27FC236}">
              <a16:creationId xmlns:a16="http://schemas.microsoft.com/office/drawing/2014/main" id="{D83703EF-198E-4A4C-82F6-BD2729DC557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24" name="Text Box 910">
          <a:extLst>
            <a:ext uri="{FF2B5EF4-FFF2-40B4-BE49-F238E27FC236}">
              <a16:creationId xmlns:a16="http://schemas.microsoft.com/office/drawing/2014/main" id="{9C6C7B3E-D0BC-429D-ACF6-ACC39E25699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25" name="Text Box 910">
          <a:extLst>
            <a:ext uri="{FF2B5EF4-FFF2-40B4-BE49-F238E27FC236}">
              <a16:creationId xmlns:a16="http://schemas.microsoft.com/office/drawing/2014/main" id="{76DAD3C3-0A22-487E-815D-416E00479AC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26" name="Text Box 910">
          <a:extLst>
            <a:ext uri="{FF2B5EF4-FFF2-40B4-BE49-F238E27FC236}">
              <a16:creationId xmlns:a16="http://schemas.microsoft.com/office/drawing/2014/main" id="{F5C82F0B-AC77-497B-AE40-D195F1BFA8C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27" name="Text Box 909">
          <a:extLst>
            <a:ext uri="{FF2B5EF4-FFF2-40B4-BE49-F238E27FC236}">
              <a16:creationId xmlns:a16="http://schemas.microsoft.com/office/drawing/2014/main" id="{4CB9FE51-646A-40FA-BF18-252343CD88FE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28" name="Text Box 910">
          <a:extLst>
            <a:ext uri="{FF2B5EF4-FFF2-40B4-BE49-F238E27FC236}">
              <a16:creationId xmlns:a16="http://schemas.microsoft.com/office/drawing/2014/main" id="{FAD9EAA2-E9D2-4044-9D50-62C6954E8FD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29" name="Text Box 910">
          <a:extLst>
            <a:ext uri="{FF2B5EF4-FFF2-40B4-BE49-F238E27FC236}">
              <a16:creationId xmlns:a16="http://schemas.microsoft.com/office/drawing/2014/main" id="{984DC3C7-AD6D-45CC-A7E7-CBA2404B7AF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30" name="Text Box 910">
          <a:extLst>
            <a:ext uri="{FF2B5EF4-FFF2-40B4-BE49-F238E27FC236}">
              <a16:creationId xmlns:a16="http://schemas.microsoft.com/office/drawing/2014/main" id="{AF07720B-DC2B-453F-B000-BFC78FF97C4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31" name="Text Box 910">
          <a:extLst>
            <a:ext uri="{FF2B5EF4-FFF2-40B4-BE49-F238E27FC236}">
              <a16:creationId xmlns:a16="http://schemas.microsoft.com/office/drawing/2014/main" id="{1014D7CC-D88F-4EC0-87B8-C850D0FF546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32" name="Text Box 909">
          <a:extLst>
            <a:ext uri="{FF2B5EF4-FFF2-40B4-BE49-F238E27FC236}">
              <a16:creationId xmlns:a16="http://schemas.microsoft.com/office/drawing/2014/main" id="{71D8B977-FB39-4E5A-9133-F01F809582DC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33" name="Text Box 910">
          <a:extLst>
            <a:ext uri="{FF2B5EF4-FFF2-40B4-BE49-F238E27FC236}">
              <a16:creationId xmlns:a16="http://schemas.microsoft.com/office/drawing/2014/main" id="{0EFD72C8-7188-4175-A684-5429F309949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34" name="Text Box 910">
          <a:extLst>
            <a:ext uri="{FF2B5EF4-FFF2-40B4-BE49-F238E27FC236}">
              <a16:creationId xmlns:a16="http://schemas.microsoft.com/office/drawing/2014/main" id="{C2D0230D-FE0C-403A-9D0D-0A1C97083E1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35" name="Text Box 910">
          <a:extLst>
            <a:ext uri="{FF2B5EF4-FFF2-40B4-BE49-F238E27FC236}">
              <a16:creationId xmlns:a16="http://schemas.microsoft.com/office/drawing/2014/main" id="{8D26A839-76A4-490F-B7C4-F02C6753600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36" name="Text Box 910">
          <a:extLst>
            <a:ext uri="{FF2B5EF4-FFF2-40B4-BE49-F238E27FC236}">
              <a16:creationId xmlns:a16="http://schemas.microsoft.com/office/drawing/2014/main" id="{6EA4A678-704C-42F5-835E-43348617EFC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37" name="Text Box 909">
          <a:extLst>
            <a:ext uri="{FF2B5EF4-FFF2-40B4-BE49-F238E27FC236}">
              <a16:creationId xmlns:a16="http://schemas.microsoft.com/office/drawing/2014/main" id="{1AADA353-53D6-463D-8DBE-85C87E1EEE52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38" name="Text Box 910">
          <a:extLst>
            <a:ext uri="{FF2B5EF4-FFF2-40B4-BE49-F238E27FC236}">
              <a16:creationId xmlns:a16="http://schemas.microsoft.com/office/drawing/2014/main" id="{2557EC62-EEAA-4974-A529-1D005C64AD1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39" name="Text Box 910">
          <a:extLst>
            <a:ext uri="{FF2B5EF4-FFF2-40B4-BE49-F238E27FC236}">
              <a16:creationId xmlns:a16="http://schemas.microsoft.com/office/drawing/2014/main" id="{03037B09-CB94-4321-9708-8AE737D4096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40" name="Text Box 910">
          <a:extLst>
            <a:ext uri="{FF2B5EF4-FFF2-40B4-BE49-F238E27FC236}">
              <a16:creationId xmlns:a16="http://schemas.microsoft.com/office/drawing/2014/main" id="{C4DD9A94-6F38-4BEE-9206-AAB2A199BD6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41" name="Text Box 910">
          <a:extLst>
            <a:ext uri="{FF2B5EF4-FFF2-40B4-BE49-F238E27FC236}">
              <a16:creationId xmlns:a16="http://schemas.microsoft.com/office/drawing/2014/main" id="{A524AEBF-BC2E-470C-A769-CE094194972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42" name="Text Box 909">
          <a:extLst>
            <a:ext uri="{FF2B5EF4-FFF2-40B4-BE49-F238E27FC236}">
              <a16:creationId xmlns:a16="http://schemas.microsoft.com/office/drawing/2014/main" id="{20317E66-FC31-4F4F-9C8E-0D78FE89E251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43" name="Text Box 910">
          <a:extLst>
            <a:ext uri="{FF2B5EF4-FFF2-40B4-BE49-F238E27FC236}">
              <a16:creationId xmlns:a16="http://schemas.microsoft.com/office/drawing/2014/main" id="{27CD7EC5-80FD-4BFF-8C44-2D4A4D33F53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44" name="Text Box 910">
          <a:extLst>
            <a:ext uri="{FF2B5EF4-FFF2-40B4-BE49-F238E27FC236}">
              <a16:creationId xmlns:a16="http://schemas.microsoft.com/office/drawing/2014/main" id="{08B288D9-D2CA-4E0D-92B6-BB8EB3DC67F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45" name="Text Box 910">
          <a:extLst>
            <a:ext uri="{FF2B5EF4-FFF2-40B4-BE49-F238E27FC236}">
              <a16:creationId xmlns:a16="http://schemas.microsoft.com/office/drawing/2014/main" id="{3491DF49-9712-471C-8913-A91C1144F39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46" name="Text Box 910">
          <a:extLst>
            <a:ext uri="{FF2B5EF4-FFF2-40B4-BE49-F238E27FC236}">
              <a16:creationId xmlns:a16="http://schemas.microsoft.com/office/drawing/2014/main" id="{BB5DBE56-AE91-4F05-947D-90D05E9E651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47" name="Text Box 909">
          <a:extLst>
            <a:ext uri="{FF2B5EF4-FFF2-40B4-BE49-F238E27FC236}">
              <a16:creationId xmlns:a16="http://schemas.microsoft.com/office/drawing/2014/main" id="{654FF220-4656-45DD-B206-12BA68B5518D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48" name="Text Box 910">
          <a:extLst>
            <a:ext uri="{FF2B5EF4-FFF2-40B4-BE49-F238E27FC236}">
              <a16:creationId xmlns:a16="http://schemas.microsoft.com/office/drawing/2014/main" id="{0E6E8A18-AF67-4840-B140-030E54F0049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49" name="Text Box 910">
          <a:extLst>
            <a:ext uri="{FF2B5EF4-FFF2-40B4-BE49-F238E27FC236}">
              <a16:creationId xmlns:a16="http://schemas.microsoft.com/office/drawing/2014/main" id="{9050A42B-8218-4714-89E1-68614D83D1A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50" name="Text Box 910">
          <a:extLst>
            <a:ext uri="{FF2B5EF4-FFF2-40B4-BE49-F238E27FC236}">
              <a16:creationId xmlns:a16="http://schemas.microsoft.com/office/drawing/2014/main" id="{CC302B03-AD95-44DA-9F85-FF8A3BBDF8C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51" name="Text Box 910">
          <a:extLst>
            <a:ext uri="{FF2B5EF4-FFF2-40B4-BE49-F238E27FC236}">
              <a16:creationId xmlns:a16="http://schemas.microsoft.com/office/drawing/2014/main" id="{2068BF2A-BD60-4916-9729-C3157E4AA39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52" name="Text Box 909">
          <a:extLst>
            <a:ext uri="{FF2B5EF4-FFF2-40B4-BE49-F238E27FC236}">
              <a16:creationId xmlns:a16="http://schemas.microsoft.com/office/drawing/2014/main" id="{54477A74-E97D-429D-8671-72F017427A3B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53" name="Text Box 910">
          <a:extLst>
            <a:ext uri="{FF2B5EF4-FFF2-40B4-BE49-F238E27FC236}">
              <a16:creationId xmlns:a16="http://schemas.microsoft.com/office/drawing/2014/main" id="{8830BC3E-71A9-42AC-8889-1EEC06C490C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54" name="Text Box 910">
          <a:extLst>
            <a:ext uri="{FF2B5EF4-FFF2-40B4-BE49-F238E27FC236}">
              <a16:creationId xmlns:a16="http://schemas.microsoft.com/office/drawing/2014/main" id="{F7B854B6-9090-4ACE-8EE1-DAA04692C83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55" name="Text Box 910">
          <a:extLst>
            <a:ext uri="{FF2B5EF4-FFF2-40B4-BE49-F238E27FC236}">
              <a16:creationId xmlns:a16="http://schemas.microsoft.com/office/drawing/2014/main" id="{FC62651B-5677-4178-96C8-1B05F78E2BF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56" name="Text Box 910">
          <a:extLst>
            <a:ext uri="{FF2B5EF4-FFF2-40B4-BE49-F238E27FC236}">
              <a16:creationId xmlns:a16="http://schemas.microsoft.com/office/drawing/2014/main" id="{46BE560D-0E22-4B30-A7C8-B4EBC51133C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57" name="Text Box 909">
          <a:extLst>
            <a:ext uri="{FF2B5EF4-FFF2-40B4-BE49-F238E27FC236}">
              <a16:creationId xmlns:a16="http://schemas.microsoft.com/office/drawing/2014/main" id="{F03AD98E-5557-415E-A1E4-D26A58CEE6CF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58" name="Text Box 910">
          <a:extLst>
            <a:ext uri="{FF2B5EF4-FFF2-40B4-BE49-F238E27FC236}">
              <a16:creationId xmlns:a16="http://schemas.microsoft.com/office/drawing/2014/main" id="{B3290795-6CDD-4465-8F6E-93903224C91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59" name="Text Box 910">
          <a:extLst>
            <a:ext uri="{FF2B5EF4-FFF2-40B4-BE49-F238E27FC236}">
              <a16:creationId xmlns:a16="http://schemas.microsoft.com/office/drawing/2014/main" id="{76B958E2-5E9C-4A36-AC3E-737C54B4014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60" name="Text Box 910">
          <a:extLst>
            <a:ext uri="{FF2B5EF4-FFF2-40B4-BE49-F238E27FC236}">
              <a16:creationId xmlns:a16="http://schemas.microsoft.com/office/drawing/2014/main" id="{97AFE435-6C50-4206-B0FF-9BE9AA2B5FB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61" name="Text Box 910">
          <a:extLst>
            <a:ext uri="{FF2B5EF4-FFF2-40B4-BE49-F238E27FC236}">
              <a16:creationId xmlns:a16="http://schemas.microsoft.com/office/drawing/2014/main" id="{031EFAE3-D22D-4BF5-AE6A-F91727984B5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62" name="Text Box 909">
          <a:extLst>
            <a:ext uri="{FF2B5EF4-FFF2-40B4-BE49-F238E27FC236}">
              <a16:creationId xmlns:a16="http://schemas.microsoft.com/office/drawing/2014/main" id="{0396134A-E0DB-4746-8670-9F41F5D74A93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63" name="Text Box 910">
          <a:extLst>
            <a:ext uri="{FF2B5EF4-FFF2-40B4-BE49-F238E27FC236}">
              <a16:creationId xmlns:a16="http://schemas.microsoft.com/office/drawing/2014/main" id="{181BFFD2-0444-48BF-A6F9-187E577063C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64" name="Text Box 910">
          <a:extLst>
            <a:ext uri="{FF2B5EF4-FFF2-40B4-BE49-F238E27FC236}">
              <a16:creationId xmlns:a16="http://schemas.microsoft.com/office/drawing/2014/main" id="{D2A01A30-DDAC-4B33-A0B5-0E0165A8FDE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65" name="Text Box 910">
          <a:extLst>
            <a:ext uri="{FF2B5EF4-FFF2-40B4-BE49-F238E27FC236}">
              <a16:creationId xmlns:a16="http://schemas.microsoft.com/office/drawing/2014/main" id="{3BEF76C6-CC70-4B98-851D-3CE1897B3CF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66" name="Text Box 910">
          <a:extLst>
            <a:ext uri="{FF2B5EF4-FFF2-40B4-BE49-F238E27FC236}">
              <a16:creationId xmlns:a16="http://schemas.microsoft.com/office/drawing/2014/main" id="{84E96D6C-34AA-4D1D-807C-5EC89683768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67" name="Text Box 909">
          <a:extLst>
            <a:ext uri="{FF2B5EF4-FFF2-40B4-BE49-F238E27FC236}">
              <a16:creationId xmlns:a16="http://schemas.microsoft.com/office/drawing/2014/main" id="{5EE6F616-DD49-4428-9FE7-CF720BC09EAC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68" name="Text Box 910">
          <a:extLst>
            <a:ext uri="{FF2B5EF4-FFF2-40B4-BE49-F238E27FC236}">
              <a16:creationId xmlns:a16="http://schemas.microsoft.com/office/drawing/2014/main" id="{42280FA7-427A-4A53-A952-9A99ECB371C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69" name="Text Box 910">
          <a:extLst>
            <a:ext uri="{FF2B5EF4-FFF2-40B4-BE49-F238E27FC236}">
              <a16:creationId xmlns:a16="http://schemas.microsoft.com/office/drawing/2014/main" id="{090BF739-5BAE-4848-A46F-EEF2A9D2283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70" name="Text Box 910">
          <a:extLst>
            <a:ext uri="{FF2B5EF4-FFF2-40B4-BE49-F238E27FC236}">
              <a16:creationId xmlns:a16="http://schemas.microsoft.com/office/drawing/2014/main" id="{99D48D41-7AD8-40B1-B0C7-2A8DAB8F14E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71" name="Text Box 910">
          <a:extLst>
            <a:ext uri="{FF2B5EF4-FFF2-40B4-BE49-F238E27FC236}">
              <a16:creationId xmlns:a16="http://schemas.microsoft.com/office/drawing/2014/main" id="{68DCBD4C-8B00-4BF1-83CE-A8456C7891A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72" name="Text Box 909">
          <a:extLst>
            <a:ext uri="{FF2B5EF4-FFF2-40B4-BE49-F238E27FC236}">
              <a16:creationId xmlns:a16="http://schemas.microsoft.com/office/drawing/2014/main" id="{7E8ABC47-3EDD-45B6-BB68-4723A60B92E6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73" name="Text Box 910">
          <a:extLst>
            <a:ext uri="{FF2B5EF4-FFF2-40B4-BE49-F238E27FC236}">
              <a16:creationId xmlns:a16="http://schemas.microsoft.com/office/drawing/2014/main" id="{78BBE33C-2549-456A-97F3-FB04E3AB215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74" name="Text Box 910">
          <a:extLst>
            <a:ext uri="{FF2B5EF4-FFF2-40B4-BE49-F238E27FC236}">
              <a16:creationId xmlns:a16="http://schemas.microsoft.com/office/drawing/2014/main" id="{B496507D-F8F2-48CC-9870-9D49C7DE7C8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75" name="Text Box 910">
          <a:extLst>
            <a:ext uri="{FF2B5EF4-FFF2-40B4-BE49-F238E27FC236}">
              <a16:creationId xmlns:a16="http://schemas.microsoft.com/office/drawing/2014/main" id="{31160CDB-AC6B-44C5-8CD5-C090D00BFB1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76" name="Text Box 910">
          <a:extLst>
            <a:ext uri="{FF2B5EF4-FFF2-40B4-BE49-F238E27FC236}">
              <a16:creationId xmlns:a16="http://schemas.microsoft.com/office/drawing/2014/main" id="{131C6B27-E14B-411C-888C-CBEFE5B08D2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77" name="Text Box 909">
          <a:extLst>
            <a:ext uri="{FF2B5EF4-FFF2-40B4-BE49-F238E27FC236}">
              <a16:creationId xmlns:a16="http://schemas.microsoft.com/office/drawing/2014/main" id="{EC4F5B36-C4A1-401C-BC17-B064F916B137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78" name="Text Box 910">
          <a:extLst>
            <a:ext uri="{FF2B5EF4-FFF2-40B4-BE49-F238E27FC236}">
              <a16:creationId xmlns:a16="http://schemas.microsoft.com/office/drawing/2014/main" id="{73818AD2-7F7B-459C-B2FF-5EC75071C6B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79" name="Text Box 910">
          <a:extLst>
            <a:ext uri="{FF2B5EF4-FFF2-40B4-BE49-F238E27FC236}">
              <a16:creationId xmlns:a16="http://schemas.microsoft.com/office/drawing/2014/main" id="{9074461B-D435-483F-BD4B-18157E60EB2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80" name="Text Box 910">
          <a:extLst>
            <a:ext uri="{FF2B5EF4-FFF2-40B4-BE49-F238E27FC236}">
              <a16:creationId xmlns:a16="http://schemas.microsoft.com/office/drawing/2014/main" id="{1B1E443E-7669-4165-8E81-7BA77E36BA7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81" name="Text Box 910">
          <a:extLst>
            <a:ext uri="{FF2B5EF4-FFF2-40B4-BE49-F238E27FC236}">
              <a16:creationId xmlns:a16="http://schemas.microsoft.com/office/drawing/2014/main" id="{41427F6F-E748-43FF-8419-D78181F59D6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82" name="Text Box 909">
          <a:extLst>
            <a:ext uri="{FF2B5EF4-FFF2-40B4-BE49-F238E27FC236}">
              <a16:creationId xmlns:a16="http://schemas.microsoft.com/office/drawing/2014/main" id="{3082E9CC-8AF1-4500-B806-4DB9AE62A698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83" name="Text Box 910">
          <a:extLst>
            <a:ext uri="{FF2B5EF4-FFF2-40B4-BE49-F238E27FC236}">
              <a16:creationId xmlns:a16="http://schemas.microsoft.com/office/drawing/2014/main" id="{9FBF6E01-D614-4F1F-92ED-6BA70243A37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84" name="Text Box 910">
          <a:extLst>
            <a:ext uri="{FF2B5EF4-FFF2-40B4-BE49-F238E27FC236}">
              <a16:creationId xmlns:a16="http://schemas.microsoft.com/office/drawing/2014/main" id="{7EC1F45B-5723-460A-8873-4A7F61F80AE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85" name="Text Box 910">
          <a:extLst>
            <a:ext uri="{FF2B5EF4-FFF2-40B4-BE49-F238E27FC236}">
              <a16:creationId xmlns:a16="http://schemas.microsoft.com/office/drawing/2014/main" id="{9FC5E597-9362-407D-A878-4370ECB052C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86" name="Text Box 910">
          <a:extLst>
            <a:ext uri="{FF2B5EF4-FFF2-40B4-BE49-F238E27FC236}">
              <a16:creationId xmlns:a16="http://schemas.microsoft.com/office/drawing/2014/main" id="{B72466CD-01E1-4C96-8336-D87097C6371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48</xdr:row>
      <xdr:rowOff>38100</xdr:rowOff>
    </xdr:from>
    <xdr:to>
      <xdr:col>32</xdr:col>
      <xdr:colOff>142875</xdr:colOff>
      <xdr:row>49</xdr:row>
      <xdr:rowOff>47625</xdr:rowOff>
    </xdr:to>
    <xdr:sp macro="" textlink="">
      <xdr:nvSpPr>
        <xdr:cNvPr id="1787" name="Text Box 909">
          <a:extLst>
            <a:ext uri="{FF2B5EF4-FFF2-40B4-BE49-F238E27FC236}">
              <a16:creationId xmlns:a16="http://schemas.microsoft.com/office/drawing/2014/main" id="{EF95AC5C-5918-4175-A5A3-869BF0276345}"/>
            </a:ext>
          </a:extLst>
        </xdr:cNvPr>
        <xdr:cNvSpPr txBox="1">
          <a:spLocks noChangeArrowheads="1"/>
        </xdr:cNvSpPr>
      </xdr:nvSpPr>
      <xdr:spPr bwMode="auto">
        <a:xfrm>
          <a:off x="4000500" y="57150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88" name="Text Box 910">
          <a:extLst>
            <a:ext uri="{FF2B5EF4-FFF2-40B4-BE49-F238E27FC236}">
              <a16:creationId xmlns:a16="http://schemas.microsoft.com/office/drawing/2014/main" id="{695D6FD1-76C2-49DB-BA99-E77BFED1B2E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89" name="Text Box 910">
          <a:extLst>
            <a:ext uri="{FF2B5EF4-FFF2-40B4-BE49-F238E27FC236}">
              <a16:creationId xmlns:a16="http://schemas.microsoft.com/office/drawing/2014/main" id="{91617943-3277-4698-B588-0EA6D3F2DC9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0" name="Text Box 910">
          <a:extLst>
            <a:ext uri="{FF2B5EF4-FFF2-40B4-BE49-F238E27FC236}">
              <a16:creationId xmlns:a16="http://schemas.microsoft.com/office/drawing/2014/main" id="{AEEB197B-8944-404A-8ABA-3B52C98E165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1" name="Text Box 910">
          <a:extLst>
            <a:ext uri="{FF2B5EF4-FFF2-40B4-BE49-F238E27FC236}">
              <a16:creationId xmlns:a16="http://schemas.microsoft.com/office/drawing/2014/main" id="{7B3D76B6-B904-42FA-A94E-1BDF822C217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2" name="Text Box 910">
          <a:extLst>
            <a:ext uri="{FF2B5EF4-FFF2-40B4-BE49-F238E27FC236}">
              <a16:creationId xmlns:a16="http://schemas.microsoft.com/office/drawing/2014/main" id="{02573457-84D1-4599-8C10-8FD79D0D4DE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3" name="Text Box 910">
          <a:extLst>
            <a:ext uri="{FF2B5EF4-FFF2-40B4-BE49-F238E27FC236}">
              <a16:creationId xmlns:a16="http://schemas.microsoft.com/office/drawing/2014/main" id="{CA2F2D2E-C403-4C96-AE65-98235107A4A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4" name="Text Box 910">
          <a:extLst>
            <a:ext uri="{FF2B5EF4-FFF2-40B4-BE49-F238E27FC236}">
              <a16:creationId xmlns:a16="http://schemas.microsoft.com/office/drawing/2014/main" id="{134F4ED0-07EC-422A-9DDC-F30A591C9FF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5" name="Text Box 910">
          <a:extLst>
            <a:ext uri="{FF2B5EF4-FFF2-40B4-BE49-F238E27FC236}">
              <a16:creationId xmlns:a16="http://schemas.microsoft.com/office/drawing/2014/main" id="{38292C65-08D0-44CE-B09A-6C9F63E3091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6" name="Text Box 910">
          <a:extLst>
            <a:ext uri="{FF2B5EF4-FFF2-40B4-BE49-F238E27FC236}">
              <a16:creationId xmlns:a16="http://schemas.microsoft.com/office/drawing/2014/main" id="{C00E26D3-7F51-48C0-B6B8-0A56E5B3B29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7" name="Text Box 910">
          <a:extLst>
            <a:ext uri="{FF2B5EF4-FFF2-40B4-BE49-F238E27FC236}">
              <a16:creationId xmlns:a16="http://schemas.microsoft.com/office/drawing/2014/main" id="{F68FFA49-7ACC-414C-A673-2DB4AD870B9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8" name="Text Box 910">
          <a:extLst>
            <a:ext uri="{FF2B5EF4-FFF2-40B4-BE49-F238E27FC236}">
              <a16:creationId xmlns:a16="http://schemas.microsoft.com/office/drawing/2014/main" id="{6B53BC2B-D1FB-47AB-BFE1-9534ADF9FE4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799" name="Text Box 910">
          <a:extLst>
            <a:ext uri="{FF2B5EF4-FFF2-40B4-BE49-F238E27FC236}">
              <a16:creationId xmlns:a16="http://schemas.microsoft.com/office/drawing/2014/main" id="{9961B167-6A66-4DE0-A731-D953A0CE7BD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0" name="Text Box 910">
          <a:extLst>
            <a:ext uri="{FF2B5EF4-FFF2-40B4-BE49-F238E27FC236}">
              <a16:creationId xmlns:a16="http://schemas.microsoft.com/office/drawing/2014/main" id="{F0C5B93C-41C6-4B41-80ED-69FCC1C51CC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1" name="Text Box 910">
          <a:extLst>
            <a:ext uri="{FF2B5EF4-FFF2-40B4-BE49-F238E27FC236}">
              <a16:creationId xmlns:a16="http://schemas.microsoft.com/office/drawing/2014/main" id="{626346AC-1DAE-443D-850E-08772B7F9A9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2" name="Text Box 910">
          <a:extLst>
            <a:ext uri="{FF2B5EF4-FFF2-40B4-BE49-F238E27FC236}">
              <a16:creationId xmlns:a16="http://schemas.microsoft.com/office/drawing/2014/main" id="{4CBA3E05-3BB4-4EAA-A499-81BD1DA5042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3" name="Text Box 910">
          <a:extLst>
            <a:ext uri="{FF2B5EF4-FFF2-40B4-BE49-F238E27FC236}">
              <a16:creationId xmlns:a16="http://schemas.microsoft.com/office/drawing/2014/main" id="{BA46CC74-E425-43A6-8120-0A73674A08B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4" name="Text Box 910">
          <a:extLst>
            <a:ext uri="{FF2B5EF4-FFF2-40B4-BE49-F238E27FC236}">
              <a16:creationId xmlns:a16="http://schemas.microsoft.com/office/drawing/2014/main" id="{79498A0C-8ADB-4194-B5AB-48BD51F417A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5" name="Text Box 910">
          <a:extLst>
            <a:ext uri="{FF2B5EF4-FFF2-40B4-BE49-F238E27FC236}">
              <a16:creationId xmlns:a16="http://schemas.microsoft.com/office/drawing/2014/main" id="{6476BF63-F3E8-47B7-8BC7-4BA6AFAC603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6" name="Text Box 910">
          <a:extLst>
            <a:ext uri="{FF2B5EF4-FFF2-40B4-BE49-F238E27FC236}">
              <a16:creationId xmlns:a16="http://schemas.microsoft.com/office/drawing/2014/main" id="{2934BCC0-97E9-4B68-B220-58D72F5EBE1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7" name="Text Box 910">
          <a:extLst>
            <a:ext uri="{FF2B5EF4-FFF2-40B4-BE49-F238E27FC236}">
              <a16:creationId xmlns:a16="http://schemas.microsoft.com/office/drawing/2014/main" id="{FFD7A09C-4E76-4859-8FFC-810E8C11B00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8" name="Text Box 910">
          <a:extLst>
            <a:ext uri="{FF2B5EF4-FFF2-40B4-BE49-F238E27FC236}">
              <a16:creationId xmlns:a16="http://schemas.microsoft.com/office/drawing/2014/main" id="{DF7F02DA-BD22-4984-8477-A1D17DA8B3E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09" name="Text Box 910">
          <a:extLst>
            <a:ext uri="{FF2B5EF4-FFF2-40B4-BE49-F238E27FC236}">
              <a16:creationId xmlns:a16="http://schemas.microsoft.com/office/drawing/2014/main" id="{A4E54C2C-2FEE-417A-AC82-0E41F8BA7FF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0" name="Text Box 910">
          <a:extLst>
            <a:ext uri="{FF2B5EF4-FFF2-40B4-BE49-F238E27FC236}">
              <a16:creationId xmlns:a16="http://schemas.microsoft.com/office/drawing/2014/main" id="{BBF9AD34-E1B7-4E94-92EE-8800C8A6A6F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1" name="Text Box 910">
          <a:extLst>
            <a:ext uri="{FF2B5EF4-FFF2-40B4-BE49-F238E27FC236}">
              <a16:creationId xmlns:a16="http://schemas.microsoft.com/office/drawing/2014/main" id="{E70CCFD6-BFC4-40FB-BCDF-1EEEA6BE1E8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2" name="Text Box 910">
          <a:extLst>
            <a:ext uri="{FF2B5EF4-FFF2-40B4-BE49-F238E27FC236}">
              <a16:creationId xmlns:a16="http://schemas.microsoft.com/office/drawing/2014/main" id="{571874C6-1F83-4360-B76C-FB6762A4FEC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3" name="Text Box 910">
          <a:extLst>
            <a:ext uri="{FF2B5EF4-FFF2-40B4-BE49-F238E27FC236}">
              <a16:creationId xmlns:a16="http://schemas.microsoft.com/office/drawing/2014/main" id="{A186894D-AEE4-407E-ADA1-39B412CBC98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4" name="Text Box 910">
          <a:extLst>
            <a:ext uri="{FF2B5EF4-FFF2-40B4-BE49-F238E27FC236}">
              <a16:creationId xmlns:a16="http://schemas.microsoft.com/office/drawing/2014/main" id="{AD9CD4C9-F9CD-48CE-A013-EFF0224D147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5" name="Text Box 910">
          <a:extLst>
            <a:ext uri="{FF2B5EF4-FFF2-40B4-BE49-F238E27FC236}">
              <a16:creationId xmlns:a16="http://schemas.microsoft.com/office/drawing/2014/main" id="{6B8F651F-445C-4AF8-A0C7-456696E69BC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6" name="Text Box 910">
          <a:extLst>
            <a:ext uri="{FF2B5EF4-FFF2-40B4-BE49-F238E27FC236}">
              <a16:creationId xmlns:a16="http://schemas.microsoft.com/office/drawing/2014/main" id="{EE536595-5BA7-4822-87F2-C2B14D45DFE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7" name="Text Box 910">
          <a:extLst>
            <a:ext uri="{FF2B5EF4-FFF2-40B4-BE49-F238E27FC236}">
              <a16:creationId xmlns:a16="http://schemas.microsoft.com/office/drawing/2014/main" id="{6E6D92C5-1FBA-4845-A474-8E5FDEAA957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8" name="Text Box 910">
          <a:extLst>
            <a:ext uri="{FF2B5EF4-FFF2-40B4-BE49-F238E27FC236}">
              <a16:creationId xmlns:a16="http://schemas.microsoft.com/office/drawing/2014/main" id="{B4CF731B-1AB2-41A7-87C9-DD9F8F00ED4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19" name="Text Box 910">
          <a:extLst>
            <a:ext uri="{FF2B5EF4-FFF2-40B4-BE49-F238E27FC236}">
              <a16:creationId xmlns:a16="http://schemas.microsoft.com/office/drawing/2014/main" id="{5B7F644D-49D9-4A49-AC06-71522882A17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0" name="Text Box 910">
          <a:extLst>
            <a:ext uri="{FF2B5EF4-FFF2-40B4-BE49-F238E27FC236}">
              <a16:creationId xmlns:a16="http://schemas.microsoft.com/office/drawing/2014/main" id="{B7A2FA80-4111-4592-810D-A6C46C8CADB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1" name="Text Box 910">
          <a:extLst>
            <a:ext uri="{FF2B5EF4-FFF2-40B4-BE49-F238E27FC236}">
              <a16:creationId xmlns:a16="http://schemas.microsoft.com/office/drawing/2014/main" id="{91AE0B1F-B299-4B48-9AA5-DAD5C2514E0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2" name="Text Box 910">
          <a:extLst>
            <a:ext uri="{FF2B5EF4-FFF2-40B4-BE49-F238E27FC236}">
              <a16:creationId xmlns:a16="http://schemas.microsoft.com/office/drawing/2014/main" id="{0F405C8D-B34C-4169-8C3F-8C7B19E9DF4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3" name="Text Box 910">
          <a:extLst>
            <a:ext uri="{FF2B5EF4-FFF2-40B4-BE49-F238E27FC236}">
              <a16:creationId xmlns:a16="http://schemas.microsoft.com/office/drawing/2014/main" id="{EA55BDB0-6E29-485E-85E3-FADC8AE2242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4" name="Text Box 910">
          <a:extLst>
            <a:ext uri="{FF2B5EF4-FFF2-40B4-BE49-F238E27FC236}">
              <a16:creationId xmlns:a16="http://schemas.microsoft.com/office/drawing/2014/main" id="{EF9226EF-1805-40AF-95CF-3D23FC5281C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5" name="Text Box 910">
          <a:extLst>
            <a:ext uri="{FF2B5EF4-FFF2-40B4-BE49-F238E27FC236}">
              <a16:creationId xmlns:a16="http://schemas.microsoft.com/office/drawing/2014/main" id="{B752275C-C6BC-40F0-9EE0-16B68E193F0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6" name="Text Box 910">
          <a:extLst>
            <a:ext uri="{FF2B5EF4-FFF2-40B4-BE49-F238E27FC236}">
              <a16:creationId xmlns:a16="http://schemas.microsoft.com/office/drawing/2014/main" id="{B8089E46-4568-44ED-9DC7-AA5B6865F00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7" name="Text Box 910">
          <a:extLst>
            <a:ext uri="{FF2B5EF4-FFF2-40B4-BE49-F238E27FC236}">
              <a16:creationId xmlns:a16="http://schemas.microsoft.com/office/drawing/2014/main" id="{8A344061-0FD8-41EB-91B9-1785FD9C54C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8" name="Text Box 910">
          <a:extLst>
            <a:ext uri="{FF2B5EF4-FFF2-40B4-BE49-F238E27FC236}">
              <a16:creationId xmlns:a16="http://schemas.microsoft.com/office/drawing/2014/main" id="{61E010A9-8DEA-4519-9E27-BC605389D19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29" name="Text Box 910">
          <a:extLst>
            <a:ext uri="{FF2B5EF4-FFF2-40B4-BE49-F238E27FC236}">
              <a16:creationId xmlns:a16="http://schemas.microsoft.com/office/drawing/2014/main" id="{A2A949E2-377A-4D7B-BC74-411B4B912D5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0" name="Text Box 910">
          <a:extLst>
            <a:ext uri="{FF2B5EF4-FFF2-40B4-BE49-F238E27FC236}">
              <a16:creationId xmlns:a16="http://schemas.microsoft.com/office/drawing/2014/main" id="{F294ADCB-A3B1-493E-8D70-74E40E6D046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1" name="Text Box 910">
          <a:extLst>
            <a:ext uri="{FF2B5EF4-FFF2-40B4-BE49-F238E27FC236}">
              <a16:creationId xmlns:a16="http://schemas.microsoft.com/office/drawing/2014/main" id="{B3389FBB-F73B-4D90-95FD-9D74B59E070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2" name="Text Box 910">
          <a:extLst>
            <a:ext uri="{FF2B5EF4-FFF2-40B4-BE49-F238E27FC236}">
              <a16:creationId xmlns:a16="http://schemas.microsoft.com/office/drawing/2014/main" id="{B0EE90A5-5A7B-4E88-82BC-AE45E1B7317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3" name="Text Box 910">
          <a:extLst>
            <a:ext uri="{FF2B5EF4-FFF2-40B4-BE49-F238E27FC236}">
              <a16:creationId xmlns:a16="http://schemas.microsoft.com/office/drawing/2014/main" id="{AE721EA3-7FAB-4BC4-93FD-4B11F4FE4A0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4" name="Text Box 910">
          <a:extLst>
            <a:ext uri="{FF2B5EF4-FFF2-40B4-BE49-F238E27FC236}">
              <a16:creationId xmlns:a16="http://schemas.microsoft.com/office/drawing/2014/main" id="{245D6206-496C-4699-B221-8B76B02A447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5" name="Text Box 910">
          <a:extLst>
            <a:ext uri="{FF2B5EF4-FFF2-40B4-BE49-F238E27FC236}">
              <a16:creationId xmlns:a16="http://schemas.microsoft.com/office/drawing/2014/main" id="{6621BDCD-FEEB-4D03-A447-3AB15952A5B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6" name="Text Box 910">
          <a:extLst>
            <a:ext uri="{FF2B5EF4-FFF2-40B4-BE49-F238E27FC236}">
              <a16:creationId xmlns:a16="http://schemas.microsoft.com/office/drawing/2014/main" id="{AEAB29B1-758B-4C8C-BFBC-F66C9233B3A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7" name="Text Box 910">
          <a:extLst>
            <a:ext uri="{FF2B5EF4-FFF2-40B4-BE49-F238E27FC236}">
              <a16:creationId xmlns:a16="http://schemas.microsoft.com/office/drawing/2014/main" id="{DB8570A3-99FC-4ED4-9728-9F2EEDFCB5F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8" name="Text Box 910">
          <a:extLst>
            <a:ext uri="{FF2B5EF4-FFF2-40B4-BE49-F238E27FC236}">
              <a16:creationId xmlns:a16="http://schemas.microsoft.com/office/drawing/2014/main" id="{2542A542-7006-479F-A530-B68A5EBC52E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39" name="Text Box 910">
          <a:extLst>
            <a:ext uri="{FF2B5EF4-FFF2-40B4-BE49-F238E27FC236}">
              <a16:creationId xmlns:a16="http://schemas.microsoft.com/office/drawing/2014/main" id="{0C6AF0A2-3E98-43A4-9A66-91464C9DAC8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0" name="Text Box 910">
          <a:extLst>
            <a:ext uri="{FF2B5EF4-FFF2-40B4-BE49-F238E27FC236}">
              <a16:creationId xmlns:a16="http://schemas.microsoft.com/office/drawing/2014/main" id="{CF912B9D-E6DF-4AA8-BCF8-1A3C5E810FA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1" name="Text Box 910">
          <a:extLst>
            <a:ext uri="{FF2B5EF4-FFF2-40B4-BE49-F238E27FC236}">
              <a16:creationId xmlns:a16="http://schemas.microsoft.com/office/drawing/2014/main" id="{BB6ED05D-F8B4-4DEB-B936-A060D208543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2" name="Text Box 910">
          <a:extLst>
            <a:ext uri="{FF2B5EF4-FFF2-40B4-BE49-F238E27FC236}">
              <a16:creationId xmlns:a16="http://schemas.microsoft.com/office/drawing/2014/main" id="{21006331-4890-49A8-82F0-E184CB3C835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3" name="Text Box 910">
          <a:extLst>
            <a:ext uri="{FF2B5EF4-FFF2-40B4-BE49-F238E27FC236}">
              <a16:creationId xmlns:a16="http://schemas.microsoft.com/office/drawing/2014/main" id="{9A305DC1-708C-478E-8094-42327ACD911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4" name="Text Box 910">
          <a:extLst>
            <a:ext uri="{FF2B5EF4-FFF2-40B4-BE49-F238E27FC236}">
              <a16:creationId xmlns:a16="http://schemas.microsoft.com/office/drawing/2014/main" id="{0736F7A2-68DF-4606-BAE4-A2D9A5D1111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5" name="Text Box 910">
          <a:extLst>
            <a:ext uri="{FF2B5EF4-FFF2-40B4-BE49-F238E27FC236}">
              <a16:creationId xmlns:a16="http://schemas.microsoft.com/office/drawing/2014/main" id="{61F94A46-D115-4C77-9997-F969388B899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6" name="Text Box 910">
          <a:extLst>
            <a:ext uri="{FF2B5EF4-FFF2-40B4-BE49-F238E27FC236}">
              <a16:creationId xmlns:a16="http://schemas.microsoft.com/office/drawing/2014/main" id="{5CA77665-86D2-41B7-8880-4A728E912CD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7" name="Text Box 910">
          <a:extLst>
            <a:ext uri="{FF2B5EF4-FFF2-40B4-BE49-F238E27FC236}">
              <a16:creationId xmlns:a16="http://schemas.microsoft.com/office/drawing/2014/main" id="{353D7B5F-D2A6-40A2-AAD7-C90D597198D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8" name="Text Box 910">
          <a:extLst>
            <a:ext uri="{FF2B5EF4-FFF2-40B4-BE49-F238E27FC236}">
              <a16:creationId xmlns:a16="http://schemas.microsoft.com/office/drawing/2014/main" id="{7A8D593B-6C0A-466C-9579-CA2C45037CC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49" name="Text Box 910">
          <a:extLst>
            <a:ext uri="{FF2B5EF4-FFF2-40B4-BE49-F238E27FC236}">
              <a16:creationId xmlns:a16="http://schemas.microsoft.com/office/drawing/2014/main" id="{D25CEC58-2406-4492-B19A-D1E4B571E4C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0" name="Text Box 910">
          <a:extLst>
            <a:ext uri="{FF2B5EF4-FFF2-40B4-BE49-F238E27FC236}">
              <a16:creationId xmlns:a16="http://schemas.microsoft.com/office/drawing/2014/main" id="{0AF7E5BD-04B8-405F-B74A-7A35378BCA9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1" name="Text Box 910">
          <a:extLst>
            <a:ext uri="{FF2B5EF4-FFF2-40B4-BE49-F238E27FC236}">
              <a16:creationId xmlns:a16="http://schemas.microsoft.com/office/drawing/2014/main" id="{5E93533C-DF90-4467-B6F0-3F52DF21533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2" name="Text Box 910">
          <a:extLst>
            <a:ext uri="{FF2B5EF4-FFF2-40B4-BE49-F238E27FC236}">
              <a16:creationId xmlns:a16="http://schemas.microsoft.com/office/drawing/2014/main" id="{F2FD4678-09EE-4AB0-A58B-275516F7C17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3" name="Text Box 910">
          <a:extLst>
            <a:ext uri="{FF2B5EF4-FFF2-40B4-BE49-F238E27FC236}">
              <a16:creationId xmlns:a16="http://schemas.microsoft.com/office/drawing/2014/main" id="{679CFA46-52BE-42D5-8539-7E6885D220D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4" name="Text Box 910">
          <a:extLst>
            <a:ext uri="{FF2B5EF4-FFF2-40B4-BE49-F238E27FC236}">
              <a16:creationId xmlns:a16="http://schemas.microsoft.com/office/drawing/2014/main" id="{F11C3B0A-2995-413F-A366-017BBD9B81B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5" name="Text Box 910">
          <a:extLst>
            <a:ext uri="{FF2B5EF4-FFF2-40B4-BE49-F238E27FC236}">
              <a16:creationId xmlns:a16="http://schemas.microsoft.com/office/drawing/2014/main" id="{B24127A1-E372-49E8-A7CF-266838B09A8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6" name="Text Box 910">
          <a:extLst>
            <a:ext uri="{FF2B5EF4-FFF2-40B4-BE49-F238E27FC236}">
              <a16:creationId xmlns:a16="http://schemas.microsoft.com/office/drawing/2014/main" id="{4F03483B-EED7-4BAD-A894-077322619B8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7" name="Text Box 910">
          <a:extLst>
            <a:ext uri="{FF2B5EF4-FFF2-40B4-BE49-F238E27FC236}">
              <a16:creationId xmlns:a16="http://schemas.microsoft.com/office/drawing/2014/main" id="{266B738A-06CC-412F-958F-4B13CA70505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8" name="Text Box 910">
          <a:extLst>
            <a:ext uri="{FF2B5EF4-FFF2-40B4-BE49-F238E27FC236}">
              <a16:creationId xmlns:a16="http://schemas.microsoft.com/office/drawing/2014/main" id="{BE4F98A4-425A-4CA2-A77C-762EEA2B62D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59" name="Text Box 910">
          <a:extLst>
            <a:ext uri="{FF2B5EF4-FFF2-40B4-BE49-F238E27FC236}">
              <a16:creationId xmlns:a16="http://schemas.microsoft.com/office/drawing/2014/main" id="{F15E46B6-8D05-4B7E-AFF6-32B5BD047C5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0" name="Text Box 910">
          <a:extLst>
            <a:ext uri="{FF2B5EF4-FFF2-40B4-BE49-F238E27FC236}">
              <a16:creationId xmlns:a16="http://schemas.microsoft.com/office/drawing/2014/main" id="{DCD8FD0E-5552-4AEC-9EB7-910A45AECA1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1" name="Text Box 910">
          <a:extLst>
            <a:ext uri="{FF2B5EF4-FFF2-40B4-BE49-F238E27FC236}">
              <a16:creationId xmlns:a16="http://schemas.microsoft.com/office/drawing/2014/main" id="{1A223C4F-8586-41F0-AE80-63E0755D301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2" name="Text Box 910">
          <a:extLst>
            <a:ext uri="{FF2B5EF4-FFF2-40B4-BE49-F238E27FC236}">
              <a16:creationId xmlns:a16="http://schemas.microsoft.com/office/drawing/2014/main" id="{651F0F2A-376F-4961-BF37-D57872C47E2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3" name="Text Box 910">
          <a:extLst>
            <a:ext uri="{FF2B5EF4-FFF2-40B4-BE49-F238E27FC236}">
              <a16:creationId xmlns:a16="http://schemas.microsoft.com/office/drawing/2014/main" id="{74E6D356-6C02-4F14-8E26-4B4AB331568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4" name="Text Box 910">
          <a:extLst>
            <a:ext uri="{FF2B5EF4-FFF2-40B4-BE49-F238E27FC236}">
              <a16:creationId xmlns:a16="http://schemas.microsoft.com/office/drawing/2014/main" id="{B78E7865-1C25-4CA6-B4BB-B4FA4FB0996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5" name="Text Box 910">
          <a:extLst>
            <a:ext uri="{FF2B5EF4-FFF2-40B4-BE49-F238E27FC236}">
              <a16:creationId xmlns:a16="http://schemas.microsoft.com/office/drawing/2014/main" id="{B2B97436-4E64-4A44-B78A-EE71B6BEF87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6" name="Text Box 910">
          <a:extLst>
            <a:ext uri="{FF2B5EF4-FFF2-40B4-BE49-F238E27FC236}">
              <a16:creationId xmlns:a16="http://schemas.microsoft.com/office/drawing/2014/main" id="{0AC25ADE-7744-4E78-8ECF-C8AF60A9272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7" name="Text Box 910">
          <a:extLst>
            <a:ext uri="{FF2B5EF4-FFF2-40B4-BE49-F238E27FC236}">
              <a16:creationId xmlns:a16="http://schemas.microsoft.com/office/drawing/2014/main" id="{A0A10CDF-13A1-410C-8340-11EE9206E8A2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8" name="Text Box 910">
          <a:extLst>
            <a:ext uri="{FF2B5EF4-FFF2-40B4-BE49-F238E27FC236}">
              <a16:creationId xmlns:a16="http://schemas.microsoft.com/office/drawing/2014/main" id="{8105F3B9-ED3F-4E1A-BC64-6FB592D7D40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69" name="Text Box 910">
          <a:extLst>
            <a:ext uri="{FF2B5EF4-FFF2-40B4-BE49-F238E27FC236}">
              <a16:creationId xmlns:a16="http://schemas.microsoft.com/office/drawing/2014/main" id="{BB48FAD0-4E73-4D73-9E68-0305F6FD72B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0" name="Text Box 910">
          <a:extLst>
            <a:ext uri="{FF2B5EF4-FFF2-40B4-BE49-F238E27FC236}">
              <a16:creationId xmlns:a16="http://schemas.microsoft.com/office/drawing/2014/main" id="{5A1FA0EB-D4F7-4624-B271-12887852043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1" name="Text Box 910">
          <a:extLst>
            <a:ext uri="{FF2B5EF4-FFF2-40B4-BE49-F238E27FC236}">
              <a16:creationId xmlns:a16="http://schemas.microsoft.com/office/drawing/2014/main" id="{39FE3E32-A7BE-4477-A058-EDE1DC48DFD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2" name="Text Box 910">
          <a:extLst>
            <a:ext uri="{FF2B5EF4-FFF2-40B4-BE49-F238E27FC236}">
              <a16:creationId xmlns:a16="http://schemas.microsoft.com/office/drawing/2014/main" id="{9041CA5C-3E48-4415-9FC1-0229323953D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3" name="Text Box 910">
          <a:extLst>
            <a:ext uri="{FF2B5EF4-FFF2-40B4-BE49-F238E27FC236}">
              <a16:creationId xmlns:a16="http://schemas.microsoft.com/office/drawing/2014/main" id="{E5D12B27-6908-4CCC-AA37-4051A7091B5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4" name="Text Box 910">
          <a:extLst>
            <a:ext uri="{FF2B5EF4-FFF2-40B4-BE49-F238E27FC236}">
              <a16:creationId xmlns:a16="http://schemas.microsoft.com/office/drawing/2014/main" id="{992E2B3A-1E99-4E20-BBBF-C55729AAC41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5" name="Text Box 910">
          <a:extLst>
            <a:ext uri="{FF2B5EF4-FFF2-40B4-BE49-F238E27FC236}">
              <a16:creationId xmlns:a16="http://schemas.microsoft.com/office/drawing/2014/main" id="{B96524E1-904C-48FE-B0EF-CB571A9969F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6" name="Text Box 910">
          <a:extLst>
            <a:ext uri="{FF2B5EF4-FFF2-40B4-BE49-F238E27FC236}">
              <a16:creationId xmlns:a16="http://schemas.microsoft.com/office/drawing/2014/main" id="{4C027988-BBA4-47E1-91A7-F9985B590DD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7" name="Text Box 910">
          <a:extLst>
            <a:ext uri="{FF2B5EF4-FFF2-40B4-BE49-F238E27FC236}">
              <a16:creationId xmlns:a16="http://schemas.microsoft.com/office/drawing/2014/main" id="{38D7EE82-DE3C-419D-B233-9EB48D6C89C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8" name="Text Box 910">
          <a:extLst>
            <a:ext uri="{FF2B5EF4-FFF2-40B4-BE49-F238E27FC236}">
              <a16:creationId xmlns:a16="http://schemas.microsoft.com/office/drawing/2014/main" id="{8DD1EFBC-6911-4A82-90FA-08A294825B3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79" name="Text Box 910">
          <a:extLst>
            <a:ext uri="{FF2B5EF4-FFF2-40B4-BE49-F238E27FC236}">
              <a16:creationId xmlns:a16="http://schemas.microsoft.com/office/drawing/2014/main" id="{362FAE7D-22A6-460C-A57A-1A80303B468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0" name="Text Box 910">
          <a:extLst>
            <a:ext uri="{FF2B5EF4-FFF2-40B4-BE49-F238E27FC236}">
              <a16:creationId xmlns:a16="http://schemas.microsoft.com/office/drawing/2014/main" id="{5AEEE91A-0CFC-4224-A7CA-D42AF19CD3D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1" name="Text Box 910">
          <a:extLst>
            <a:ext uri="{FF2B5EF4-FFF2-40B4-BE49-F238E27FC236}">
              <a16:creationId xmlns:a16="http://schemas.microsoft.com/office/drawing/2014/main" id="{AD800218-B8C2-43EF-87DC-FDC76F00B73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2" name="Text Box 910">
          <a:extLst>
            <a:ext uri="{FF2B5EF4-FFF2-40B4-BE49-F238E27FC236}">
              <a16:creationId xmlns:a16="http://schemas.microsoft.com/office/drawing/2014/main" id="{A300B721-6170-42D4-8D15-8523E91E671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3" name="Text Box 910">
          <a:extLst>
            <a:ext uri="{FF2B5EF4-FFF2-40B4-BE49-F238E27FC236}">
              <a16:creationId xmlns:a16="http://schemas.microsoft.com/office/drawing/2014/main" id="{36840020-950E-4A1D-ABAA-BD32F0A8212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4" name="Text Box 910">
          <a:extLst>
            <a:ext uri="{FF2B5EF4-FFF2-40B4-BE49-F238E27FC236}">
              <a16:creationId xmlns:a16="http://schemas.microsoft.com/office/drawing/2014/main" id="{61FCAAD8-F3AE-4EAC-9376-A2DC9C04420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5" name="Text Box 910">
          <a:extLst>
            <a:ext uri="{FF2B5EF4-FFF2-40B4-BE49-F238E27FC236}">
              <a16:creationId xmlns:a16="http://schemas.microsoft.com/office/drawing/2014/main" id="{5EF0CDBD-F570-411C-A07F-5C673DA78BF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6" name="Text Box 910">
          <a:extLst>
            <a:ext uri="{FF2B5EF4-FFF2-40B4-BE49-F238E27FC236}">
              <a16:creationId xmlns:a16="http://schemas.microsoft.com/office/drawing/2014/main" id="{A3F0230A-AA88-45F5-86C9-0C33B9672CE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7" name="Text Box 910">
          <a:extLst>
            <a:ext uri="{FF2B5EF4-FFF2-40B4-BE49-F238E27FC236}">
              <a16:creationId xmlns:a16="http://schemas.microsoft.com/office/drawing/2014/main" id="{AD6F882A-358C-4B76-AE7D-BB64557147A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8" name="Text Box 910">
          <a:extLst>
            <a:ext uri="{FF2B5EF4-FFF2-40B4-BE49-F238E27FC236}">
              <a16:creationId xmlns:a16="http://schemas.microsoft.com/office/drawing/2014/main" id="{BCF02C3C-D296-4680-BD84-EAD5C391338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89" name="Text Box 910">
          <a:extLst>
            <a:ext uri="{FF2B5EF4-FFF2-40B4-BE49-F238E27FC236}">
              <a16:creationId xmlns:a16="http://schemas.microsoft.com/office/drawing/2014/main" id="{7EB256E7-1483-40E7-AC2A-52CE5F33705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0" name="Text Box 910">
          <a:extLst>
            <a:ext uri="{FF2B5EF4-FFF2-40B4-BE49-F238E27FC236}">
              <a16:creationId xmlns:a16="http://schemas.microsoft.com/office/drawing/2014/main" id="{6FF5B87C-AFB2-4793-856D-81FC73FAAE9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1" name="Text Box 910">
          <a:extLst>
            <a:ext uri="{FF2B5EF4-FFF2-40B4-BE49-F238E27FC236}">
              <a16:creationId xmlns:a16="http://schemas.microsoft.com/office/drawing/2014/main" id="{D0B27C5C-E987-4CB0-8254-012E0CEF53E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2" name="Text Box 910">
          <a:extLst>
            <a:ext uri="{FF2B5EF4-FFF2-40B4-BE49-F238E27FC236}">
              <a16:creationId xmlns:a16="http://schemas.microsoft.com/office/drawing/2014/main" id="{7903E552-B51B-4F50-BE9D-9ECC266BA9C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3" name="Text Box 910">
          <a:extLst>
            <a:ext uri="{FF2B5EF4-FFF2-40B4-BE49-F238E27FC236}">
              <a16:creationId xmlns:a16="http://schemas.microsoft.com/office/drawing/2014/main" id="{85FF0314-8783-4034-813F-06C96B38A9C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4" name="Text Box 910">
          <a:extLst>
            <a:ext uri="{FF2B5EF4-FFF2-40B4-BE49-F238E27FC236}">
              <a16:creationId xmlns:a16="http://schemas.microsoft.com/office/drawing/2014/main" id="{3846AAB3-1C50-4949-8B12-1F732730C7D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5" name="Text Box 910">
          <a:extLst>
            <a:ext uri="{FF2B5EF4-FFF2-40B4-BE49-F238E27FC236}">
              <a16:creationId xmlns:a16="http://schemas.microsoft.com/office/drawing/2014/main" id="{B8D851C7-29E2-434E-BB84-DA97AA03157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6" name="Text Box 910">
          <a:extLst>
            <a:ext uri="{FF2B5EF4-FFF2-40B4-BE49-F238E27FC236}">
              <a16:creationId xmlns:a16="http://schemas.microsoft.com/office/drawing/2014/main" id="{13F1FF57-5307-432B-BF51-011CD24C1CC1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7" name="Text Box 910">
          <a:extLst>
            <a:ext uri="{FF2B5EF4-FFF2-40B4-BE49-F238E27FC236}">
              <a16:creationId xmlns:a16="http://schemas.microsoft.com/office/drawing/2014/main" id="{BA63859D-15B6-4D8F-9CAF-23A1A4F406E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8" name="Text Box 910">
          <a:extLst>
            <a:ext uri="{FF2B5EF4-FFF2-40B4-BE49-F238E27FC236}">
              <a16:creationId xmlns:a16="http://schemas.microsoft.com/office/drawing/2014/main" id="{C8D13CCF-90F3-4431-BFED-AE7CE2FD0ABA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899" name="Text Box 910">
          <a:extLst>
            <a:ext uri="{FF2B5EF4-FFF2-40B4-BE49-F238E27FC236}">
              <a16:creationId xmlns:a16="http://schemas.microsoft.com/office/drawing/2014/main" id="{87E5509A-7DA7-45B9-A723-43DC4F2524B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0" name="Text Box 910">
          <a:extLst>
            <a:ext uri="{FF2B5EF4-FFF2-40B4-BE49-F238E27FC236}">
              <a16:creationId xmlns:a16="http://schemas.microsoft.com/office/drawing/2014/main" id="{4A8E9B6D-8FE4-4502-B4EA-93368B03A735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1" name="Text Box 910">
          <a:extLst>
            <a:ext uri="{FF2B5EF4-FFF2-40B4-BE49-F238E27FC236}">
              <a16:creationId xmlns:a16="http://schemas.microsoft.com/office/drawing/2014/main" id="{F035D98A-CD6C-4539-82E8-E8C4EC97CA53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2" name="Text Box 910">
          <a:extLst>
            <a:ext uri="{FF2B5EF4-FFF2-40B4-BE49-F238E27FC236}">
              <a16:creationId xmlns:a16="http://schemas.microsoft.com/office/drawing/2014/main" id="{7FF3E0BD-F9BA-4E62-97C7-D25716A3AAF0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3" name="Text Box 910">
          <a:extLst>
            <a:ext uri="{FF2B5EF4-FFF2-40B4-BE49-F238E27FC236}">
              <a16:creationId xmlns:a16="http://schemas.microsoft.com/office/drawing/2014/main" id="{B5912825-52F7-4BD7-BEEA-F081FBBEDA9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4" name="Text Box 910">
          <a:extLst>
            <a:ext uri="{FF2B5EF4-FFF2-40B4-BE49-F238E27FC236}">
              <a16:creationId xmlns:a16="http://schemas.microsoft.com/office/drawing/2014/main" id="{14780C1A-5C16-49A8-B8E8-2619539FC846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5" name="Text Box 910">
          <a:extLst>
            <a:ext uri="{FF2B5EF4-FFF2-40B4-BE49-F238E27FC236}">
              <a16:creationId xmlns:a16="http://schemas.microsoft.com/office/drawing/2014/main" id="{26A76DD4-3E14-465D-8D81-956EEA6CCCAF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6" name="Text Box 910">
          <a:extLst>
            <a:ext uri="{FF2B5EF4-FFF2-40B4-BE49-F238E27FC236}">
              <a16:creationId xmlns:a16="http://schemas.microsoft.com/office/drawing/2014/main" id="{A2EEAE1B-291D-4F4F-94E7-FD81215FA44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7" name="Text Box 910">
          <a:extLst>
            <a:ext uri="{FF2B5EF4-FFF2-40B4-BE49-F238E27FC236}">
              <a16:creationId xmlns:a16="http://schemas.microsoft.com/office/drawing/2014/main" id="{D247BD97-A4AE-4DEB-A476-AD5DDA86147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8" name="Text Box 910">
          <a:extLst>
            <a:ext uri="{FF2B5EF4-FFF2-40B4-BE49-F238E27FC236}">
              <a16:creationId xmlns:a16="http://schemas.microsoft.com/office/drawing/2014/main" id="{83B5620B-BEA4-46B1-973E-652CFD8BDD37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09" name="Text Box 910">
          <a:extLst>
            <a:ext uri="{FF2B5EF4-FFF2-40B4-BE49-F238E27FC236}">
              <a16:creationId xmlns:a16="http://schemas.microsoft.com/office/drawing/2014/main" id="{8FC8252D-8F58-4E4C-BF85-BBEAF5193BC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0" name="Text Box 910">
          <a:extLst>
            <a:ext uri="{FF2B5EF4-FFF2-40B4-BE49-F238E27FC236}">
              <a16:creationId xmlns:a16="http://schemas.microsoft.com/office/drawing/2014/main" id="{5BDC528A-C464-4D6F-933B-BF73AA08117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1" name="Text Box 910">
          <a:extLst>
            <a:ext uri="{FF2B5EF4-FFF2-40B4-BE49-F238E27FC236}">
              <a16:creationId xmlns:a16="http://schemas.microsoft.com/office/drawing/2014/main" id="{6C4E42B0-D8A2-4D72-B3FA-754AE2C2E5B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2" name="Text Box 910">
          <a:extLst>
            <a:ext uri="{FF2B5EF4-FFF2-40B4-BE49-F238E27FC236}">
              <a16:creationId xmlns:a16="http://schemas.microsoft.com/office/drawing/2014/main" id="{74AB590C-457E-4EA1-8374-BA0E3A7AE5DE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3" name="Text Box 910">
          <a:extLst>
            <a:ext uri="{FF2B5EF4-FFF2-40B4-BE49-F238E27FC236}">
              <a16:creationId xmlns:a16="http://schemas.microsoft.com/office/drawing/2014/main" id="{F72440B1-BDA0-4BDF-9581-9A92C67D19CD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4" name="Text Box 910">
          <a:extLst>
            <a:ext uri="{FF2B5EF4-FFF2-40B4-BE49-F238E27FC236}">
              <a16:creationId xmlns:a16="http://schemas.microsoft.com/office/drawing/2014/main" id="{8357835A-8F28-4DB4-9713-93D6099AF73B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5" name="Text Box 910">
          <a:extLst>
            <a:ext uri="{FF2B5EF4-FFF2-40B4-BE49-F238E27FC236}">
              <a16:creationId xmlns:a16="http://schemas.microsoft.com/office/drawing/2014/main" id="{E6F27F61-1C4D-425D-9A9F-7AED688499A9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6" name="Text Box 910">
          <a:extLst>
            <a:ext uri="{FF2B5EF4-FFF2-40B4-BE49-F238E27FC236}">
              <a16:creationId xmlns:a16="http://schemas.microsoft.com/office/drawing/2014/main" id="{425A826A-2340-4054-AA71-459C2D50E998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7" name="Text Box 910">
          <a:extLst>
            <a:ext uri="{FF2B5EF4-FFF2-40B4-BE49-F238E27FC236}">
              <a16:creationId xmlns:a16="http://schemas.microsoft.com/office/drawing/2014/main" id="{04D97446-9515-4950-9D46-879A2A4BABEC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57</xdr:row>
      <xdr:rowOff>68580</xdr:rowOff>
    </xdr:from>
    <xdr:to>
      <xdr:col>29</xdr:col>
      <xdr:colOff>104775</xdr:colOff>
      <xdr:row>59</xdr:row>
      <xdr:rowOff>9525</xdr:rowOff>
    </xdr:to>
    <xdr:sp macro="" textlink="">
      <xdr:nvSpPr>
        <xdr:cNvPr id="1918" name="Text Box 910">
          <a:extLst>
            <a:ext uri="{FF2B5EF4-FFF2-40B4-BE49-F238E27FC236}">
              <a16:creationId xmlns:a16="http://schemas.microsoft.com/office/drawing/2014/main" id="{98EB2C86-9C49-4349-B337-446AFD428A34}"/>
            </a:ext>
          </a:extLst>
        </xdr:cNvPr>
        <xdr:cNvSpPr txBox="1">
          <a:spLocks noChangeArrowheads="1"/>
        </xdr:cNvSpPr>
      </xdr:nvSpPr>
      <xdr:spPr bwMode="auto">
        <a:xfrm>
          <a:off x="4514850" y="72218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200025</xdr:colOff>
          <xdr:row>6</xdr:row>
          <xdr:rowOff>9525</xdr:rowOff>
        </xdr:from>
        <xdr:to>
          <xdr:col>38</xdr:col>
          <xdr:colOff>57150</xdr:colOff>
          <xdr:row>8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19" name="Text Box 910">
          <a:extLst>
            <a:ext uri="{FF2B5EF4-FFF2-40B4-BE49-F238E27FC236}">
              <a16:creationId xmlns:a16="http://schemas.microsoft.com/office/drawing/2014/main" id="{8EA50359-0DD4-41D6-B19F-DF9F593870A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0" name="Text Box 910">
          <a:extLst>
            <a:ext uri="{FF2B5EF4-FFF2-40B4-BE49-F238E27FC236}">
              <a16:creationId xmlns:a16="http://schemas.microsoft.com/office/drawing/2014/main" id="{232599BD-26AC-40D1-889F-BAA66239D50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1" name="Text Box 910">
          <a:extLst>
            <a:ext uri="{FF2B5EF4-FFF2-40B4-BE49-F238E27FC236}">
              <a16:creationId xmlns:a16="http://schemas.microsoft.com/office/drawing/2014/main" id="{20DD989B-327C-485B-9CDD-639EACA305D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2" name="Text Box 910">
          <a:extLst>
            <a:ext uri="{FF2B5EF4-FFF2-40B4-BE49-F238E27FC236}">
              <a16:creationId xmlns:a16="http://schemas.microsoft.com/office/drawing/2014/main" id="{B828F9B8-231F-476B-890A-A774B2C724F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3" name="Text Box 910">
          <a:extLst>
            <a:ext uri="{FF2B5EF4-FFF2-40B4-BE49-F238E27FC236}">
              <a16:creationId xmlns:a16="http://schemas.microsoft.com/office/drawing/2014/main" id="{212A2F0C-3506-475A-8609-09BFD4C69C2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4" name="Text Box 910">
          <a:extLst>
            <a:ext uri="{FF2B5EF4-FFF2-40B4-BE49-F238E27FC236}">
              <a16:creationId xmlns:a16="http://schemas.microsoft.com/office/drawing/2014/main" id="{E3FEE931-481D-4038-BCEB-41B0206CE13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5" name="Text Box 910">
          <a:extLst>
            <a:ext uri="{FF2B5EF4-FFF2-40B4-BE49-F238E27FC236}">
              <a16:creationId xmlns:a16="http://schemas.microsoft.com/office/drawing/2014/main" id="{6E14930D-F1E7-495D-9195-686E83A4FC2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6" name="Text Box 910">
          <a:extLst>
            <a:ext uri="{FF2B5EF4-FFF2-40B4-BE49-F238E27FC236}">
              <a16:creationId xmlns:a16="http://schemas.microsoft.com/office/drawing/2014/main" id="{39DD1D5A-B9C3-45BF-AB6E-63F304AB377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7" name="Text Box 910">
          <a:extLst>
            <a:ext uri="{FF2B5EF4-FFF2-40B4-BE49-F238E27FC236}">
              <a16:creationId xmlns:a16="http://schemas.microsoft.com/office/drawing/2014/main" id="{679675DE-B4CC-402E-AE99-EBDD9ED1F23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8" name="Text Box 910">
          <a:extLst>
            <a:ext uri="{FF2B5EF4-FFF2-40B4-BE49-F238E27FC236}">
              <a16:creationId xmlns:a16="http://schemas.microsoft.com/office/drawing/2014/main" id="{F422D30E-4DD5-49EB-BB56-6DD21333E9C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29" name="Text Box 910">
          <a:extLst>
            <a:ext uri="{FF2B5EF4-FFF2-40B4-BE49-F238E27FC236}">
              <a16:creationId xmlns:a16="http://schemas.microsoft.com/office/drawing/2014/main" id="{0376850C-F36D-4E77-A104-2543453053E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0" name="Text Box 910">
          <a:extLst>
            <a:ext uri="{FF2B5EF4-FFF2-40B4-BE49-F238E27FC236}">
              <a16:creationId xmlns:a16="http://schemas.microsoft.com/office/drawing/2014/main" id="{19E57513-2F58-4966-B1EA-AF9383B015A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1" name="Text Box 910">
          <a:extLst>
            <a:ext uri="{FF2B5EF4-FFF2-40B4-BE49-F238E27FC236}">
              <a16:creationId xmlns:a16="http://schemas.microsoft.com/office/drawing/2014/main" id="{E98C0C96-9C57-4319-8CE5-983B740A0ED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2" name="Text Box 910">
          <a:extLst>
            <a:ext uri="{FF2B5EF4-FFF2-40B4-BE49-F238E27FC236}">
              <a16:creationId xmlns:a16="http://schemas.microsoft.com/office/drawing/2014/main" id="{EE6B2217-86B7-4C1D-B205-BEB94010E52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3" name="Text Box 910">
          <a:extLst>
            <a:ext uri="{FF2B5EF4-FFF2-40B4-BE49-F238E27FC236}">
              <a16:creationId xmlns:a16="http://schemas.microsoft.com/office/drawing/2014/main" id="{565B4122-F54B-4465-8AE1-A4DF151021E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4" name="Text Box 910">
          <a:extLst>
            <a:ext uri="{FF2B5EF4-FFF2-40B4-BE49-F238E27FC236}">
              <a16:creationId xmlns:a16="http://schemas.microsoft.com/office/drawing/2014/main" id="{FB4E7932-468A-4772-9B4C-AE450B5B2AA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5" name="Text Box 910">
          <a:extLst>
            <a:ext uri="{FF2B5EF4-FFF2-40B4-BE49-F238E27FC236}">
              <a16:creationId xmlns:a16="http://schemas.microsoft.com/office/drawing/2014/main" id="{41E2B117-1674-405B-9F05-30C8FEA5875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6" name="Text Box 910">
          <a:extLst>
            <a:ext uri="{FF2B5EF4-FFF2-40B4-BE49-F238E27FC236}">
              <a16:creationId xmlns:a16="http://schemas.microsoft.com/office/drawing/2014/main" id="{9A986D24-55F7-4A61-B825-00A7FB8A848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7" name="Text Box 910">
          <a:extLst>
            <a:ext uri="{FF2B5EF4-FFF2-40B4-BE49-F238E27FC236}">
              <a16:creationId xmlns:a16="http://schemas.microsoft.com/office/drawing/2014/main" id="{399B3ED3-0B31-406F-B2C0-B6AE6FFA5BA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8" name="Text Box 910">
          <a:extLst>
            <a:ext uri="{FF2B5EF4-FFF2-40B4-BE49-F238E27FC236}">
              <a16:creationId xmlns:a16="http://schemas.microsoft.com/office/drawing/2014/main" id="{971ECF20-9750-45FA-958F-8366DBAF590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39" name="Text Box 910">
          <a:extLst>
            <a:ext uri="{FF2B5EF4-FFF2-40B4-BE49-F238E27FC236}">
              <a16:creationId xmlns:a16="http://schemas.microsoft.com/office/drawing/2014/main" id="{2A393CC6-FB05-48C3-A7BA-69C63036FB1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0" name="Text Box 910">
          <a:extLst>
            <a:ext uri="{FF2B5EF4-FFF2-40B4-BE49-F238E27FC236}">
              <a16:creationId xmlns:a16="http://schemas.microsoft.com/office/drawing/2014/main" id="{C7496D91-0689-4E52-B125-D92FD198485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1" name="Text Box 910">
          <a:extLst>
            <a:ext uri="{FF2B5EF4-FFF2-40B4-BE49-F238E27FC236}">
              <a16:creationId xmlns:a16="http://schemas.microsoft.com/office/drawing/2014/main" id="{F307FE24-EEDE-46E6-BA97-2494104877E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2" name="Text Box 910">
          <a:extLst>
            <a:ext uri="{FF2B5EF4-FFF2-40B4-BE49-F238E27FC236}">
              <a16:creationId xmlns:a16="http://schemas.microsoft.com/office/drawing/2014/main" id="{786D5FBC-E45C-474C-8A51-7E09E11E40B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3" name="Text Box 910">
          <a:extLst>
            <a:ext uri="{FF2B5EF4-FFF2-40B4-BE49-F238E27FC236}">
              <a16:creationId xmlns:a16="http://schemas.microsoft.com/office/drawing/2014/main" id="{8F19E290-4621-4F9A-90C6-C24BA80FF90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4" name="Text Box 910">
          <a:extLst>
            <a:ext uri="{FF2B5EF4-FFF2-40B4-BE49-F238E27FC236}">
              <a16:creationId xmlns:a16="http://schemas.microsoft.com/office/drawing/2014/main" id="{E6915DA0-D7E9-4A71-9778-E6245DDB6DD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5" name="Text Box 910">
          <a:extLst>
            <a:ext uri="{FF2B5EF4-FFF2-40B4-BE49-F238E27FC236}">
              <a16:creationId xmlns:a16="http://schemas.microsoft.com/office/drawing/2014/main" id="{6AFA3044-17B4-4C3E-AFD5-BB4F747B039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6" name="Text Box 910">
          <a:extLst>
            <a:ext uri="{FF2B5EF4-FFF2-40B4-BE49-F238E27FC236}">
              <a16:creationId xmlns:a16="http://schemas.microsoft.com/office/drawing/2014/main" id="{CA062E02-83F0-4948-AF7C-5B09191DB6E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7" name="Text Box 910">
          <a:extLst>
            <a:ext uri="{FF2B5EF4-FFF2-40B4-BE49-F238E27FC236}">
              <a16:creationId xmlns:a16="http://schemas.microsoft.com/office/drawing/2014/main" id="{CD757E39-C891-4710-8FD2-0A01A3B1327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8" name="Text Box 910">
          <a:extLst>
            <a:ext uri="{FF2B5EF4-FFF2-40B4-BE49-F238E27FC236}">
              <a16:creationId xmlns:a16="http://schemas.microsoft.com/office/drawing/2014/main" id="{F3797D20-04CA-4A5A-A09A-8613AFE3882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49" name="Text Box 910">
          <a:extLst>
            <a:ext uri="{FF2B5EF4-FFF2-40B4-BE49-F238E27FC236}">
              <a16:creationId xmlns:a16="http://schemas.microsoft.com/office/drawing/2014/main" id="{6E0AEF73-0239-4864-902B-299DFD5621C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0" name="Text Box 910">
          <a:extLst>
            <a:ext uri="{FF2B5EF4-FFF2-40B4-BE49-F238E27FC236}">
              <a16:creationId xmlns:a16="http://schemas.microsoft.com/office/drawing/2014/main" id="{DB5C99CD-D94F-4ECE-8C11-065E244F678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1" name="Text Box 910">
          <a:extLst>
            <a:ext uri="{FF2B5EF4-FFF2-40B4-BE49-F238E27FC236}">
              <a16:creationId xmlns:a16="http://schemas.microsoft.com/office/drawing/2014/main" id="{B92C8819-E6D3-4ACC-87D5-D56CB2F80B4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2" name="Text Box 910">
          <a:extLst>
            <a:ext uri="{FF2B5EF4-FFF2-40B4-BE49-F238E27FC236}">
              <a16:creationId xmlns:a16="http://schemas.microsoft.com/office/drawing/2014/main" id="{F0831799-EE96-432F-BE92-8E76678A05D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3" name="Text Box 910">
          <a:extLst>
            <a:ext uri="{FF2B5EF4-FFF2-40B4-BE49-F238E27FC236}">
              <a16:creationId xmlns:a16="http://schemas.microsoft.com/office/drawing/2014/main" id="{018BCE58-6C04-42C4-B9D4-3BD96305C7C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4" name="Text Box 910">
          <a:extLst>
            <a:ext uri="{FF2B5EF4-FFF2-40B4-BE49-F238E27FC236}">
              <a16:creationId xmlns:a16="http://schemas.microsoft.com/office/drawing/2014/main" id="{36FDB857-937A-4296-A164-5212BC7A483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5" name="Text Box 910">
          <a:extLst>
            <a:ext uri="{FF2B5EF4-FFF2-40B4-BE49-F238E27FC236}">
              <a16:creationId xmlns:a16="http://schemas.microsoft.com/office/drawing/2014/main" id="{32690AB8-A84E-47BD-91E1-C6C725CD80B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6" name="Text Box 910">
          <a:extLst>
            <a:ext uri="{FF2B5EF4-FFF2-40B4-BE49-F238E27FC236}">
              <a16:creationId xmlns:a16="http://schemas.microsoft.com/office/drawing/2014/main" id="{AF3C3FF7-C879-44FD-965D-6241B330C78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7" name="Text Box 910">
          <a:extLst>
            <a:ext uri="{FF2B5EF4-FFF2-40B4-BE49-F238E27FC236}">
              <a16:creationId xmlns:a16="http://schemas.microsoft.com/office/drawing/2014/main" id="{1993AB1D-0F50-4115-916E-AE2F64020D1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8" name="Text Box 910">
          <a:extLst>
            <a:ext uri="{FF2B5EF4-FFF2-40B4-BE49-F238E27FC236}">
              <a16:creationId xmlns:a16="http://schemas.microsoft.com/office/drawing/2014/main" id="{DF63BC07-900D-4226-A708-E14831A811C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59" name="Text Box 910">
          <a:extLst>
            <a:ext uri="{FF2B5EF4-FFF2-40B4-BE49-F238E27FC236}">
              <a16:creationId xmlns:a16="http://schemas.microsoft.com/office/drawing/2014/main" id="{9FE70A00-C603-409B-A61A-43D3523CC7D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0" name="Text Box 910">
          <a:extLst>
            <a:ext uri="{FF2B5EF4-FFF2-40B4-BE49-F238E27FC236}">
              <a16:creationId xmlns:a16="http://schemas.microsoft.com/office/drawing/2014/main" id="{B2A64B30-56B4-4D1F-9EC8-475A9E747E9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1" name="Text Box 910">
          <a:extLst>
            <a:ext uri="{FF2B5EF4-FFF2-40B4-BE49-F238E27FC236}">
              <a16:creationId xmlns:a16="http://schemas.microsoft.com/office/drawing/2014/main" id="{B28710EC-99EB-4227-83B0-F45223BD16C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2" name="Text Box 910">
          <a:extLst>
            <a:ext uri="{FF2B5EF4-FFF2-40B4-BE49-F238E27FC236}">
              <a16:creationId xmlns:a16="http://schemas.microsoft.com/office/drawing/2014/main" id="{0F1C8067-3722-4EB7-AD9C-240956D639F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3" name="Text Box 910">
          <a:extLst>
            <a:ext uri="{FF2B5EF4-FFF2-40B4-BE49-F238E27FC236}">
              <a16:creationId xmlns:a16="http://schemas.microsoft.com/office/drawing/2014/main" id="{D86147DF-B0BE-481A-BF14-22AA7E9B486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4" name="Text Box 910">
          <a:extLst>
            <a:ext uri="{FF2B5EF4-FFF2-40B4-BE49-F238E27FC236}">
              <a16:creationId xmlns:a16="http://schemas.microsoft.com/office/drawing/2014/main" id="{16C6BFA2-06AB-4B7D-9AB4-2996307B9B3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5" name="Text Box 910">
          <a:extLst>
            <a:ext uri="{FF2B5EF4-FFF2-40B4-BE49-F238E27FC236}">
              <a16:creationId xmlns:a16="http://schemas.microsoft.com/office/drawing/2014/main" id="{84FF3510-4F08-491A-942F-E9CCAAE5BE5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6" name="Text Box 910">
          <a:extLst>
            <a:ext uri="{FF2B5EF4-FFF2-40B4-BE49-F238E27FC236}">
              <a16:creationId xmlns:a16="http://schemas.microsoft.com/office/drawing/2014/main" id="{CB3B00D8-56E7-4BDE-AA41-C6152DF11BD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7" name="Text Box 910">
          <a:extLst>
            <a:ext uri="{FF2B5EF4-FFF2-40B4-BE49-F238E27FC236}">
              <a16:creationId xmlns:a16="http://schemas.microsoft.com/office/drawing/2014/main" id="{427D1456-E9A0-4FE3-9FD3-F24ACD0BEB2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8" name="Text Box 910">
          <a:extLst>
            <a:ext uri="{FF2B5EF4-FFF2-40B4-BE49-F238E27FC236}">
              <a16:creationId xmlns:a16="http://schemas.microsoft.com/office/drawing/2014/main" id="{B9CE35FC-574B-455E-AA77-3111E88A534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69" name="Text Box 910">
          <a:extLst>
            <a:ext uri="{FF2B5EF4-FFF2-40B4-BE49-F238E27FC236}">
              <a16:creationId xmlns:a16="http://schemas.microsoft.com/office/drawing/2014/main" id="{C42E5078-099B-4215-98B8-BC686CA4E0B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0" name="Text Box 910">
          <a:extLst>
            <a:ext uri="{FF2B5EF4-FFF2-40B4-BE49-F238E27FC236}">
              <a16:creationId xmlns:a16="http://schemas.microsoft.com/office/drawing/2014/main" id="{B88D8887-89B0-4B68-8D23-3988AAD4485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1" name="Text Box 910">
          <a:extLst>
            <a:ext uri="{FF2B5EF4-FFF2-40B4-BE49-F238E27FC236}">
              <a16:creationId xmlns:a16="http://schemas.microsoft.com/office/drawing/2014/main" id="{E6E9CAC4-C7A6-4F71-A520-6AE87342139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2" name="Text Box 910">
          <a:extLst>
            <a:ext uri="{FF2B5EF4-FFF2-40B4-BE49-F238E27FC236}">
              <a16:creationId xmlns:a16="http://schemas.microsoft.com/office/drawing/2014/main" id="{4B745149-BB0D-41B9-BFAB-F72A680A4E1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3" name="Text Box 910">
          <a:extLst>
            <a:ext uri="{FF2B5EF4-FFF2-40B4-BE49-F238E27FC236}">
              <a16:creationId xmlns:a16="http://schemas.microsoft.com/office/drawing/2014/main" id="{7A68A65C-E12C-43E8-84FC-E0563CB1E6D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4" name="Text Box 910">
          <a:extLst>
            <a:ext uri="{FF2B5EF4-FFF2-40B4-BE49-F238E27FC236}">
              <a16:creationId xmlns:a16="http://schemas.microsoft.com/office/drawing/2014/main" id="{93C24879-3378-447A-9660-25CF189343A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5" name="Text Box 910">
          <a:extLst>
            <a:ext uri="{FF2B5EF4-FFF2-40B4-BE49-F238E27FC236}">
              <a16:creationId xmlns:a16="http://schemas.microsoft.com/office/drawing/2014/main" id="{D7494BA6-A8D9-4B53-BD12-54A05B3D54D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6" name="Text Box 910">
          <a:extLst>
            <a:ext uri="{FF2B5EF4-FFF2-40B4-BE49-F238E27FC236}">
              <a16:creationId xmlns:a16="http://schemas.microsoft.com/office/drawing/2014/main" id="{46D142E7-759C-494D-9922-B6B670FC79F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7" name="Text Box 910">
          <a:extLst>
            <a:ext uri="{FF2B5EF4-FFF2-40B4-BE49-F238E27FC236}">
              <a16:creationId xmlns:a16="http://schemas.microsoft.com/office/drawing/2014/main" id="{DE9490E6-C2B1-4EE7-A26C-EE4FCF008C6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8" name="Text Box 910">
          <a:extLst>
            <a:ext uri="{FF2B5EF4-FFF2-40B4-BE49-F238E27FC236}">
              <a16:creationId xmlns:a16="http://schemas.microsoft.com/office/drawing/2014/main" id="{AD0A4AFE-0765-4158-9D1C-B57CED0C2DD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79" name="Text Box 910">
          <a:extLst>
            <a:ext uri="{FF2B5EF4-FFF2-40B4-BE49-F238E27FC236}">
              <a16:creationId xmlns:a16="http://schemas.microsoft.com/office/drawing/2014/main" id="{FACF4121-B891-48D7-BAF0-F5C6A6C5DD4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0" name="Text Box 910">
          <a:extLst>
            <a:ext uri="{FF2B5EF4-FFF2-40B4-BE49-F238E27FC236}">
              <a16:creationId xmlns:a16="http://schemas.microsoft.com/office/drawing/2014/main" id="{7DBAED2C-F4B2-4F75-B357-B01B27D7BD2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1" name="Text Box 910">
          <a:extLst>
            <a:ext uri="{FF2B5EF4-FFF2-40B4-BE49-F238E27FC236}">
              <a16:creationId xmlns:a16="http://schemas.microsoft.com/office/drawing/2014/main" id="{9F58677D-117A-420C-9AA1-ACB78A51797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2" name="Text Box 910">
          <a:extLst>
            <a:ext uri="{FF2B5EF4-FFF2-40B4-BE49-F238E27FC236}">
              <a16:creationId xmlns:a16="http://schemas.microsoft.com/office/drawing/2014/main" id="{1A625F67-FEFA-423D-BC4B-E011D9C6A44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3" name="Text Box 910">
          <a:extLst>
            <a:ext uri="{FF2B5EF4-FFF2-40B4-BE49-F238E27FC236}">
              <a16:creationId xmlns:a16="http://schemas.microsoft.com/office/drawing/2014/main" id="{E6D37EDB-5551-4BFE-A679-DAA830D9574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4" name="Text Box 910">
          <a:extLst>
            <a:ext uri="{FF2B5EF4-FFF2-40B4-BE49-F238E27FC236}">
              <a16:creationId xmlns:a16="http://schemas.microsoft.com/office/drawing/2014/main" id="{F8753DF7-1A36-4237-B69D-CE036FF62D5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5" name="Text Box 910">
          <a:extLst>
            <a:ext uri="{FF2B5EF4-FFF2-40B4-BE49-F238E27FC236}">
              <a16:creationId xmlns:a16="http://schemas.microsoft.com/office/drawing/2014/main" id="{E0AA6A62-FBB5-45EB-8504-34362733340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6" name="Text Box 910">
          <a:extLst>
            <a:ext uri="{FF2B5EF4-FFF2-40B4-BE49-F238E27FC236}">
              <a16:creationId xmlns:a16="http://schemas.microsoft.com/office/drawing/2014/main" id="{65D81605-06BD-4BA8-A7C1-90FC9D869A7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7" name="Text Box 910">
          <a:extLst>
            <a:ext uri="{FF2B5EF4-FFF2-40B4-BE49-F238E27FC236}">
              <a16:creationId xmlns:a16="http://schemas.microsoft.com/office/drawing/2014/main" id="{A23E1D2F-E8A6-4096-A73B-F570EE33922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8" name="Text Box 910">
          <a:extLst>
            <a:ext uri="{FF2B5EF4-FFF2-40B4-BE49-F238E27FC236}">
              <a16:creationId xmlns:a16="http://schemas.microsoft.com/office/drawing/2014/main" id="{AA364151-4910-4854-8C61-BA69F4B8415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89" name="Text Box 910">
          <a:extLst>
            <a:ext uri="{FF2B5EF4-FFF2-40B4-BE49-F238E27FC236}">
              <a16:creationId xmlns:a16="http://schemas.microsoft.com/office/drawing/2014/main" id="{DB0D4BD1-096F-4E0A-AF3F-5286037D31E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0" name="Text Box 910">
          <a:extLst>
            <a:ext uri="{FF2B5EF4-FFF2-40B4-BE49-F238E27FC236}">
              <a16:creationId xmlns:a16="http://schemas.microsoft.com/office/drawing/2014/main" id="{BB83053D-5859-4EFE-8936-86EE7A70565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1" name="Text Box 910">
          <a:extLst>
            <a:ext uri="{FF2B5EF4-FFF2-40B4-BE49-F238E27FC236}">
              <a16:creationId xmlns:a16="http://schemas.microsoft.com/office/drawing/2014/main" id="{968B9A7A-F5D2-4BC9-9745-5495800F76B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2" name="Text Box 910">
          <a:extLst>
            <a:ext uri="{FF2B5EF4-FFF2-40B4-BE49-F238E27FC236}">
              <a16:creationId xmlns:a16="http://schemas.microsoft.com/office/drawing/2014/main" id="{D83703EF-198E-4A4C-82F6-BD2729DC557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3" name="Text Box 910">
          <a:extLst>
            <a:ext uri="{FF2B5EF4-FFF2-40B4-BE49-F238E27FC236}">
              <a16:creationId xmlns:a16="http://schemas.microsoft.com/office/drawing/2014/main" id="{9C6C7B3E-D0BC-429D-ACF6-ACC39E25699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4" name="Text Box 910">
          <a:extLst>
            <a:ext uri="{FF2B5EF4-FFF2-40B4-BE49-F238E27FC236}">
              <a16:creationId xmlns:a16="http://schemas.microsoft.com/office/drawing/2014/main" id="{76DAD3C3-0A22-487E-815D-416E00479AC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5" name="Text Box 910">
          <a:extLst>
            <a:ext uri="{FF2B5EF4-FFF2-40B4-BE49-F238E27FC236}">
              <a16:creationId xmlns:a16="http://schemas.microsoft.com/office/drawing/2014/main" id="{F5C82F0B-AC77-497B-AE40-D195F1BFA8C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6" name="Text Box 910">
          <a:extLst>
            <a:ext uri="{FF2B5EF4-FFF2-40B4-BE49-F238E27FC236}">
              <a16:creationId xmlns:a16="http://schemas.microsoft.com/office/drawing/2014/main" id="{FAD9EAA2-E9D2-4044-9D50-62C6954E8FD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7" name="Text Box 910">
          <a:extLst>
            <a:ext uri="{FF2B5EF4-FFF2-40B4-BE49-F238E27FC236}">
              <a16:creationId xmlns:a16="http://schemas.microsoft.com/office/drawing/2014/main" id="{984DC3C7-AD6D-45CC-A7E7-CBA2404B7AF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8" name="Text Box 910">
          <a:extLst>
            <a:ext uri="{FF2B5EF4-FFF2-40B4-BE49-F238E27FC236}">
              <a16:creationId xmlns:a16="http://schemas.microsoft.com/office/drawing/2014/main" id="{AF07720B-DC2B-453F-B000-BFC78FF97C4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1999" name="Text Box 910">
          <a:extLst>
            <a:ext uri="{FF2B5EF4-FFF2-40B4-BE49-F238E27FC236}">
              <a16:creationId xmlns:a16="http://schemas.microsoft.com/office/drawing/2014/main" id="{1014D7CC-D88F-4EC0-87B8-C850D0FF546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0" name="Text Box 910">
          <a:extLst>
            <a:ext uri="{FF2B5EF4-FFF2-40B4-BE49-F238E27FC236}">
              <a16:creationId xmlns:a16="http://schemas.microsoft.com/office/drawing/2014/main" id="{0EFD72C8-7188-4175-A684-5429F309949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1" name="Text Box 910">
          <a:extLst>
            <a:ext uri="{FF2B5EF4-FFF2-40B4-BE49-F238E27FC236}">
              <a16:creationId xmlns:a16="http://schemas.microsoft.com/office/drawing/2014/main" id="{C2D0230D-FE0C-403A-9D0D-0A1C97083E1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2" name="Text Box 910">
          <a:extLst>
            <a:ext uri="{FF2B5EF4-FFF2-40B4-BE49-F238E27FC236}">
              <a16:creationId xmlns:a16="http://schemas.microsoft.com/office/drawing/2014/main" id="{8D26A839-76A4-490F-B7C4-F02C6753600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3" name="Text Box 910">
          <a:extLst>
            <a:ext uri="{FF2B5EF4-FFF2-40B4-BE49-F238E27FC236}">
              <a16:creationId xmlns:a16="http://schemas.microsoft.com/office/drawing/2014/main" id="{6EA4A678-704C-42F5-835E-43348617EFC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4" name="Text Box 910">
          <a:extLst>
            <a:ext uri="{FF2B5EF4-FFF2-40B4-BE49-F238E27FC236}">
              <a16:creationId xmlns:a16="http://schemas.microsoft.com/office/drawing/2014/main" id="{2557EC62-EEAA-4974-A529-1D005C64AD1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5" name="Text Box 910">
          <a:extLst>
            <a:ext uri="{FF2B5EF4-FFF2-40B4-BE49-F238E27FC236}">
              <a16:creationId xmlns:a16="http://schemas.microsoft.com/office/drawing/2014/main" id="{03037B09-CB94-4321-9708-8AE737D4096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6" name="Text Box 910">
          <a:extLst>
            <a:ext uri="{FF2B5EF4-FFF2-40B4-BE49-F238E27FC236}">
              <a16:creationId xmlns:a16="http://schemas.microsoft.com/office/drawing/2014/main" id="{C4DD9A94-6F38-4BEE-9206-AAB2A199BD6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7" name="Text Box 910">
          <a:extLst>
            <a:ext uri="{FF2B5EF4-FFF2-40B4-BE49-F238E27FC236}">
              <a16:creationId xmlns:a16="http://schemas.microsoft.com/office/drawing/2014/main" id="{A524AEBF-BC2E-470C-A769-CE094194972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8" name="Text Box 910">
          <a:extLst>
            <a:ext uri="{FF2B5EF4-FFF2-40B4-BE49-F238E27FC236}">
              <a16:creationId xmlns:a16="http://schemas.microsoft.com/office/drawing/2014/main" id="{27CD7EC5-80FD-4BFF-8C44-2D4A4D33F53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09" name="Text Box 910">
          <a:extLst>
            <a:ext uri="{FF2B5EF4-FFF2-40B4-BE49-F238E27FC236}">
              <a16:creationId xmlns:a16="http://schemas.microsoft.com/office/drawing/2014/main" id="{08B288D9-D2CA-4E0D-92B6-BB8EB3DC67F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0" name="Text Box 910">
          <a:extLst>
            <a:ext uri="{FF2B5EF4-FFF2-40B4-BE49-F238E27FC236}">
              <a16:creationId xmlns:a16="http://schemas.microsoft.com/office/drawing/2014/main" id="{3491DF49-9712-471C-8913-A91C1144F39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1" name="Text Box 910">
          <a:extLst>
            <a:ext uri="{FF2B5EF4-FFF2-40B4-BE49-F238E27FC236}">
              <a16:creationId xmlns:a16="http://schemas.microsoft.com/office/drawing/2014/main" id="{BB5DBE56-AE91-4F05-947D-90D05E9E651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2" name="Text Box 910">
          <a:extLst>
            <a:ext uri="{FF2B5EF4-FFF2-40B4-BE49-F238E27FC236}">
              <a16:creationId xmlns:a16="http://schemas.microsoft.com/office/drawing/2014/main" id="{0E6E8A18-AF67-4840-B140-030E54F0049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3" name="Text Box 910">
          <a:extLst>
            <a:ext uri="{FF2B5EF4-FFF2-40B4-BE49-F238E27FC236}">
              <a16:creationId xmlns:a16="http://schemas.microsoft.com/office/drawing/2014/main" id="{9050A42B-8218-4714-89E1-68614D83D1A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4" name="Text Box 910">
          <a:extLst>
            <a:ext uri="{FF2B5EF4-FFF2-40B4-BE49-F238E27FC236}">
              <a16:creationId xmlns:a16="http://schemas.microsoft.com/office/drawing/2014/main" id="{CC302B03-AD95-44DA-9F85-FF8A3BBDF8C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5" name="Text Box 910">
          <a:extLst>
            <a:ext uri="{FF2B5EF4-FFF2-40B4-BE49-F238E27FC236}">
              <a16:creationId xmlns:a16="http://schemas.microsoft.com/office/drawing/2014/main" id="{2068BF2A-BD60-4916-9729-C3157E4AA39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6" name="Text Box 910">
          <a:extLst>
            <a:ext uri="{FF2B5EF4-FFF2-40B4-BE49-F238E27FC236}">
              <a16:creationId xmlns:a16="http://schemas.microsoft.com/office/drawing/2014/main" id="{8830BC3E-71A9-42AC-8889-1EEC06C490C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7" name="Text Box 910">
          <a:extLst>
            <a:ext uri="{FF2B5EF4-FFF2-40B4-BE49-F238E27FC236}">
              <a16:creationId xmlns:a16="http://schemas.microsoft.com/office/drawing/2014/main" id="{F7B854B6-9090-4ACE-8EE1-DAA04692C83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8" name="Text Box 910">
          <a:extLst>
            <a:ext uri="{FF2B5EF4-FFF2-40B4-BE49-F238E27FC236}">
              <a16:creationId xmlns:a16="http://schemas.microsoft.com/office/drawing/2014/main" id="{FC62651B-5677-4178-96C8-1B05F78E2BF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19" name="Text Box 910">
          <a:extLst>
            <a:ext uri="{FF2B5EF4-FFF2-40B4-BE49-F238E27FC236}">
              <a16:creationId xmlns:a16="http://schemas.microsoft.com/office/drawing/2014/main" id="{46BE560D-0E22-4B30-A7C8-B4EBC51133C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0" name="Text Box 910">
          <a:extLst>
            <a:ext uri="{FF2B5EF4-FFF2-40B4-BE49-F238E27FC236}">
              <a16:creationId xmlns:a16="http://schemas.microsoft.com/office/drawing/2014/main" id="{B3290795-6CDD-4465-8F6E-93903224C91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1" name="Text Box 910">
          <a:extLst>
            <a:ext uri="{FF2B5EF4-FFF2-40B4-BE49-F238E27FC236}">
              <a16:creationId xmlns:a16="http://schemas.microsoft.com/office/drawing/2014/main" id="{76B958E2-5E9C-4A36-AC3E-737C54B4014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2" name="Text Box 910">
          <a:extLst>
            <a:ext uri="{FF2B5EF4-FFF2-40B4-BE49-F238E27FC236}">
              <a16:creationId xmlns:a16="http://schemas.microsoft.com/office/drawing/2014/main" id="{97AFE435-6C50-4206-B0FF-9BE9AA2B5FB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3" name="Text Box 910">
          <a:extLst>
            <a:ext uri="{FF2B5EF4-FFF2-40B4-BE49-F238E27FC236}">
              <a16:creationId xmlns:a16="http://schemas.microsoft.com/office/drawing/2014/main" id="{031EFAE3-D22D-4BF5-AE6A-F91727984B5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4" name="Text Box 910">
          <a:extLst>
            <a:ext uri="{FF2B5EF4-FFF2-40B4-BE49-F238E27FC236}">
              <a16:creationId xmlns:a16="http://schemas.microsoft.com/office/drawing/2014/main" id="{181BFFD2-0444-48BF-A6F9-187E577063C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5" name="Text Box 910">
          <a:extLst>
            <a:ext uri="{FF2B5EF4-FFF2-40B4-BE49-F238E27FC236}">
              <a16:creationId xmlns:a16="http://schemas.microsoft.com/office/drawing/2014/main" id="{D2A01A30-DDAC-4B33-A0B5-0E0165A8FDE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6" name="Text Box 910">
          <a:extLst>
            <a:ext uri="{FF2B5EF4-FFF2-40B4-BE49-F238E27FC236}">
              <a16:creationId xmlns:a16="http://schemas.microsoft.com/office/drawing/2014/main" id="{3BEF76C6-CC70-4B98-851D-3CE1897B3CF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7" name="Text Box 910">
          <a:extLst>
            <a:ext uri="{FF2B5EF4-FFF2-40B4-BE49-F238E27FC236}">
              <a16:creationId xmlns:a16="http://schemas.microsoft.com/office/drawing/2014/main" id="{84E96D6C-34AA-4D1D-807C-5EC89683768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8" name="Text Box 910">
          <a:extLst>
            <a:ext uri="{FF2B5EF4-FFF2-40B4-BE49-F238E27FC236}">
              <a16:creationId xmlns:a16="http://schemas.microsoft.com/office/drawing/2014/main" id="{42280FA7-427A-4A53-A952-9A99ECB371C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29" name="Text Box 910">
          <a:extLst>
            <a:ext uri="{FF2B5EF4-FFF2-40B4-BE49-F238E27FC236}">
              <a16:creationId xmlns:a16="http://schemas.microsoft.com/office/drawing/2014/main" id="{090BF739-5BAE-4848-A46F-EEF2A9D2283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0" name="Text Box 910">
          <a:extLst>
            <a:ext uri="{FF2B5EF4-FFF2-40B4-BE49-F238E27FC236}">
              <a16:creationId xmlns:a16="http://schemas.microsoft.com/office/drawing/2014/main" id="{99D48D41-7AD8-40B1-B0C7-2A8DAB8F14E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1" name="Text Box 910">
          <a:extLst>
            <a:ext uri="{FF2B5EF4-FFF2-40B4-BE49-F238E27FC236}">
              <a16:creationId xmlns:a16="http://schemas.microsoft.com/office/drawing/2014/main" id="{68DCBD4C-8B00-4BF1-83CE-A8456C7891A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2" name="Text Box 910">
          <a:extLst>
            <a:ext uri="{FF2B5EF4-FFF2-40B4-BE49-F238E27FC236}">
              <a16:creationId xmlns:a16="http://schemas.microsoft.com/office/drawing/2014/main" id="{78BBE33C-2549-456A-97F3-FB04E3AB215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3" name="Text Box 910">
          <a:extLst>
            <a:ext uri="{FF2B5EF4-FFF2-40B4-BE49-F238E27FC236}">
              <a16:creationId xmlns:a16="http://schemas.microsoft.com/office/drawing/2014/main" id="{B496507D-F8F2-48CC-9870-9D49C7DE7C8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4" name="Text Box 910">
          <a:extLst>
            <a:ext uri="{FF2B5EF4-FFF2-40B4-BE49-F238E27FC236}">
              <a16:creationId xmlns:a16="http://schemas.microsoft.com/office/drawing/2014/main" id="{31160CDB-AC6B-44C5-8CD5-C090D00BFB1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5" name="Text Box 910">
          <a:extLst>
            <a:ext uri="{FF2B5EF4-FFF2-40B4-BE49-F238E27FC236}">
              <a16:creationId xmlns:a16="http://schemas.microsoft.com/office/drawing/2014/main" id="{131C6B27-E14B-411C-888C-CBEFE5B08D2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6" name="Text Box 910">
          <a:extLst>
            <a:ext uri="{FF2B5EF4-FFF2-40B4-BE49-F238E27FC236}">
              <a16:creationId xmlns:a16="http://schemas.microsoft.com/office/drawing/2014/main" id="{73818AD2-7F7B-459C-B2FF-5EC75071C6B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7" name="Text Box 910">
          <a:extLst>
            <a:ext uri="{FF2B5EF4-FFF2-40B4-BE49-F238E27FC236}">
              <a16:creationId xmlns:a16="http://schemas.microsoft.com/office/drawing/2014/main" id="{9074461B-D435-483F-BD4B-18157E60EB2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8" name="Text Box 910">
          <a:extLst>
            <a:ext uri="{FF2B5EF4-FFF2-40B4-BE49-F238E27FC236}">
              <a16:creationId xmlns:a16="http://schemas.microsoft.com/office/drawing/2014/main" id="{1B1E443E-7669-4165-8E81-7BA77E36BA7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39" name="Text Box 910">
          <a:extLst>
            <a:ext uri="{FF2B5EF4-FFF2-40B4-BE49-F238E27FC236}">
              <a16:creationId xmlns:a16="http://schemas.microsoft.com/office/drawing/2014/main" id="{41427F6F-E748-43FF-8419-D78181F59D6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0" name="Text Box 910">
          <a:extLst>
            <a:ext uri="{FF2B5EF4-FFF2-40B4-BE49-F238E27FC236}">
              <a16:creationId xmlns:a16="http://schemas.microsoft.com/office/drawing/2014/main" id="{9FBF6E01-D614-4F1F-92ED-6BA70243A37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1" name="Text Box 910">
          <a:extLst>
            <a:ext uri="{FF2B5EF4-FFF2-40B4-BE49-F238E27FC236}">
              <a16:creationId xmlns:a16="http://schemas.microsoft.com/office/drawing/2014/main" id="{7EC1F45B-5723-460A-8873-4A7F61F80AE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2" name="Text Box 910">
          <a:extLst>
            <a:ext uri="{FF2B5EF4-FFF2-40B4-BE49-F238E27FC236}">
              <a16:creationId xmlns:a16="http://schemas.microsoft.com/office/drawing/2014/main" id="{9FC5E597-9362-407D-A878-4370ECB052C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3" name="Text Box 910">
          <a:extLst>
            <a:ext uri="{FF2B5EF4-FFF2-40B4-BE49-F238E27FC236}">
              <a16:creationId xmlns:a16="http://schemas.microsoft.com/office/drawing/2014/main" id="{B72466CD-01E1-4C96-8336-D87097C6371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4" name="Text Box 910">
          <a:extLst>
            <a:ext uri="{FF2B5EF4-FFF2-40B4-BE49-F238E27FC236}">
              <a16:creationId xmlns:a16="http://schemas.microsoft.com/office/drawing/2014/main" id="{695D6FD1-76C2-49DB-BA99-E77BFED1B2E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5" name="Text Box 910">
          <a:extLst>
            <a:ext uri="{FF2B5EF4-FFF2-40B4-BE49-F238E27FC236}">
              <a16:creationId xmlns:a16="http://schemas.microsoft.com/office/drawing/2014/main" id="{91617943-3277-4698-B588-0EA6D3F2DC9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6" name="Text Box 910">
          <a:extLst>
            <a:ext uri="{FF2B5EF4-FFF2-40B4-BE49-F238E27FC236}">
              <a16:creationId xmlns:a16="http://schemas.microsoft.com/office/drawing/2014/main" id="{AEEB197B-8944-404A-8ABA-3B52C98E165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7" name="Text Box 910">
          <a:extLst>
            <a:ext uri="{FF2B5EF4-FFF2-40B4-BE49-F238E27FC236}">
              <a16:creationId xmlns:a16="http://schemas.microsoft.com/office/drawing/2014/main" id="{7B3D76B6-B904-42FA-A94E-1BDF822C217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48" name="Text Box 910">
          <a:extLst>
            <a:ext uri="{FF2B5EF4-FFF2-40B4-BE49-F238E27FC236}">
              <a16:creationId xmlns:a16="http://schemas.microsoft.com/office/drawing/2014/main" id="{02573457-84D1-4599-8C10-8FD79D0D4DE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0" name="Text Box 910">
          <a:extLst>
            <a:ext uri="{FF2B5EF4-FFF2-40B4-BE49-F238E27FC236}">
              <a16:creationId xmlns:a16="http://schemas.microsoft.com/office/drawing/2014/main" id="{CA2F2D2E-C403-4C96-AE65-98235107A4A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1" name="Text Box 910">
          <a:extLst>
            <a:ext uri="{FF2B5EF4-FFF2-40B4-BE49-F238E27FC236}">
              <a16:creationId xmlns:a16="http://schemas.microsoft.com/office/drawing/2014/main" id="{134F4ED0-07EC-422A-9DDC-F30A591C9FF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2" name="Text Box 910">
          <a:extLst>
            <a:ext uri="{FF2B5EF4-FFF2-40B4-BE49-F238E27FC236}">
              <a16:creationId xmlns:a16="http://schemas.microsoft.com/office/drawing/2014/main" id="{38292C65-08D0-44CE-B09A-6C9F63E3091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3" name="Text Box 910">
          <a:extLst>
            <a:ext uri="{FF2B5EF4-FFF2-40B4-BE49-F238E27FC236}">
              <a16:creationId xmlns:a16="http://schemas.microsoft.com/office/drawing/2014/main" id="{C00E26D3-7F51-48C0-B6B8-0A56E5B3B29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4" name="Text Box 910">
          <a:extLst>
            <a:ext uri="{FF2B5EF4-FFF2-40B4-BE49-F238E27FC236}">
              <a16:creationId xmlns:a16="http://schemas.microsoft.com/office/drawing/2014/main" id="{F68FFA49-7ACC-414C-A673-2DB4AD870B9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5" name="Text Box 910">
          <a:extLst>
            <a:ext uri="{FF2B5EF4-FFF2-40B4-BE49-F238E27FC236}">
              <a16:creationId xmlns:a16="http://schemas.microsoft.com/office/drawing/2014/main" id="{6B53BC2B-D1FB-47AB-BFE1-9534ADF9FE4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6" name="Text Box 910">
          <a:extLst>
            <a:ext uri="{FF2B5EF4-FFF2-40B4-BE49-F238E27FC236}">
              <a16:creationId xmlns:a16="http://schemas.microsoft.com/office/drawing/2014/main" id="{9961B167-6A66-4DE0-A731-D953A0CE7BD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7" name="Text Box 910">
          <a:extLst>
            <a:ext uri="{FF2B5EF4-FFF2-40B4-BE49-F238E27FC236}">
              <a16:creationId xmlns:a16="http://schemas.microsoft.com/office/drawing/2014/main" id="{F0C5B93C-41C6-4B41-80ED-69FCC1C51CC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8" name="Text Box 910">
          <a:extLst>
            <a:ext uri="{FF2B5EF4-FFF2-40B4-BE49-F238E27FC236}">
              <a16:creationId xmlns:a16="http://schemas.microsoft.com/office/drawing/2014/main" id="{626346AC-1DAE-443D-850E-08772B7F9A9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59" name="Text Box 910">
          <a:extLst>
            <a:ext uri="{FF2B5EF4-FFF2-40B4-BE49-F238E27FC236}">
              <a16:creationId xmlns:a16="http://schemas.microsoft.com/office/drawing/2014/main" id="{4CBA3E05-3BB4-4EAA-A499-81BD1DA5042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0" name="Text Box 910">
          <a:extLst>
            <a:ext uri="{FF2B5EF4-FFF2-40B4-BE49-F238E27FC236}">
              <a16:creationId xmlns:a16="http://schemas.microsoft.com/office/drawing/2014/main" id="{BA46CC74-E425-43A6-8120-0A73674A08B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1" name="Text Box 910">
          <a:extLst>
            <a:ext uri="{FF2B5EF4-FFF2-40B4-BE49-F238E27FC236}">
              <a16:creationId xmlns:a16="http://schemas.microsoft.com/office/drawing/2014/main" id="{79498A0C-8ADB-4194-B5AB-48BD51F417A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2" name="Text Box 910">
          <a:extLst>
            <a:ext uri="{FF2B5EF4-FFF2-40B4-BE49-F238E27FC236}">
              <a16:creationId xmlns:a16="http://schemas.microsoft.com/office/drawing/2014/main" id="{6476BF63-F3E8-47B7-8BC7-4BA6AFAC603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3" name="Text Box 910">
          <a:extLst>
            <a:ext uri="{FF2B5EF4-FFF2-40B4-BE49-F238E27FC236}">
              <a16:creationId xmlns:a16="http://schemas.microsoft.com/office/drawing/2014/main" id="{2934BCC0-97E9-4B68-B220-58D72F5EBE1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4" name="Text Box 910">
          <a:extLst>
            <a:ext uri="{FF2B5EF4-FFF2-40B4-BE49-F238E27FC236}">
              <a16:creationId xmlns:a16="http://schemas.microsoft.com/office/drawing/2014/main" id="{FFD7A09C-4E76-4859-8FFC-810E8C11B00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5" name="Text Box 910">
          <a:extLst>
            <a:ext uri="{FF2B5EF4-FFF2-40B4-BE49-F238E27FC236}">
              <a16:creationId xmlns:a16="http://schemas.microsoft.com/office/drawing/2014/main" id="{DF7F02DA-BD22-4984-8477-A1D17DA8B3E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6" name="Text Box 910">
          <a:extLst>
            <a:ext uri="{FF2B5EF4-FFF2-40B4-BE49-F238E27FC236}">
              <a16:creationId xmlns:a16="http://schemas.microsoft.com/office/drawing/2014/main" id="{A4E54C2C-2FEE-417A-AC82-0E41F8BA7FF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7" name="Text Box 910">
          <a:extLst>
            <a:ext uri="{FF2B5EF4-FFF2-40B4-BE49-F238E27FC236}">
              <a16:creationId xmlns:a16="http://schemas.microsoft.com/office/drawing/2014/main" id="{BBF9AD34-E1B7-4E94-92EE-8800C8A6A6F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8" name="Text Box 910">
          <a:extLst>
            <a:ext uri="{FF2B5EF4-FFF2-40B4-BE49-F238E27FC236}">
              <a16:creationId xmlns:a16="http://schemas.microsoft.com/office/drawing/2014/main" id="{E70CCFD6-BFC4-40FB-BCDF-1EEEA6BE1E8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69" name="Text Box 910">
          <a:extLst>
            <a:ext uri="{FF2B5EF4-FFF2-40B4-BE49-F238E27FC236}">
              <a16:creationId xmlns:a16="http://schemas.microsoft.com/office/drawing/2014/main" id="{571874C6-1F83-4360-B76C-FB6762A4FEC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0" name="Text Box 910">
          <a:extLst>
            <a:ext uri="{FF2B5EF4-FFF2-40B4-BE49-F238E27FC236}">
              <a16:creationId xmlns:a16="http://schemas.microsoft.com/office/drawing/2014/main" id="{A186894D-AEE4-407E-ADA1-39B412CBC98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1" name="Text Box 910">
          <a:extLst>
            <a:ext uri="{FF2B5EF4-FFF2-40B4-BE49-F238E27FC236}">
              <a16:creationId xmlns:a16="http://schemas.microsoft.com/office/drawing/2014/main" id="{AD9CD4C9-F9CD-48CE-A013-EFF0224D147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2" name="Text Box 910">
          <a:extLst>
            <a:ext uri="{FF2B5EF4-FFF2-40B4-BE49-F238E27FC236}">
              <a16:creationId xmlns:a16="http://schemas.microsoft.com/office/drawing/2014/main" id="{6B8F651F-445C-4AF8-A0C7-456696E69BC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3" name="Text Box 910">
          <a:extLst>
            <a:ext uri="{FF2B5EF4-FFF2-40B4-BE49-F238E27FC236}">
              <a16:creationId xmlns:a16="http://schemas.microsoft.com/office/drawing/2014/main" id="{EE536595-5BA7-4822-87F2-C2B14D45DFE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4" name="Text Box 910">
          <a:extLst>
            <a:ext uri="{FF2B5EF4-FFF2-40B4-BE49-F238E27FC236}">
              <a16:creationId xmlns:a16="http://schemas.microsoft.com/office/drawing/2014/main" id="{6E6D92C5-1FBA-4845-A474-8E5FDEAA957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5" name="Text Box 910">
          <a:extLst>
            <a:ext uri="{FF2B5EF4-FFF2-40B4-BE49-F238E27FC236}">
              <a16:creationId xmlns:a16="http://schemas.microsoft.com/office/drawing/2014/main" id="{B4CF731B-1AB2-41A7-87C9-DD9F8F00ED4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6" name="Text Box 910">
          <a:extLst>
            <a:ext uri="{FF2B5EF4-FFF2-40B4-BE49-F238E27FC236}">
              <a16:creationId xmlns:a16="http://schemas.microsoft.com/office/drawing/2014/main" id="{5B7F644D-49D9-4A49-AC06-71522882A17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7" name="Text Box 910">
          <a:extLst>
            <a:ext uri="{FF2B5EF4-FFF2-40B4-BE49-F238E27FC236}">
              <a16:creationId xmlns:a16="http://schemas.microsoft.com/office/drawing/2014/main" id="{B7A2FA80-4111-4592-810D-A6C46C8CADB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8" name="Text Box 910">
          <a:extLst>
            <a:ext uri="{FF2B5EF4-FFF2-40B4-BE49-F238E27FC236}">
              <a16:creationId xmlns:a16="http://schemas.microsoft.com/office/drawing/2014/main" id="{91AE0B1F-B299-4B48-9AA5-DAD5C2514E0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79" name="Text Box 910">
          <a:extLst>
            <a:ext uri="{FF2B5EF4-FFF2-40B4-BE49-F238E27FC236}">
              <a16:creationId xmlns:a16="http://schemas.microsoft.com/office/drawing/2014/main" id="{0F405C8D-B34C-4169-8C3F-8C7B19E9DF4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0" name="Text Box 910">
          <a:extLst>
            <a:ext uri="{FF2B5EF4-FFF2-40B4-BE49-F238E27FC236}">
              <a16:creationId xmlns:a16="http://schemas.microsoft.com/office/drawing/2014/main" id="{EA55BDB0-6E29-485E-85E3-FADC8AE2242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1" name="Text Box 910">
          <a:extLst>
            <a:ext uri="{FF2B5EF4-FFF2-40B4-BE49-F238E27FC236}">
              <a16:creationId xmlns:a16="http://schemas.microsoft.com/office/drawing/2014/main" id="{EF9226EF-1805-40AF-95CF-3D23FC5281C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2" name="Text Box 910">
          <a:extLst>
            <a:ext uri="{FF2B5EF4-FFF2-40B4-BE49-F238E27FC236}">
              <a16:creationId xmlns:a16="http://schemas.microsoft.com/office/drawing/2014/main" id="{B752275C-C6BC-40F0-9EE0-16B68E193F0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3" name="Text Box 910">
          <a:extLst>
            <a:ext uri="{FF2B5EF4-FFF2-40B4-BE49-F238E27FC236}">
              <a16:creationId xmlns:a16="http://schemas.microsoft.com/office/drawing/2014/main" id="{B8089E46-4568-44ED-9DC7-AA5B6865F00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4" name="Text Box 910">
          <a:extLst>
            <a:ext uri="{FF2B5EF4-FFF2-40B4-BE49-F238E27FC236}">
              <a16:creationId xmlns:a16="http://schemas.microsoft.com/office/drawing/2014/main" id="{8A344061-0FD8-41EB-91B9-1785FD9C54C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5" name="Text Box 910">
          <a:extLst>
            <a:ext uri="{FF2B5EF4-FFF2-40B4-BE49-F238E27FC236}">
              <a16:creationId xmlns:a16="http://schemas.microsoft.com/office/drawing/2014/main" id="{61E010A9-8DEA-4519-9E27-BC605389D19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6" name="Text Box 910">
          <a:extLst>
            <a:ext uri="{FF2B5EF4-FFF2-40B4-BE49-F238E27FC236}">
              <a16:creationId xmlns:a16="http://schemas.microsoft.com/office/drawing/2014/main" id="{A2A949E2-377A-4D7B-BC74-411B4B912D5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7" name="Text Box 910">
          <a:extLst>
            <a:ext uri="{FF2B5EF4-FFF2-40B4-BE49-F238E27FC236}">
              <a16:creationId xmlns:a16="http://schemas.microsoft.com/office/drawing/2014/main" id="{F294ADCB-A3B1-493E-8D70-74E40E6D046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8" name="Text Box 910">
          <a:extLst>
            <a:ext uri="{FF2B5EF4-FFF2-40B4-BE49-F238E27FC236}">
              <a16:creationId xmlns:a16="http://schemas.microsoft.com/office/drawing/2014/main" id="{B3389FBB-F73B-4D90-95FD-9D74B59E070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89" name="Text Box 910">
          <a:extLst>
            <a:ext uri="{FF2B5EF4-FFF2-40B4-BE49-F238E27FC236}">
              <a16:creationId xmlns:a16="http://schemas.microsoft.com/office/drawing/2014/main" id="{B0EE90A5-5A7B-4E88-82BC-AE45E1B7317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0" name="Text Box 910">
          <a:extLst>
            <a:ext uri="{FF2B5EF4-FFF2-40B4-BE49-F238E27FC236}">
              <a16:creationId xmlns:a16="http://schemas.microsoft.com/office/drawing/2014/main" id="{AE721EA3-7FAB-4BC4-93FD-4B11F4FE4A0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1" name="Text Box 910">
          <a:extLst>
            <a:ext uri="{FF2B5EF4-FFF2-40B4-BE49-F238E27FC236}">
              <a16:creationId xmlns:a16="http://schemas.microsoft.com/office/drawing/2014/main" id="{245D6206-496C-4699-B221-8B76B02A447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2" name="Text Box 910">
          <a:extLst>
            <a:ext uri="{FF2B5EF4-FFF2-40B4-BE49-F238E27FC236}">
              <a16:creationId xmlns:a16="http://schemas.microsoft.com/office/drawing/2014/main" id="{6621BDCD-FEEB-4D03-A447-3AB15952A5B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3" name="Text Box 910">
          <a:extLst>
            <a:ext uri="{FF2B5EF4-FFF2-40B4-BE49-F238E27FC236}">
              <a16:creationId xmlns:a16="http://schemas.microsoft.com/office/drawing/2014/main" id="{AEAB29B1-758B-4C8C-BFBC-F66C9233B3A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4" name="Text Box 910">
          <a:extLst>
            <a:ext uri="{FF2B5EF4-FFF2-40B4-BE49-F238E27FC236}">
              <a16:creationId xmlns:a16="http://schemas.microsoft.com/office/drawing/2014/main" id="{DB8570A3-99FC-4ED4-9728-9F2EEDFCB5F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5" name="Text Box 910">
          <a:extLst>
            <a:ext uri="{FF2B5EF4-FFF2-40B4-BE49-F238E27FC236}">
              <a16:creationId xmlns:a16="http://schemas.microsoft.com/office/drawing/2014/main" id="{2542A542-7006-479F-A530-B68A5EBC52E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6" name="Text Box 910">
          <a:extLst>
            <a:ext uri="{FF2B5EF4-FFF2-40B4-BE49-F238E27FC236}">
              <a16:creationId xmlns:a16="http://schemas.microsoft.com/office/drawing/2014/main" id="{0C6AF0A2-3E98-43A4-9A66-91464C9DAC8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7" name="Text Box 910">
          <a:extLst>
            <a:ext uri="{FF2B5EF4-FFF2-40B4-BE49-F238E27FC236}">
              <a16:creationId xmlns:a16="http://schemas.microsoft.com/office/drawing/2014/main" id="{CF912B9D-E6DF-4AA8-BCF8-1A3C5E810FA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8" name="Text Box 910">
          <a:extLst>
            <a:ext uri="{FF2B5EF4-FFF2-40B4-BE49-F238E27FC236}">
              <a16:creationId xmlns:a16="http://schemas.microsoft.com/office/drawing/2014/main" id="{BB6ED05D-F8B4-4DEB-B936-A060D208543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099" name="Text Box 910">
          <a:extLst>
            <a:ext uri="{FF2B5EF4-FFF2-40B4-BE49-F238E27FC236}">
              <a16:creationId xmlns:a16="http://schemas.microsoft.com/office/drawing/2014/main" id="{21006331-4890-49A8-82F0-E184CB3C835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0" name="Text Box 910">
          <a:extLst>
            <a:ext uri="{FF2B5EF4-FFF2-40B4-BE49-F238E27FC236}">
              <a16:creationId xmlns:a16="http://schemas.microsoft.com/office/drawing/2014/main" id="{9A305DC1-708C-478E-8094-42327ACD911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1" name="Text Box 910">
          <a:extLst>
            <a:ext uri="{FF2B5EF4-FFF2-40B4-BE49-F238E27FC236}">
              <a16:creationId xmlns:a16="http://schemas.microsoft.com/office/drawing/2014/main" id="{0736F7A2-68DF-4606-BAE4-A2D9A5D1111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2" name="Text Box 910">
          <a:extLst>
            <a:ext uri="{FF2B5EF4-FFF2-40B4-BE49-F238E27FC236}">
              <a16:creationId xmlns:a16="http://schemas.microsoft.com/office/drawing/2014/main" id="{61F94A46-D115-4C77-9997-F969388B899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3" name="Text Box 910">
          <a:extLst>
            <a:ext uri="{FF2B5EF4-FFF2-40B4-BE49-F238E27FC236}">
              <a16:creationId xmlns:a16="http://schemas.microsoft.com/office/drawing/2014/main" id="{5CA77665-86D2-41B7-8880-4A728E912CD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4" name="Text Box 910">
          <a:extLst>
            <a:ext uri="{FF2B5EF4-FFF2-40B4-BE49-F238E27FC236}">
              <a16:creationId xmlns:a16="http://schemas.microsoft.com/office/drawing/2014/main" id="{353D7B5F-D2A6-40A2-AAD7-C90D597198D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5" name="Text Box 910">
          <a:extLst>
            <a:ext uri="{FF2B5EF4-FFF2-40B4-BE49-F238E27FC236}">
              <a16:creationId xmlns:a16="http://schemas.microsoft.com/office/drawing/2014/main" id="{7A8D593B-6C0A-466C-9579-CA2C45037CC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6" name="Text Box 910">
          <a:extLst>
            <a:ext uri="{FF2B5EF4-FFF2-40B4-BE49-F238E27FC236}">
              <a16:creationId xmlns:a16="http://schemas.microsoft.com/office/drawing/2014/main" id="{D25CEC58-2406-4492-B19A-D1E4B571E4C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7" name="Text Box 910">
          <a:extLst>
            <a:ext uri="{FF2B5EF4-FFF2-40B4-BE49-F238E27FC236}">
              <a16:creationId xmlns:a16="http://schemas.microsoft.com/office/drawing/2014/main" id="{0AF7E5BD-04B8-405F-B74A-7A35378BCA9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8" name="Text Box 910">
          <a:extLst>
            <a:ext uri="{FF2B5EF4-FFF2-40B4-BE49-F238E27FC236}">
              <a16:creationId xmlns:a16="http://schemas.microsoft.com/office/drawing/2014/main" id="{5E93533C-DF90-4467-B6F0-3F52DF21533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09" name="Text Box 910">
          <a:extLst>
            <a:ext uri="{FF2B5EF4-FFF2-40B4-BE49-F238E27FC236}">
              <a16:creationId xmlns:a16="http://schemas.microsoft.com/office/drawing/2014/main" id="{F2FD4678-09EE-4AB0-A58B-275516F7C17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0" name="Text Box 910">
          <a:extLst>
            <a:ext uri="{FF2B5EF4-FFF2-40B4-BE49-F238E27FC236}">
              <a16:creationId xmlns:a16="http://schemas.microsoft.com/office/drawing/2014/main" id="{679CFA46-52BE-42D5-8539-7E6885D220D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1" name="Text Box 910">
          <a:extLst>
            <a:ext uri="{FF2B5EF4-FFF2-40B4-BE49-F238E27FC236}">
              <a16:creationId xmlns:a16="http://schemas.microsoft.com/office/drawing/2014/main" id="{F11C3B0A-2995-413F-A366-017BBD9B81B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2" name="Text Box 910">
          <a:extLst>
            <a:ext uri="{FF2B5EF4-FFF2-40B4-BE49-F238E27FC236}">
              <a16:creationId xmlns:a16="http://schemas.microsoft.com/office/drawing/2014/main" id="{B24127A1-E372-49E8-A7CF-266838B09A8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3" name="Text Box 910">
          <a:extLst>
            <a:ext uri="{FF2B5EF4-FFF2-40B4-BE49-F238E27FC236}">
              <a16:creationId xmlns:a16="http://schemas.microsoft.com/office/drawing/2014/main" id="{4F03483B-EED7-4BAD-A894-077322619B8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4" name="Text Box 910">
          <a:extLst>
            <a:ext uri="{FF2B5EF4-FFF2-40B4-BE49-F238E27FC236}">
              <a16:creationId xmlns:a16="http://schemas.microsoft.com/office/drawing/2014/main" id="{266B738A-06CC-412F-958F-4B13CA70505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5" name="Text Box 910">
          <a:extLst>
            <a:ext uri="{FF2B5EF4-FFF2-40B4-BE49-F238E27FC236}">
              <a16:creationId xmlns:a16="http://schemas.microsoft.com/office/drawing/2014/main" id="{BE4F98A4-425A-4CA2-A77C-762EEA2B62D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6" name="Text Box 910">
          <a:extLst>
            <a:ext uri="{FF2B5EF4-FFF2-40B4-BE49-F238E27FC236}">
              <a16:creationId xmlns:a16="http://schemas.microsoft.com/office/drawing/2014/main" id="{F15E46B6-8D05-4B7E-AFF6-32B5BD047C5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7" name="Text Box 910">
          <a:extLst>
            <a:ext uri="{FF2B5EF4-FFF2-40B4-BE49-F238E27FC236}">
              <a16:creationId xmlns:a16="http://schemas.microsoft.com/office/drawing/2014/main" id="{DCD8FD0E-5552-4AEC-9EB7-910A45AECA1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8" name="Text Box 910">
          <a:extLst>
            <a:ext uri="{FF2B5EF4-FFF2-40B4-BE49-F238E27FC236}">
              <a16:creationId xmlns:a16="http://schemas.microsoft.com/office/drawing/2014/main" id="{1A223C4F-8586-41F0-AE80-63E0755D301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19" name="Text Box 910">
          <a:extLst>
            <a:ext uri="{FF2B5EF4-FFF2-40B4-BE49-F238E27FC236}">
              <a16:creationId xmlns:a16="http://schemas.microsoft.com/office/drawing/2014/main" id="{651F0F2A-376F-4961-BF37-D57872C47E2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0" name="Text Box 910">
          <a:extLst>
            <a:ext uri="{FF2B5EF4-FFF2-40B4-BE49-F238E27FC236}">
              <a16:creationId xmlns:a16="http://schemas.microsoft.com/office/drawing/2014/main" id="{74E6D356-6C02-4F14-8E26-4B4AB331568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1" name="Text Box 910">
          <a:extLst>
            <a:ext uri="{FF2B5EF4-FFF2-40B4-BE49-F238E27FC236}">
              <a16:creationId xmlns:a16="http://schemas.microsoft.com/office/drawing/2014/main" id="{B78E7865-1C25-4CA6-B4BB-B4FA4FB0996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2" name="Text Box 910">
          <a:extLst>
            <a:ext uri="{FF2B5EF4-FFF2-40B4-BE49-F238E27FC236}">
              <a16:creationId xmlns:a16="http://schemas.microsoft.com/office/drawing/2014/main" id="{B2B97436-4E64-4A44-B78A-EE71B6BEF87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3" name="Text Box 910">
          <a:extLst>
            <a:ext uri="{FF2B5EF4-FFF2-40B4-BE49-F238E27FC236}">
              <a16:creationId xmlns:a16="http://schemas.microsoft.com/office/drawing/2014/main" id="{0AC25ADE-7744-4E78-8ECF-C8AF60A9272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4" name="Text Box 910">
          <a:extLst>
            <a:ext uri="{FF2B5EF4-FFF2-40B4-BE49-F238E27FC236}">
              <a16:creationId xmlns:a16="http://schemas.microsoft.com/office/drawing/2014/main" id="{A0A10CDF-13A1-410C-8340-11EE9206E8A2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5" name="Text Box 910">
          <a:extLst>
            <a:ext uri="{FF2B5EF4-FFF2-40B4-BE49-F238E27FC236}">
              <a16:creationId xmlns:a16="http://schemas.microsoft.com/office/drawing/2014/main" id="{8105F3B9-ED3F-4E1A-BC64-6FB592D7D40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6" name="Text Box 910">
          <a:extLst>
            <a:ext uri="{FF2B5EF4-FFF2-40B4-BE49-F238E27FC236}">
              <a16:creationId xmlns:a16="http://schemas.microsoft.com/office/drawing/2014/main" id="{BB48FAD0-4E73-4D73-9E68-0305F6FD72B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7" name="Text Box 910">
          <a:extLst>
            <a:ext uri="{FF2B5EF4-FFF2-40B4-BE49-F238E27FC236}">
              <a16:creationId xmlns:a16="http://schemas.microsoft.com/office/drawing/2014/main" id="{5A1FA0EB-D4F7-4624-B271-12887852043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8" name="Text Box 910">
          <a:extLst>
            <a:ext uri="{FF2B5EF4-FFF2-40B4-BE49-F238E27FC236}">
              <a16:creationId xmlns:a16="http://schemas.microsoft.com/office/drawing/2014/main" id="{39FE3E32-A7BE-4477-A058-EDE1DC48DFD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29" name="Text Box 910">
          <a:extLst>
            <a:ext uri="{FF2B5EF4-FFF2-40B4-BE49-F238E27FC236}">
              <a16:creationId xmlns:a16="http://schemas.microsoft.com/office/drawing/2014/main" id="{9041CA5C-3E48-4415-9FC1-0229323953D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0" name="Text Box 910">
          <a:extLst>
            <a:ext uri="{FF2B5EF4-FFF2-40B4-BE49-F238E27FC236}">
              <a16:creationId xmlns:a16="http://schemas.microsoft.com/office/drawing/2014/main" id="{E5D12B27-6908-4CCC-AA37-4051A7091B5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1" name="Text Box 910">
          <a:extLst>
            <a:ext uri="{FF2B5EF4-FFF2-40B4-BE49-F238E27FC236}">
              <a16:creationId xmlns:a16="http://schemas.microsoft.com/office/drawing/2014/main" id="{992E2B3A-1E99-4E20-BBBF-C55729AAC41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2" name="Text Box 910">
          <a:extLst>
            <a:ext uri="{FF2B5EF4-FFF2-40B4-BE49-F238E27FC236}">
              <a16:creationId xmlns:a16="http://schemas.microsoft.com/office/drawing/2014/main" id="{B96524E1-904C-48FE-B0EF-CB571A9969F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3" name="Text Box 910">
          <a:extLst>
            <a:ext uri="{FF2B5EF4-FFF2-40B4-BE49-F238E27FC236}">
              <a16:creationId xmlns:a16="http://schemas.microsoft.com/office/drawing/2014/main" id="{4C027988-BBA4-47E1-91A7-F9985B590DD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4" name="Text Box 910">
          <a:extLst>
            <a:ext uri="{FF2B5EF4-FFF2-40B4-BE49-F238E27FC236}">
              <a16:creationId xmlns:a16="http://schemas.microsoft.com/office/drawing/2014/main" id="{38D7EE82-DE3C-419D-B233-9EB48D6C89C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5" name="Text Box 910">
          <a:extLst>
            <a:ext uri="{FF2B5EF4-FFF2-40B4-BE49-F238E27FC236}">
              <a16:creationId xmlns:a16="http://schemas.microsoft.com/office/drawing/2014/main" id="{8DD1EFBC-6911-4A82-90FA-08A294825B3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6" name="Text Box 910">
          <a:extLst>
            <a:ext uri="{FF2B5EF4-FFF2-40B4-BE49-F238E27FC236}">
              <a16:creationId xmlns:a16="http://schemas.microsoft.com/office/drawing/2014/main" id="{362FAE7D-22A6-460C-A57A-1A80303B468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7" name="Text Box 910">
          <a:extLst>
            <a:ext uri="{FF2B5EF4-FFF2-40B4-BE49-F238E27FC236}">
              <a16:creationId xmlns:a16="http://schemas.microsoft.com/office/drawing/2014/main" id="{5AEEE91A-0CFC-4224-A7CA-D42AF19CD3D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8" name="Text Box 910">
          <a:extLst>
            <a:ext uri="{FF2B5EF4-FFF2-40B4-BE49-F238E27FC236}">
              <a16:creationId xmlns:a16="http://schemas.microsoft.com/office/drawing/2014/main" id="{AD800218-B8C2-43EF-87DC-FDC76F00B73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39" name="Text Box 910">
          <a:extLst>
            <a:ext uri="{FF2B5EF4-FFF2-40B4-BE49-F238E27FC236}">
              <a16:creationId xmlns:a16="http://schemas.microsoft.com/office/drawing/2014/main" id="{A300B721-6170-42D4-8D15-8523E91E671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0" name="Text Box 910">
          <a:extLst>
            <a:ext uri="{FF2B5EF4-FFF2-40B4-BE49-F238E27FC236}">
              <a16:creationId xmlns:a16="http://schemas.microsoft.com/office/drawing/2014/main" id="{36840020-950E-4A1D-ABAA-BD32F0A8212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1" name="Text Box 910">
          <a:extLst>
            <a:ext uri="{FF2B5EF4-FFF2-40B4-BE49-F238E27FC236}">
              <a16:creationId xmlns:a16="http://schemas.microsoft.com/office/drawing/2014/main" id="{61FCAAD8-F3AE-4EAC-9376-A2DC9C04420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2" name="Text Box 910">
          <a:extLst>
            <a:ext uri="{FF2B5EF4-FFF2-40B4-BE49-F238E27FC236}">
              <a16:creationId xmlns:a16="http://schemas.microsoft.com/office/drawing/2014/main" id="{5EF0CDBD-F570-411C-A07F-5C673DA78BF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3" name="Text Box 910">
          <a:extLst>
            <a:ext uri="{FF2B5EF4-FFF2-40B4-BE49-F238E27FC236}">
              <a16:creationId xmlns:a16="http://schemas.microsoft.com/office/drawing/2014/main" id="{A3F0230A-AA88-45F5-86C9-0C33B9672CE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4" name="Text Box 910">
          <a:extLst>
            <a:ext uri="{FF2B5EF4-FFF2-40B4-BE49-F238E27FC236}">
              <a16:creationId xmlns:a16="http://schemas.microsoft.com/office/drawing/2014/main" id="{AD6F882A-358C-4B76-AE7D-BB64557147A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5" name="Text Box 910">
          <a:extLst>
            <a:ext uri="{FF2B5EF4-FFF2-40B4-BE49-F238E27FC236}">
              <a16:creationId xmlns:a16="http://schemas.microsoft.com/office/drawing/2014/main" id="{BCF02C3C-D296-4680-BD84-EAD5C391338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6" name="Text Box 910">
          <a:extLst>
            <a:ext uri="{FF2B5EF4-FFF2-40B4-BE49-F238E27FC236}">
              <a16:creationId xmlns:a16="http://schemas.microsoft.com/office/drawing/2014/main" id="{7EB256E7-1483-40E7-AC2A-52CE5F33705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7" name="Text Box 910">
          <a:extLst>
            <a:ext uri="{FF2B5EF4-FFF2-40B4-BE49-F238E27FC236}">
              <a16:creationId xmlns:a16="http://schemas.microsoft.com/office/drawing/2014/main" id="{6FF5B87C-AFB2-4793-856D-81FC73FAAE9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8" name="Text Box 910">
          <a:extLst>
            <a:ext uri="{FF2B5EF4-FFF2-40B4-BE49-F238E27FC236}">
              <a16:creationId xmlns:a16="http://schemas.microsoft.com/office/drawing/2014/main" id="{D0B27C5C-E987-4CB0-8254-012E0CEF53E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49" name="Text Box 910">
          <a:extLst>
            <a:ext uri="{FF2B5EF4-FFF2-40B4-BE49-F238E27FC236}">
              <a16:creationId xmlns:a16="http://schemas.microsoft.com/office/drawing/2014/main" id="{7903E552-B51B-4F50-BE9D-9ECC266BA9C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0" name="Text Box 910">
          <a:extLst>
            <a:ext uri="{FF2B5EF4-FFF2-40B4-BE49-F238E27FC236}">
              <a16:creationId xmlns:a16="http://schemas.microsoft.com/office/drawing/2014/main" id="{85FF0314-8783-4034-813F-06C96B38A9C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1" name="Text Box 910">
          <a:extLst>
            <a:ext uri="{FF2B5EF4-FFF2-40B4-BE49-F238E27FC236}">
              <a16:creationId xmlns:a16="http://schemas.microsoft.com/office/drawing/2014/main" id="{3846AAB3-1C50-4949-8B12-1F732730C7D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2" name="Text Box 910">
          <a:extLst>
            <a:ext uri="{FF2B5EF4-FFF2-40B4-BE49-F238E27FC236}">
              <a16:creationId xmlns:a16="http://schemas.microsoft.com/office/drawing/2014/main" id="{B8D851C7-29E2-434E-BB84-DA97AA03157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3" name="Text Box 910">
          <a:extLst>
            <a:ext uri="{FF2B5EF4-FFF2-40B4-BE49-F238E27FC236}">
              <a16:creationId xmlns:a16="http://schemas.microsoft.com/office/drawing/2014/main" id="{13F1FF57-5307-432B-BF51-011CD24C1CC1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4" name="Text Box 910">
          <a:extLst>
            <a:ext uri="{FF2B5EF4-FFF2-40B4-BE49-F238E27FC236}">
              <a16:creationId xmlns:a16="http://schemas.microsoft.com/office/drawing/2014/main" id="{BA63859D-15B6-4D8F-9CAF-23A1A4F406E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5" name="Text Box 910">
          <a:extLst>
            <a:ext uri="{FF2B5EF4-FFF2-40B4-BE49-F238E27FC236}">
              <a16:creationId xmlns:a16="http://schemas.microsoft.com/office/drawing/2014/main" id="{C8D13CCF-90F3-4431-BFED-AE7CE2FD0ABA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6" name="Text Box 910">
          <a:extLst>
            <a:ext uri="{FF2B5EF4-FFF2-40B4-BE49-F238E27FC236}">
              <a16:creationId xmlns:a16="http://schemas.microsoft.com/office/drawing/2014/main" id="{87E5509A-7DA7-45B9-A723-43DC4F2524B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7" name="Text Box 910">
          <a:extLst>
            <a:ext uri="{FF2B5EF4-FFF2-40B4-BE49-F238E27FC236}">
              <a16:creationId xmlns:a16="http://schemas.microsoft.com/office/drawing/2014/main" id="{4A8E9B6D-8FE4-4502-B4EA-93368B03A735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8" name="Text Box 910">
          <a:extLst>
            <a:ext uri="{FF2B5EF4-FFF2-40B4-BE49-F238E27FC236}">
              <a16:creationId xmlns:a16="http://schemas.microsoft.com/office/drawing/2014/main" id="{F035D98A-CD6C-4539-82E8-E8C4EC97CA53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59" name="Text Box 910">
          <a:extLst>
            <a:ext uri="{FF2B5EF4-FFF2-40B4-BE49-F238E27FC236}">
              <a16:creationId xmlns:a16="http://schemas.microsoft.com/office/drawing/2014/main" id="{7FF3E0BD-F9BA-4E62-97C7-D25716A3AAF0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0" name="Text Box 910">
          <a:extLst>
            <a:ext uri="{FF2B5EF4-FFF2-40B4-BE49-F238E27FC236}">
              <a16:creationId xmlns:a16="http://schemas.microsoft.com/office/drawing/2014/main" id="{B5912825-52F7-4BD7-BEEA-F081FBBEDA9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1" name="Text Box 910">
          <a:extLst>
            <a:ext uri="{FF2B5EF4-FFF2-40B4-BE49-F238E27FC236}">
              <a16:creationId xmlns:a16="http://schemas.microsoft.com/office/drawing/2014/main" id="{14780C1A-5C16-49A8-B8E8-2619539FC846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2" name="Text Box 910">
          <a:extLst>
            <a:ext uri="{FF2B5EF4-FFF2-40B4-BE49-F238E27FC236}">
              <a16:creationId xmlns:a16="http://schemas.microsoft.com/office/drawing/2014/main" id="{26A76DD4-3E14-465D-8D81-956EEA6CCCAF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3" name="Text Box 910">
          <a:extLst>
            <a:ext uri="{FF2B5EF4-FFF2-40B4-BE49-F238E27FC236}">
              <a16:creationId xmlns:a16="http://schemas.microsoft.com/office/drawing/2014/main" id="{A2EEAE1B-291D-4F4F-94E7-FD81215FA44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4" name="Text Box 910">
          <a:extLst>
            <a:ext uri="{FF2B5EF4-FFF2-40B4-BE49-F238E27FC236}">
              <a16:creationId xmlns:a16="http://schemas.microsoft.com/office/drawing/2014/main" id="{D247BD97-A4AE-4DEB-A476-AD5DDA86147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5" name="Text Box 910">
          <a:extLst>
            <a:ext uri="{FF2B5EF4-FFF2-40B4-BE49-F238E27FC236}">
              <a16:creationId xmlns:a16="http://schemas.microsoft.com/office/drawing/2014/main" id="{83B5620B-BEA4-46B1-973E-652CFD8BDD37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6" name="Text Box 910">
          <a:extLst>
            <a:ext uri="{FF2B5EF4-FFF2-40B4-BE49-F238E27FC236}">
              <a16:creationId xmlns:a16="http://schemas.microsoft.com/office/drawing/2014/main" id="{8FC8252D-8F58-4E4C-BF85-BBEAF5193BC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7" name="Text Box 910">
          <a:extLst>
            <a:ext uri="{FF2B5EF4-FFF2-40B4-BE49-F238E27FC236}">
              <a16:creationId xmlns:a16="http://schemas.microsoft.com/office/drawing/2014/main" id="{5BDC528A-C464-4D6F-933B-BF73AA08117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8" name="Text Box 910">
          <a:extLst>
            <a:ext uri="{FF2B5EF4-FFF2-40B4-BE49-F238E27FC236}">
              <a16:creationId xmlns:a16="http://schemas.microsoft.com/office/drawing/2014/main" id="{6C4E42B0-D8A2-4D72-B3FA-754AE2C2E5B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69" name="Text Box 910">
          <a:extLst>
            <a:ext uri="{FF2B5EF4-FFF2-40B4-BE49-F238E27FC236}">
              <a16:creationId xmlns:a16="http://schemas.microsoft.com/office/drawing/2014/main" id="{74AB590C-457E-4EA1-8374-BA0E3A7AE5DE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70" name="Text Box 910">
          <a:extLst>
            <a:ext uri="{FF2B5EF4-FFF2-40B4-BE49-F238E27FC236}">
              <a16:creationId xmlns:a16="http://schemas.microsoft.com/office/drawing/2014/main" id="{F72440B1-BDA0-4BDF-9581-9A92C67D19CD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71" name="Text Box 910">
          <a:extLst>
            <a:ext uri="{FF2B5EF4-FFF2-40B4-BE49-F238E27FC236}">
              <a16:creationId xmlns:a16="http://schemas.microsoft.com/office/drawing/2014/main" id="{8357835A-8F28-4DB4-9713-93D6099AF73B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72" name="Text Box 910">
          <a:extLst>
            <a:ext uri="{FF2B5EF4-FFF2-40B4-BE49-F238E27FC236}">
              <a16:creationId xmlns:a16="http://schemas.microsoft.com/office/drawing/2014/main" id="{E6F27F61-1C4D-425D-9A9F-7AED688499A9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73" name="Text Box 910">
          <a:extLst>
            <a:ext uri="{FF2B5EF4-FFF2-40B4-BE49-F238E27FC236}">
              <a16:creationId xmlns:a16="http://schemas.microsoft.com/office/drawing/2014/main" id="{425A826A-2340-4054-AA71-459C2D50E998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74" name="Text Box 910">
          <a:extLst>
            <a:ext uri="{FF2B5EF4-FFF2-40B4-BE49-F238E27FC236}">
              <a16:creationId xmlns:a16="http://schemas.microsoft.com/office/drawing/2014/main" id="{04D97446-9515-4950-9D46-879A2A4BABEC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12</xdr:row>
      <xdr:rowOff>68580</xdr:rowOff>
    </xdr:from>
    <xdr:to>
      <xdr:col>29</xdr:col>
      <xdr:colOff>104775</xdr:colOff>
      <xdr:row>14</xdr:row>
      <xdr:rowOff>9525</xdr:rowOff>
    </xdr:to>
    <xdr:sp macro="" textlink="">
      <xdr:nvSpPr>
        <xdr:cNvPr id="2175" name="Text Box 910">
          <a:extLst>
            <a:ext uri="{FF2B5EF4-FFF2-40B4-BE49-F238E27FC236}">
              <a16:creationId xmlns:a16="http://schemas.microsoft.com/office/drawing/2014/main" id="{98EB2C86-9C49-4349-B337-446AFD428A34}"/>
            </a:ext>
          </a:extLst>
        </xdr:cNvPr>
        <xdr:cNvSpPr txBox="1">
          <a:spLocks noChangeArrowheads="1"/>
        </xdr:cNvSpPr>
      </xdr:nvSpPr>
      <xdr:spPr bwMode="auto">
        <a:xfrm>
          <a:off x="4514850" y="47453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76" name="Text Box 910">
          <a:extLst>
            <a:ext uri="{FF2B5EF4-FFF2-40B4-BE49-F238E27FC236}">
              <a16:creationId xmlns:a16="http://schemas.microsoft.com/office/drawing/2014/main" id="{8EA50359-0DD4-41D6-B19F-DF9F593870A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oneCellAnchor>
    <xdr:from>
      <xdr:col>1</xdr:col>
      <xdr:colOff>57150</xdr:colOff>
      <xdr:row>61</xdr:row>
      <xdr:rowOff>57151</xdr:rowOff>
    </xdr:from>
    <xdr:ext cx="928001" cy="288000"/>
    <xdr:pic>
      <xdr:nvPicPr>
        <xdr:cNvPr id="2177" name="Imagen 3">
          <a:extLst>
            <a:ext uri="{FF2B5EF4-FFF2-40B4-BE49-F238E27FC236}">
              <a16:creationId xmlns:a16="http://schemas.microsoft.com/office/drawing/2014/main" id="{91C0E6CB-5668-40C4-9042-87BCCB62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95275" y="11401426"/>
          <a:ext cx="928001" cy="28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178" name="Text Box 909">
          <a:extLst>
            <a:ext uri="{FF2B5EF4-FFF2-40B4-BE49-F238E27FC236}">
              <a16:creationId xmlns:a16="http://schemas.microsoft.com/office/drawing/2014/main" id="{DDFE2F52-6B77-4287-A585-63B31FC49966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79" name="Text Box 910">
          <a:extLst>
            <a:ext uri="{FF2B5EF4-FFF2-40B4-BE49-F238E27FC236}">
              <a16:creationId xmlns:a16="http://schemas.microsoft.com/office/drawing/2014/main" id="{232599BD-26AC-40D1-889F-BAA66239D50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80" name="Text Box 910">
          <a:extLst>
            <a:ext uri="{FF2B5EF4-FFF2-40B4-BE49-F238E27FC236}">
              <a16:creationId xmlns:a16="http://schemas.microsoft.com/office/drawing/2014/main" id="{20DD989B-327C-485B-9CDD-639EACA305D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81" name="Text Box 910">
          <a:extLst>
            <a:ext uri="{FF2B5EF4-FFF2-40B4-BE49-F238E27FC236}">
              <a16:creationId xmlns:a16="http://schemas.microsoft.com/office/drawing/2014/main" id="{B828F9B8-231F-476B-890A-A774B2C724F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82" name="Text Box 910">
          <a:extLst>
            <a:ext uri="{FF2B5EF4-FFF2-40B4-BE49-F238E27FC236}">
              <a16:creationId xmlns:a16="http://schemas.microsoft.com/office/drawing/2014/main" id="{212A2F0C-3506-475A-8609-09BFD4C69C2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183" name="Text Box 909">
          <a:extLst>
            <a:ext uri="{FF2B5EF4-FFF2-40B4-BE49-F238E27FC236}">
              <a16:creationId xmlns:a16="http://schemas.microsoft.com/office/drawing/2014/main" id="{32A7CA9F-0F9C-4407-B83A-FEFB04D0CB05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84" name="Text Box 910">
          <a:extLst>
            <a:ext uri="{FF2B5EF4-FFF2-40B4-BE49-F238E27FC236}">
              <a16:creationId xmlns:a16="http://schemas.microsoft.com/office/drawing/2014/main" id="{E3FEE931-481D-4038-BCEB-41B0206CE13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85" name="Text Box 910">
          <a:extLst>
            <a:ext uri="{FF2B5EF4-FFF2-40B4-BE49-F238E27FC236}">
              <a16:creationId xmlns:a16="http://schemas.microsoft.com/office/drawing/2014/main" id="{6E14930D-F1E7-495D-9195-686E83A4FC2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86" name="Text Box 910">
          <a:extLst>
            <a:ext uri="{FF2B5EF4-FFF2-40B4-BE49-F238E27FC236}">
              <a16:creationId xmlns:a16="http://schemas.microsoft.com/office/drawing/2014/main" id="{39DD1D5A-B9C3-45BF-AB6E-63F304AB377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87" name="Text Box 910">
          <a:extLst>
            <a:ext uri="{FF2B5EF4-FFF2-40B4-BE49-F238E27FC236}">
              <a16:creationId xmlns:a16="http://schemas.microsoft.com/office/drawing/2014/main" id="{679675DE-B4CC-402E-AE99-EBDD9ED1F23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188" name="Text Box 909">
          <a:extLst>
            <a:ext uri="{FF2B5EF4-FFF2-40B4-BE49-F238E27FC236}">
              <a16:creationId xmlns:a16="http://schemas.microsoft.com/office/drawing/2014/main" id="{D89A6E83-A4E1-4CEA-A74D-234C448E27D4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89" name="Text Box 910">
          <a:extLst>
            <a:ext uri="{FF2B5EF4-FFF2-40B4-BE49-F238E27FC236}">
              <a16:creationId xmlns:a16="http://schemas.microsoft.com/office/drawing/2014/main" id="{F422D30E-4DD5-49EB-BB56-6DD21333E9C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90" name="Text Box 910">
          <a:extLst>
            <a:ext uri="{FF2B5EF4-FFF2-40B4-BE49-F238E27FC236}">
              <a16:creationId xmlns:a16="http://schemas.microsoft.com/office/drawing/2014/main" id="{0376850C-F36D-4E77-A104-2543453053E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91" name="Text Box 910">
          <a:extLst>
            <a:ext uri="{FF2B5EF4-FFF2-40B4-BE49-F238E27FC236}">
              <a16:creationId xmlns:a16="http://schemas.microsoft.com/office/drawing/2014/main" id="{19E57513-2F58-4966-B1EA-AF9383B015A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92" name="Text Box 910">
          <a:extLst>
            <a:ext uri="{FF2B5EF4-FFF2-40B4-BE49-F238E27FC236}">
              <a16:creationId xmlns:a16="http://schemas.microsoft.com/office/drawing/2014/main" id="{E98C0C96-9C57-4319-8CE5-983B740A0ED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193" name="Text Box 909">
          <a:extLst>
            <a:ext uri="{FF2B5EF4-FFF2-40B4-BE49-F238E27FC236}">
              <a16:creationId xmlns:a16="http://schemas.microsoft.com/office/drawing/2014/main" id="{B8DB2B68-2C1E-45EE-A013-10E1875EA257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94" name="Text Box 910">
          <a:extLst>
            <a:ext uri="{FF2B5EF4-FFF2-40B4-BE49-F238E27FC236}">
              <a16:creationId xmlns:a16="http://schemas.microsoft.com/office/drawing/2014/main" id="{EE6B2217-86B7-4C1D-B205-BEB94010E52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95" name="Text Box 910">
          <a:extLst>
            <a:ext uri="{FF2B5EF4-FFF2-40B4-BE49-F238E27FC236}">
              <a16:creationId xmlns:a16="http://schemas.microsoft.com/office/drawing/2014/main" id="{565B4122-F54B-4465-8AE1-A4DF151021E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96" name="Text Box 910">
          <a:extLst>
            <a:ext uri="{FF2B5EF4-FFF2-40B4-BE49-F238E27FC236}">
              <a16:creationId xmlns:a16="http://schemas.microsoft.com/office/drawing/2014/main" id="{FB4E7932-468A-4772-9B4C-AE450B5B2AA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97" name="Text Box 910">
          <a:extLst>
            <a:ext uri="{FF2B5EF4-FFF2-40B4-BE49-F238E27FC236}">
              <a16:creationId xmlns:a16="http://schemas.microsoft.com/office/drawing/2014/main" id="{41E2B117-1674-405B-9F05-30C8FEA5875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198" name="Text Box 909">
          <a:extLst>
            <a:ext uri="{FF2B5EF4-FFF2-40B4-BE49-F238E27FC236}">
              <a16:creationId xmlns:a16="http://schemas.microsoft.com/office/drawing/2014/main" id="{1EC5B974-F602-4F9C-B49B-A13E0C6D8BA1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199" name="Text Box 910">
          <a:extLst>
            <a:ext uri="{FF2B5EF4-FFF2-40B4-BE49-F238E27FC236}">
              <a16:creationId xmlns:a16="http://schemas.microsoft.com/office/drawing/2014/main" id="{9A986D24-55F7-4A61-B825-00A7FB8A848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00" name="Text Box 910">
          <a:extLst>
            <a:ext uri="{FF2B5EF4-FFF2-40B4-BE49-F238E27FC236}">
              <a16:creationId xmlns:a16="http://schemas.microsoft.com/office/drawing/2014/main" id="{399B3ED3-0B31-406F-B2C0-B6AE6FFA5BA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01" name="Text Box 910">
          <a:extLst>
            <a:ext uri="{FF2B5EF4-FFF2-40B4-BE49-F238E27FC236}">
              <a16:creationId xmlns:a16="http://schemas.microsoft.com/office/drawing/2014/main" id="{971ECF20-9750-45FA-958F-8366DBAF590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02" name="Text Box 910">
          <a:extLst>
            <a:ext uri="{FF2B5EF4-FFF2-40B4-BE49-F238E27FC236}">
              <a16:creationId xmlns:a16="http://schemas.microsoft.com/office/drawing/2014/main" id="{2A393CC6-FB05-48C3-A7BA-69C63036FB1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03" name="Text Box 909">
          <a:extLst>
            <a:ext uri="{FF2B5EF4-FFF2-40B4-BE49-F238E27FC236}">
              <a16:creationId xmlns:a16="http://schemas.microsoft.com/office/drawing/2014/main" id="{5EBD6647-2546-408C-BF72-AF874EFD8C68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04" name="Text Box 910">
          <a:extLst>
            <a:ext uri="{FF2B5EF4-FFF2-40B4-BE49-F238E27FC236}">
              <a16:creationId xmlns:a16="http://schemas.microsoft.com/office/drawing/2014/main" id="{C7496D91-0689-4E52-B125-D92FD198485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05" name="Text Box 910">
          <a:extLst>
            <a:ext uri="{FF2B5EF4-FFF2-40B4-BE49-F238E27FC236}">
              <a16:creationId xmlns:a16="http://schemas.microsoft.com/office/drawing/2014/main" id="{F307FE24-EEDE-46E6-BA97-2494104877E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06" name="Text Box 910">
          <a:extLst>
            <a:ext uri="{FF2B5EF4-FFF2-40B4-BE49-F238E27FC236}">
              <a16:creationId xmlns:a16="http://schemas.microsoft.com/office/drawing/2014/main" id="{786D5FBC-E45C-474C-8A51-7E09E11E40B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07" name="Text Box 910">
          <a:extLst>
            <a:ext uri="{FF2B5EF4-FFF2-40B4-BE49-F238E27FC236}">
              <a16:creationId xmlns:a16="http://schemas.microsoft.com/office/drawing/2014/main" id="{8F19E290-4621-4F9A-90C6-C24BA80FF90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08" name="Text Box 909">
          <a:extLst>
            <a:ext uri="{FF2B5EF4-FFF2-40B4-BE49-F238E27FC236}">
              <a16:creationId xmlns:a16="http://schemas.microsoft.com/office/drawing/2014/main" id="{4D2CEA52-E3F5-47E3-82D8-3758A49E64F5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09" name="Text Box 910">
          <a:extLst>
            <a:ext uri="{FF2B5EF4-FFF2-40B4-BE49-F238E27FC236}">
              <a16:creationId xmlns:a16="http://schemas.microsoft.com/office/drawing/2014/main" id="{E6915DA0-D7E9-4A71-9778-E6245DDB6DD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10" name="Text Box 910">
          <a:extLst>
            <a:ext uri="{FF2B5EF4-FFF2-40B4-BE49-F238E27FC236}">
              <a16:creationId xmlns:a16="http://schemas.microsoft.com/office/drawing/2014/main" id="{6AFA3044-17B4-4C3E-AFD5-BB4F747B039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11" name="Text Box 910">
          <a:extLst>
            <a:ext uri="{FF2B5EF4-FFF2-40B4-BE49-F238E27FC236}">
              <a16:creationId xmlns:a16="http://schemas.microsoft.com/office/drawing/2014/main" id="{CA062E02-83F0-4948-AF7C-5B09191DB6E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12" name="Text Box 910">
          <a:extLst>
            <a:ext uri="{FF2B5EF4-FFF2-40B4-BE49-F238E27FC236}">
              <a16:creationId xmlns:a16="http://schemas.microsoft.com/office/drawing/2014/main" id="{CD757E39-C891-4710-8FD2-0A01A3B1327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13" name="Text Box 909">
          <a:extLst>
            <a:ext uri="{FF2B5EF4-FFF2-40B4-BE49-F238E27FC236}">
              <a16:creationId xmlns:a16="http://schemas.microsoft.com/office/drawing/2014/main" id="{B294BCC1-0D38-4F4E-ABF7-5DB4AE09277F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14" name="Text Box 910">
          <a:extLst>
            <a:ext uri="{FF2B5EF4-FFF2-40B4-BE49-F238E27FC236}">
              <a16:creationId xmlns:a16="http://schemas.microsoft.com/office/drawing/2014/main" id="{F3797D20-04CA-4A5A-A09A-8613AFE3882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15" name="Text Box 910">
          <a:extLst>
            <a:ext uri="{FF2B5EF4-FFF2-40B4-BE49-F238E27FC236}">
              <a16:creationId xmlns:a16="http://schemas.microsoft.com/office/drawing/2014/main" id="{6E0AEF73-0239-4864-902B-299DFD5621C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16" name="Text Box 910">
          <a:extLst>
            <a:ext uri="{FF2B5EF4-FFF2-40B4-BE49-F238E27FC236}">
              <a16:creationId xmlns:a16="http://schemas.microsoft.com/office/drawing/2014/main" id="{DB5C99CD-D94F-4ECE-8C11-065E244F678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17" name="Text Box 910">
          <a:extLst>
            <a:ext uri="{FF2B5EF4-FFF2-40B4-BE49-F238E27FC236}">
              <a16:creationId xmlns:a16="http://schemas.microsoft.com/office/drawing/2014/main" id="{B92C8819-E6D3-4ACC-87D5-D56CB2F80B4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18" name="Text Box 909">
          <a:extLst>
            <a:ext uri="{FF2B5EF4-FFF2-40B4-BE49-F238E27FC236}">
              <a16:creationId xmlns:a16="http://schemas.microsoft.com/office/drawing/2014/main" id="{3F082BE9-B9B3-4714-806F-5FDB8769861D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19" name="Text Box 910">
          <a:extLst>
            <a:ext uri="{FF2B5EF4-FFF2-40B4-BE49-F238E27FC236}">
              <a16:creationId xmlns:a16="http://schemas.microsoft.com/office/drawing/2014/main" id="{F0831799-EE96-432F-BE92-8E76678A05D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20" name="Text Box 910">
          <a:extLst>
            <a:ext uri="{FF2B5EF4-FFF2-40B4-BE49-F238E27FC236}">
              <a16:creationId xmlns:a16="http://schemas.microsoft.com/office/drawing/2014/main" id="{018BCE58-6C04-42C4-B9D4-3BD96305C7C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21" name="Text Box 910">
          <a:extLst>
            <a:ext uri="{FF2B5EF4-FFF2-40B4-BE49-F238E27FC236}">
              <a16:creationId xmlns:a16="http://schemas.microsoft.com/office/drawing/2014/main" id="{36FDB857-937A-4296-A164-5212BC7A483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22" name="Text Box 910">
          <a:extLst>
            <a:ext uri="{FF2B5EF4-FFF2-40B4-BE49-F238E27FC236}">
              <a16:creationId xmlns:a16="http://schemas.microsoft.com/office/drawing/2014/main" id="{32690AB8-A84E-47BD-91E1-C6C725CD80B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23" name="Text Box 909">
          <a:extLst>
            <a:ext uri="{FF2B5EF4-FFF2-40B4-BE49-F238E27FC236}">
              <a16:creationId xmlns:a16="http://schemas.microsoft.com/office/drawing/2014/main" id="{899714D4-6CFF-4B5B-82E9-1AF677118423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24" name="Text Box 910">
          <a:extLst>
            <a:ext uri="{FF2B5EF4-FFF2-40B4-BE49-F238E27FC236}">
              <a16:creationId xmlns:a16="http://schemas.microsoft.com/office/drawing/2014/main" id="{AF3C3FF7-C879-44FD-965D-6241B330C78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25" name="Text Box 910">
          <a:extLst>
            <a:ext uri="{FF2B5EF4-FFF2-40B4-BE49-F238E27FC236}">
              <a16:creationId xmlns:a16="http://schemas.microsoft.com/office/drawing/2014/main" id="{1993AB1D-0F50-4115-916E-AE2F64020D1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26" name="Text Box 910">
          <a:extLst>
            <a:ext uri="{FF2B5EF4-FFF2-40B4-BE49-F238E27FC236}">
              <a16:creationId xmlns:a16="http://schemas.microsoft.com/office/drawing/2014/main" id="{DF63BC07-900D-4226-A708-E14831A811C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27" name="Text Box 910">
          <a:extLst>
            <a:ext uri="{FF2B5EF4-FFF2-40B4-BE49-F238E27FC236}">
              <a16:creationId xmlns:a16="http://schemas.microsoft.com/office/drawing/2014/main" id="{9FE70A00-C603-409B-A61A-43D3523CC7D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28" name="Text Box 909">
          <a:extLst>
            <a:ext uri="{FF2B5EF4-FFF2-40B4-BE49-F238E27FC236}">
              <a16:creationId xmlns:a16="http://schemas.microsoft.com/office/drawing/2014/main" id="{8D8D7768-C264-4DA4-9531-B9B9FACBADAC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29" name="Text Box 910">
          <a:extLst>
            <a:ext uri="{FF2B5EF4-FFF2-40B4-BE49-F238E27FC236}">
              <a16:creationId xmlns:a16="http://schemas.microsoft.com/office/drawing/2014/main" id="{B2A64B30-56B4-4D1F-9EC8-475A9E747E9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30" name="Text Box 910">
          <a:extLst>
            <a:ext uri="{FF2B5EF4-FFF2-40B4-BE49-F238E27FC236}">
              <a16:creationId xmlns:a16="http://schemas.microsoft.com/office/drawing/2014/main" id="{B28710EC-99EB-4227-83B0-F45223BD16C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31" name="Text Box 910">
          <a:extLst>
            <a:ext uri="{FF2B5EF4-FFF2-40B4-BE49-F238E27FC236}">
              <a16:creationId xmlns:a16="http://schemas.microsoft.com/office/drawing/2014/main" id="{0F1C8067-3722-4EB7-AD9C-240956D639F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32" name="Text Box 910">
          <a:extLst>
            <a:ext uri="{FF2B5EF4-FFF2-40B4-BE49-F238E27FC236}">
              <a16:creationId xmlns:a16="http://schemas.microsoft.com/office/drawing/2014/main" id="{D86147DF-B0BE-481A-BF14-22AA7E9B486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33" name="Text Box 909">
          <a:extLst>
            <a:ext uri="{FF2B5EF4-FFF2-40B4-BE49-F238E27FC236}">
              <a16:creationId xmlns:a16="http://schemas.microsoft.com/office/drawing/2014/main" id="{546E1157-C3AE-4833-A78B-75EF7A2CB015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34" name="Text Box 910">
          <a:extLst>
            <a:ext uri="{FF2B5EF4-FFF2-40B4-BE49-F238E27FC236}">
              <a16:creationId xmlns:a16="http://schemas.microsoft.com/office/drawing/2014/main" id="{16C6BFA2-06AB-4B7D-9AB4-2996307B9B3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35" name="Text Box 910">
          <a:extLst>
            <a:ext uri="{FF2B5EF4-FFF2-40B4-BE49-F238E27FC236}">
              <a16:creationId xmlns:a16="http://schemas.microsoft.com/office/drawing/2014/main" id="{84FF3510-4F08-491A-942F-E9CCAAE5BE5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36" name="Text Box 910">
          <a:extLst>
            <a:ext uri="{FF2B5EF4-FFF2-40B4-BE49-F238E27FC236}">
              <a16:creationId xmlns:a16="http://schemas.microsoft.com/office/drawing/2014/main" id="{CB3B00D8-56E7-4BDE-AA41-C6152DF11BD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37" name="Text Box 910">
          <a:extLst>
            <a:ext uri="{FF2B5EF4-FFF2-40B4-BE49-F238E27FC236}">
              <a16:creationId xmlns:a16="http://schemas.microsoft.com/office/drawing/2014/main" id="{427D1456-E9A0-4FE3-9FD3-F24ACD0BEB2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38" name="Text Box 909">
          <a:extLst>
            <a:ext uri="{FF2B5EF4-FFF2-40B4-BE49-F238E27FC236}">
              <a16:creationId xmlns:a16="http://schemas.microsoft.com/office/drawing/2014/main" id="{5D0E1BBA-8063-4380-BC91-F4196197B623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39" name="Text Box 910">
          <a:extLst>
            <a:ext uri="{FF2B5EF4-FFF2-40B4-BE49-F238E27FC236}">
              <a16:creationId xmlns:a16="http://schemas.microsoft.com/office/drawing/2014/main" id="{B9CE35FC-574B-455E-AA77-3111E88A534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40" name="Text Box 910">
          <a:extLst>
            <a:ext uri="{FF2B5EF4-FFF2-40B4-BE49-F238E27FC236}">
              <a16:creationId xmlns:a16="http://schemas.microsoft.com/office/drawing/2014/main" id="{C42E5078-099B-4215-98B8-BC686CA4E0B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41" name="Text Box 910">
          <a:extLst>
            <a:ext uri="{FF2B5EF4-FFF2-40B4-BE49-F238E27FC236}">
              <a16:creationId xmlns:a16="http://schemas.microsoft.com/office/drawing/2014/main" id="{B88D8887-89B0-4B68-8D23-3988AAD4485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42" name="Text Box 910">
          <a:extLst>
            <a:ext uri="{FF2B5EF4-FFF2-40B4-BE49-F238E27FC236}">
              <a16:creationId xmlns:a16="http://schemas.microsoft.com/office/drawing/2014/main" id="{E6E9CAC4-C7A6-4F71-A520-6AE87342139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43" name="Text Box 909">
          <a:extLst>
            <a:ext uri="{FF2B5EF4-FFF2-40B4-BE49-F238E27FC236}">
              <a16:creationId xmlns:a16="http://schemas.microsoft.com/office/drawing/2014/main" id="{519786E1-75AB-418A-9FEA-76D1BF1B9D4C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44" name="Text Box 910">
          <a:extLst>
            <a:ext uri="{FF2B5EF4-FFF2-40B4-BE49-F238E27FC236}">
              <a16:creationId xmlns:a16="http://schemas.microsoft.com/office/drawing/2014/main" id="{4B745149-BB0D-41B9-BFAB-F72A680A4E1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45" name="Text Box 910">
          <a:extLst>
            <a:ext uri="{FF2B5EF4-FFF2-40B4-BE49-F238E27FC236}">
              <a16:creationId xmlns:a16="http://schemas.microsoft.com/office/drawing/2014/main" id="{7A68A65C-E12C-43E8-84FC-E0563CB1E6D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46" name="Text Box 910">
          <a:extLst>
            <a:ext uri="{FF2B5EF4-FFF2-40B4-BE49-F238E27FC236}">
              <a16:creationId xmlns:a16="http://schemas.microsoft.com/office/drawing/2014/main" id="{93C24879-3378-447A-9660-25CF189343A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47" name="Text Box 910">
          <a:extLst>
            <a:ext uri="{FF2B5EF4-FFF2-40B4-BE49-F238E27FC236}">
              <a16:creationId xmlns:a16="http://schemas.microsoft.com/office/drawing/2014/main" id="{D7494BA6-A8D9-4B53-BD12-54A05B3D54D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48" name="Text Box 909">
          <a:extLst>
            <a:ext uri="{FF2B5EF4-FFF2-40B4-BE49-F238E27FC236}">
              <a16:creationId xmlns:a16="http://schemas.microsoft.com/office/drawing/2014/main" id="{631F4E03-4BF9-48D4-B484-B4EF67C83DE2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49" name="Text Box 910">
          <a:extLst>
            <a:ext uri="{FF2B5EF4-FFF2-40B4-BE49-F238E27FC236}">
              <a16:creationId xmlns:a16="http://schemas.microsoft.com/office/drawing/2014/main" id="{46D142E7-759C-494D-9922-B6B670FC79F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50" name="Text Box 910">
          <a:extLst>
            <a:ext uri="{FF2B5EF4-FFF2-40B4-BE49-F238E27FC236}">
              <a16:creationId xmlns:a16="http://schemas.microsoft.com/office/drawing/2014/main" id="{DE9490E6-C2B1-4EE7-A26C-EE4FCF008C6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51" name="Text Box 910">
          <a:extLst>
            <a:ext uri="{FF2B5EF4-FFF2-40B4-BE49-F238E27FC236}">
              <a16:creationId xmlns:a16="http://schemas.microsoft.com/office/drawing/2014/main" id="{AD0A4AFE-0765-4158-9D1C-B57CED0C2DD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52" name="Text Box 910">
          <a:extLst>
            <a:ext uri="{FF2B5EF4-FFF2-40B4-BE49-F238E27FC236}">
              <a16:creationId xmlns:a16="http://schemas.microsoft.com/office/drawing/2014/main" id="{FACF4121-B891-48D7-BAF0-F5C6A6C5DD4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53" name="Text Box 909">
          <a:extLst>
            <a:ext uri="{FF2B5EF4-FFF2-40B4-BE49-F238E27FC236}">
              <a16:creationId xmlns:a16="http://schemas.microsoft.com/office/drawing/2014/main" id="{C1EDA857-EFE1-4957-838C-78EFC4F68549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54" name="Text Box 910">
          <a:extLst>
            <a:ext uri="{FF2B5EF4-FFF2-40B4-BE49-F238E27FC236}">
              <a16:creationId xmlns:a16="http://schemas.microsoft.com/office/drawing/2014/main" id="{7DBAED2C-F4B2-4F75-B357-B01B27D7BD2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55" name="Text Box 910">
          <a:extLst>
            <a:ext uri="{FF2B5EF4-FFF2-40B4-BE49-F238E27FC236}">
              <a16:creationId xmlns:a16="http://schemas.microsoft.com/office/drawing/2014/main" id="{9F58677D-117A-420C-9AA1-ACB78A51797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56" name="Text Box 910">
          <a:extLst>
            <a:ext uri="{FF2B5EF4-FFF2-40B4-BE49-F238E27FC236}">
              <a16:creationId xmlns:a16="http://schemas.microsoft.com/office/drawing/2014/main" id="{1A625F67-FEFA-423D-BC4B-E011D9C6A44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57" name="Text Box 910">
          <a:extLst>
            <a:ext uri="{FF2B5EF4-FFF2-40B4-BE49-F238E27FC236}">
              <a16:creationId xmlns:a16="http://schemas.microsoft.com/office/drawing/2014/main" id="{E6D37EDB-5551-4BFE-A679-DAA830D9574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58" name="Text Box 909">
          <a:extLst>
            <a:ext uri="{FF2B5EF4-FFF2-40B4-BE49-F238E27FC236}">
              <a16:creationId xmlns:a16="http://schemas.microsoft.com/office/drawing/2014/main" id="{AF434E69-8B34-4347-883A-B51F6387A934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59" name="Text Box 910">
          <a:extLst>
            <a:ext uri="{FF2B5EF4-FFF2-40B4-BE49-F238E27FC236}">
              <a16:creationId xmlns:a16="http://schemas.microsoft.com/office/drawing/2014/main" id="{F8753DF7-1A36-4237-B69D-CE036FF62D5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60" name="Text Box 910">
          <a:extLst>
            <a:ext uri="{FF2B5EF4-FFF2-40B4-BE49-F238E27FC236}">
              <a16:creationId xmlns:a16="http://schemas.microsoft.com/office/drawing/2014/main" id="{E0AA6A62-FBB5-45EB-8504-34362733340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61" name="Text Box 910">
          <a:extLst>
            <a:ext uri="{FF2B5EF4-FFF2-40B4-BE49-F238E27FC236}">
              <a16:creationId xmlns:a16="http://schemas.microsoft.com/office/drawing/2014/main" id="{65D81605-06BD-4BA8-A7C1-90FC9D869A7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62" name="Text Box 910">
          <a:extLst>
            <a:ext uri="{FF2B5EF4-FFF2-40B4-BE49-F238E27FC236}">
              <a16:creationId xmlns:a16="http://schemas.microsoft.com/office/drawing/2014/main" id="{A23E1D2F-E8A6-4096-A73B-F570EE33922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63" name="Text Box 909">
          <a:extLst>
            <a:ext uri="{FF2B5EF4-FFF2-40B4-BE49-F238E27FC236}">
              <a16:creationId xmlns:a16="http://schemas.microsoft.com/office/drawing/2014/main" id="{A7AE9D50-3BF9-4D3A-9833-3420DE4641AE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64" name="Text Box 910">
          <a:extLst>
            <a:ext uri="{FF2B5EF4-FFF2-40B4-BE49-F238E27FC236}">
              <a16:creationId xmlns:a16="http://schemas.microsoft.com/office/drawing/2014/main" id="{AA364151-4910-4854-8C61-BA69F4B8415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65" name="Text Box 910">
          <a:extLst>
            <a:ext uri="{FF2B5EF4-FFF2-40B4-BE49-F238E27FC236}">
              <a16:creationId xmlns:a16="http://schemas.microsoft.com/office/drawing/2014/main" id="{DB0D4BD1-096F-4E0A-AF3F-5286037D31E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66" name="Text Box 910">
          <a:extLst>
            <a:ext uri="{FF2B5EF4-FFF2-40B4-BE49-F238E27FC236}">
              <a16:creationId xmlns:a16="http://schemas.microsoft.com/office/drawing/2014/main" id="{BB83053D-5859-4EFE-8936-86EE7A70565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67" name="Text Box 910">
          <a:extLst>
            <a:ext uri="{FF2B5EF4-FFF2-40B4-BE49-F238E27FC236}">
              <a16:creationId xmlns:a16="http://schemas.microsoft.com/office/drawing/2014/main" id="{968B9A7A-F5D2-4BC9-9745-5495800F76B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68" name="Text Box 909">
          <a:extLst>
            <a:ext uri="{FF2B5EF4-FFF2-40B4-BE49-F238E27FC236}">
              <a16:creationId xmlns:a16="http://schemas.microsoft.com/office/drawing/2014/main" id="{5127F872-81A6-4284-8289-3ED935D3D917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69" name="Text Box 910">
          <a:extLst>
            <a:ext uri="{FF2B5EF4-FFF2-40B4-BE49-F238E27FC236}">
              <a16:creationId xmlns:a16="http://schemas.microsoft.com/office/drawing/2014/main" id="{D83703EF-198E-4A4C-82F6-BD2729DC557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70" name="Text Box 910">
          <a:extLst>
            <a:ext uri="{FF2B5EF4-FFF2-40B4-BE49-F238E27FC236}">
              <a16:creationId xmlns:a16="http://schemas.microsoft.com/office/drawing/2014/main" id="{9C6C7B3E-D0BC-429D-ACF6-ACC39E25699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71" name="Text Box 910">
          <a:extLst>
            <a:ext uri="{FF2B5EF4-FFF2-40B4-BE49-F238E27FC236}">
              <a16:creationId xmlns:a16="http://schemas.microsoft.com/office/drawing/2014/main" id="{76DAD3C3-0A22-487E-815D-416E00479AC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72" name="Text Box 910">
          <a:extLst>
            <a:ext uri="{FF2B5EF4-FFF2-40B4-BE49-F238E27FC236}">
              <a16:creationId xmlns:a16="http://schemas.microsoft.com/office/drawing/2014/main" id="{F5C82F0B-AC77-497B-AE40-D195F1BFA8C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73" name="Text Box 909">
          <a:extLst>
            <a:ext uri="{FF2B5EF4-FFF2-40B4-BE49-F238E27FC236}">
              <a16:creationId xmlns:a16="http://schemas.microsoft.com/office/drawing/2014/main" id="{4CB9FE51-646A-40FA-BF18-252343CD88FE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74" name="Text Box 910">
          <a:extLst>
            <a:ext uri="{FF2B5EF4-FFF2-40B4-BE49-F238E27FC236}">
              <a16:creationId xmlns:a16="http://schemas.microsoft.com/office/drawing/2014/main" id="{FAD9EAA2-E9D2-4044-9D50-62C6954E8FD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75" name="Text Box 910">
          <a:extLst>
            <a:ext uri="{FF2B5EF4-FFF2-40B4-BE49-F238E27FC236}">
              <a16:creationId xmlns:a16="http://schemas.microsoft.com/office/drawing/2014/main" id="{984DC3C7-AD6D-45CC-A7E7-CBA2404B7AF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76" name="Text Box 910">
          <a:extLst>
            <a:ext uri="{FF2B5EF4-FFF2-40B4-BE49-F238E27FC236}">
              <a16:creationId xmlns:a16="http://schemas.microsoft.com/office/drawing/2014/main" id="{AF07720B-DC2B-453F-B000-BFC78FF97C4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77" name="Text Box 910">
          <a:extLst>
            <a:ext uri="{FF2B5EF4-FFF2-40B4-BE49-F238E27FC236}">
              <a16:creationId xmlns:a16="http://schemas.microsoft.com/office/drawing/2014/main" id="{1014D7CC-D88F-4EC0-87B8-C850D0FF546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78" name="Text Box 909">
          <a:extLst>
            <a:ext uri="{FF2B5EF4-FFF2-40B4-BE49-F238E27FC236}">
              <a16:creationId xmlns:a16="http://schemas.microsoft.com/office/drawing/2014/main" id="{71D8B977-FB39-4E5A-9133-F01F809582DC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79" name="Text Box 910">
          <a:extLst>
            <a:ext uri="{FF2B5EF4-FFF2-40B4-BE49-F238E27FC236}">
              <a16:creationId xmlns:a16="http://schemas.microsoft.com/office/drawing/2014/main" id="{0EFD72C8-7188-4175-A684-5429F309949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80" name="Text Box 910">
          <a:extLst>
            <a:ext uri="{FF2B5EF4-FFF2-40B4-BE49-F238E27FC236}">
              <a16:creationId xmlns:a16="http://schemas.microsoft.com/office/drawing/2014/main" id="{C2D0230D-FE0C-403A-9D0D-0A1C97083E1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81" name="Text Box 910">
          <a:extLst>
            <a:ext uri="{FF2B5EF4-FFF2-40B4-BE49-F238E27FC236}">
              <a16:creationId xmlns:a16="http://schemas.microsoft.com/office/drawing/2014/main" id="{8D26A839-76A4-490F-B7C4-F02C6753600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82" name="Text Box 910">
          <a:extLst>
            <a:ext uri="{FF2B5EF4-FFF2-40B4-BE49-F238E27FC236}">
              <a16:creationId xmlns:a16="http://schemas.microsoft.com/office/drawing/2014/main" id="{6EA4A678-704C-42F5-835E-43348617EFC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83" name="Text Box 909">
          <a:extLst>
            <a:ext uri="{FF2B5EF4-FFF2-40B4-BE49-F238E27FC236}">
              <a16:creationId xmlns:a16="http://schemas.microsoft.com/office/drawing/2014/main" id="{1AADA353-53D6-463D-8DBE-85C87E1EEE52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84" name="Text Box 910">
          <a:extLst>
            <a:ext uri="{FF2B5EF4-FFF2-40B4-BE49-F238E27FC236}">
              <a16:creationId xmlns:a16="http://schemas.microsoft.com/office/drawing/2014/main" id="{2557EC62-EEAA-4974-A529-1D005C64AD1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85" name="Text Box 910">
          <a:extLst>
            <a:ext uri="{FF2B5EF4-FFF2-40B4-BE49-F238E27FC236}">
              <a16:creationId xmlns:a16="http://schemas.microsoft.com/office/drawing/2014/main" id="{03037B09-CB94-4321-9708-8AE737D4096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86" name="Text Box 910">
          <a:extLst>
            <a:ext uri="{FF2B5EF4-FFF2-40B4-BE49-F238E27FC236}">
              <a16:creationId xmlns:a16="http://schemas.microsoft.com/office/drawing/2014/main" id="{C4DD9A94-6F38-4BEE-9206-AAB2A199BD6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87" name="Text Box 910">
          <a:extLst>
            <a:ext uri="{FF2B5EF4-FFF2-40B4-BE49-F238E27FC236}">
              <a16:creationId xmlns:a16="http://schemas.microsoft.com/office/drawing/2014/main" id="{A524AEBF-BC2E-470C-A769-CE094194972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88" name="Text Box 909">
          <a:extLst>
            <a:ext uri="{FF2B5EF4-FFF2-40B4-BE49-F238E27FC236}">
              <a16:creationId xmlns:a16="http://schemas.microsoft.com/office/drawing/2014/main" id="{20317E66-FC31-4F4F-9C8E-0D78FE89E251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89" name="Text Box 910">
          <a:extLst>
            <a:ext uri="{FF2B5EF4-FFF2-40B4-BE49-F238E27FC236}">
              <a16:creationId xmlns:a16="http://schemas.microsoft.com/office/drawing/2014/main" id="{27CD7EC5-80FD-4BFF-8C44-2D4A4D33F53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90" name="Text Box 910">
          <a:extLst>
            <a:ext uri="{FF2B5EF4-FFF2-40B4-BE49-F238E27FC236}">
              <a16:creationId xmlns:a16="http://schemas.microsoft.com/office/drawing/2014/main" id="{08B288D9-D2CA-4E0D-92B6-BB8EB3DC67F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91" name="Text Box 910">
          <a:extLst>
            <a:ext uri="{FF2B5EF4-FFF2-40B4-BE49-F238E27FC236}">
              <a16:creationId xmlns:a16="http://schemas.microsoft.com/office/drawing/2014/main" id="{3491DF49-9712-471C-8913-A91C1144F39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92" name="Text Box 910">
          <a:extLst>
            <a:ext uri="{FF2B5EF4-FFF2-40B4-BE49-F238E27FC236}">
              <a16:creationId xmlns:a16="http://schemas.microsoft.com/office/drawing/2014/main" id="{BB5DBE56-AE91-4F05-947D-90D05E9E651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93" name="Text Box 909">
          <a:extLst>
            <a:ext uri="{FF2B5EF4-FFF2-40B4-BE49-F238E27FC236}">
              <a16:creationId xmlns:a16="http://schemas.microsoft.com/office/drawing/2014/main" id="{654FF220-4656-45DD-B206-12BA68B5518D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94" name="Text Box 910">
          <a:extLst>
            <a:ext uri="{FF2B5EF4-FFF2-40B4-BE49-F238E27FC236}">
              <a16:creationId xmlns:a16="http://schemas.microsoft.com/office/drawing/2014/main" id="{0E6E8A18-AF67-4840-B140-030E54F0049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95" name="Text Box 910">
          <a:extLst>
            <a:ext uri="{FF2B5EF4-FFF2-40B4-BE49-F238E27FC236}">
              <a16:creationId xmlns:a16="http://schemas.microsoft.com/office/drawing/2014/main" id="{9050A42B-8218-4714-89E1-68614D83D1A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96" name="Text Box 910">
          <a:extLst>
            <a:ext uri="{FF2B5EF4-FFF2-40B4-BE49-F238E27FC236}">
              <a16:creationId xmlns:a16="http://schemas.microsoft.com/office/drawing/2014/main" id="{CC302B03-AD95-44DA-9F85-FF8A3BBDF8C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97" name="Text Box 910">
          <a:extLst>
            <a:ext uri="{FF2B5EF4-FFF2-40B4-BE49-F238E27FC236}">
              <a16:creationId xmlns:a16="http://schemas.microsoft.com/office/drawing/2014/main" id="{2068BF2A-BD60-4916-9729-C3157E4AA39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298" name="Text Box 909">
          <a:extLst>
            <a:ext uri="{FF2B5EF4-FFF2-40B4-BE49-F238E27FC236}">
              <a16:creationId xmlns:a16="http://schemas.microsoft.com/office/drawing/2014/main" id="{54477A74-E97D-429D-8671-72F017427A3B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299" name="Text Box 910">
          <a:extLst>
            <a:ext uri="{FF2B5EF4-FFF2-40B4-BE49-F238E27FC236}">
              <a16:creationId xmlns:a16="http://schemas.microsoft.com/office/drawing/2014/main" id="{8830BC3E-71A9-42AC-8889-1EEC06C490C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00" name="Text Box 910">
          <a:extLst>
            <a:ext uri="{FF2B5EF4-FFF2-40B4-BE49-F238E27FC236}">
              <a16:creationId xmlns:a16="http://schemas.microsoft.com/office/drawing/2014/main" id="{F7B854B6-9090-4ACE-8EE1-DAA04692C83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01" name="Text Box 910">
          <a:extLst>
            <a:ext uri="{FF2B5EF4-FFF2-40B4-BE49-F238E27FC236}">
              <a16:creationId xmlns:a16="http://schemas.microsoft.com/office/drawing/2014/main" id="{FC62651B-5677-4178-96C8-1B05F78E2BF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02" name="Text Box 910">
          <a:extLst>
            <a:ext uri="{FF2B5EF4-FFF2-40B4-BE49-F238E27FC236}">
              <a16:creationId xmlns:a16="http://schemas.microsoft.com/office/drawing/2014/main" id="{46BE560D-0E22-4B30-A7C8-B4EBC51133C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303" name="Text Box 909">
          <a:extLst>
            <a:ext uri="{FF2B5EF4-FFF2-40B4-BE49-F238E27FC236}">
              <a16:creationId xmlns:a16="http://schemas.microsoft.com/office/drawing/2014/main" id="{F03AD98E-5557-415E-A1E4-D26A58CEE6CF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04" name="Text Box 910">
          <a:extLst>
            <a:ext uri="{FF2B5EF4-FFF2-40B4-BE49-F238E27FC236}">
              <a16:creationId xmlns:a16="http://schemas.microsoft.com/office/drawing/2014/main" id="{B3290795-6CDD-4465-8F6E-93903224C91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05" name="Text Box 910">
          <a:extLst>
            <a:ext uri="{FF2B5EF4-FFF2-40B4-BE49-F238E27FC236}">
              <a16:creationId xmlns:a16="http://schemas.microsoft.com/office/drawing/2014/main" id="{76B958E2-5E9C-4A36-AC3E-737C54B4014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06" name="Text Box 910">
          <a:extLst>
            <a:ext uri="{FF2B5EF4-FFF2-40B4-BE49-F238E27FC236}">
              <a16:creationId xmlns:a16="http://schemas.microsoft.com/office/drawing/2014/main" id="{97AFE435-6C50-4206-B0FF-9BE9AA2B5FB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07" name="Text Box 910">
          <a:extLst>
            <a:ext uri="{FF2B5EF4-FFF2-40B4-BE49-F238E27FC236}">
              <a16:creationId xmlns:a16="http://schemas.microsoft.com/office/drawing/2014/main" id="{031EFAE3-D22D-4BF5-AE6A-F91727984B5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308" name="Text Box 909">
          <a:extLst>
            <a:ext uri="{FF2B5EF4-FFF2-40B4-BE49-F238E27FC236}">
              <a16:creationId xmlns:a16="http://schemas.microsoft.com/office/drawing/2014/main" id="{0396134A-E0DB-4746-8670-9F41F5D74A93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09" name="Text Box 910">
          <a:extLst>
            <a:ext uri="{FF2B5EF4-FFF2-40B4-BE49-F238E27FC236}">
              <a16:creationId xmlns:a16="http://schemas.microsoft.com/office/drawing/2014/main" id="{181BFFD2-0444-48BF-A6F9-187E577063C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10" name="Text Box 910">
          <a:extLst>
            <a:ext uri="{FF2B5EF4-FFF2-40B4-BE49-F238E27FC236}">
              <a16:creationId xmlns:a16="http://schemas.microsoft.com/office/drawing/2014/main" id="{D2A01A30-DDAC-4B33-A0B5-0E0165A8FDE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11" name="Text Box 910">
          <a:extLst>
            <a:ext uri="{FF2B5EF4-FFF2-40B4-BE49-F238E27FC236}">
              <a16:creationId xmlns:a16="http://schemas.microsoft.com/office/drawing/2014/main" id="{3BEF76C6-CC70-4B98-851D-3CE1897B3CF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12" name="Text Box 910">
          <a:extLst>
            <a:ext uri="{FF2B5EF4-FFF2-40B4-BE49-F238E27FC236}">
              <a16:creationId xmlns:a16="http://schemas.microsoft.com/office/drawing/2014/main" id="{84E96D6C-34AA-4D1D-807C-5EC89683768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313" name="Text Box 909">
          <a:extLst>
            <a:ext uri="{FF2B5EF4-FFF2-40B4-BE49-F238E27FC236}">
              <a16:creationId xmlns:a16="http://schemas.microsoft.com/office/drawing/2014/main" id="{5EE6F616-DD49-4428-9FE7-CF720BC09EAC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14" name="Text Box 910">
          <a:extLst>
            <a:ext uri="{FF2B5EF4-FFF2-40B4-BE49-F238E27FC236}">
              <a16:creationId xmlns:a16="http://schemas.microsoft.com/office/drawing/2014/main" id="{42280FA7-427A-4A53-A952-9A99ECB371C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15" name="Text Box 910">
          <a:extLst>
            <a:ext uri="{FF2B5EF4-FFF2-40B4-BE49-F238E27FC236}">
              <a16:creationId xmlns:a16="http://schemas.microsoft.com/office/drawing/2014/main" id="{090BF739-5BAE-4848-A46F-EEF2A9D2283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16" name="Text Box 910">
          <a:extLst>
            <a:ext uri="{FF2B5EF4-FFF2-40B4-BE49-F238E27FC236}">
              <a16:creationId xmlns:a16="http://schemas.microsoft.com/office/drawing/2014/main" id="{99D48D41-7AD8-40B1-B0C7-2A8DAB8F14E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17" name="Text Box 910">
          <a:extLst>
            <a:ext uri="{FF2B5EF4-FFF2-40B4-BE49-F238E27FC236}">
              <a16:creationId xmlns:a16="http://schemas.microsoft.com/office/drawing/2014/main" id="{68DCBD4C-8B00-4BF1-83CE-A8456C7891A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318" name="Text Box 909">
          <a:extLst>
            <a:ext uri="{FF2B5EF4-FFF2-40B4-BE49-F238E27FC236}">
              <a16:creationId xmlns:a16="http://schemas.microsoft.com/office/drawing/2014/main" id="{7E8ABC47-3EDD-45B6-BB68-4723A60B92E6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19" name="Text Box 910">
          <a:extLst>
            <a:ext uri="{FF2B5EF4-FFF2-40B4-BE49-F238E27FC236}">
              <a16:creationId xmlns:a16="http://schemas.microsoft.com/office/drawing/2014/main" id="{78BBE33C-2549-456A-97F3-FB04E3AB215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20" name="Text Box 910">
          <a:extLst>
            <a:ext uri="{FF2B5EF4-FFF2-40B4-BE49-F238E27FC236}">
              <a16:creationId xmlns:a16="http://schemas.microsoft.com/office/drawing/2014/main" id="{B496507D-F8F2-48CC-9870-9D49C7DE7C8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21" name="Text Box 910">
          <a:extLst>
            <a:ext uri="{FF2B5EF4-FFF2-40B4-BE49-F238E27FC236}">
              <a16:creationId xmlns:a16="http://schemas.microsoft.com/office/drawing/2014/main" id="{31160CDB-AC6B-44C5-8CD5-C090D00BFB1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22" name="Text Box 910">
          <a:extLst>
            <a:ext uri="{FF2B5EF4-FFF2-40B4-BE49-F238E27FC236}">
              <a16:creationId xmlns:a16="http://schemas.microsoft.com/office/drawing/2014/main" id="{131C6B27-E14B-411C-888C-CBEFE5B08D2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323" name="Text Box 909">
          <a:extLst>
            <a:ext uri="{FF2B5EF4-FFF2-40B4-BE49-F238E27FC236}">
              <a16:creationId xmlns:a16="http://schemas.microsoft.com/office/drawing/2014/main" id="{EC4F5B36-C4A1-401C-BC17-B064F916B137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24" name="Text Box 910">
          <a:extLst>
            <a:ext uri="{FF2B5EF4-FFF2-40B4-BE49-F238E27FC236}">
              <a16:creationId xmlns:a16="http://schemas.microsoft.com/office/drawing/2014/main" id="{73818AD2-7F7B-459C-B2FF-5EC75071C6B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25" name="Text Box 910">
          <a:extLst>
            <a:ext uri="{FF2B5EF4-FFF2-40B4-BE49-F238E27FC236}">
              <a16:creationId xmlns:a16="http://schemas.microsoft.com/office/drawing/2014/main" id="{9074461B-D435-483F-BD4B-18157E60EB2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26" name="Text Box 910">
          <a:extLst>
            <a:ext uri="{FF2B5EF4-FFF2-40B4-BE49-F238E27FC236}">
              <a16:creationId xmlns:a16="http://schemas.microsoft.com/office/drawing/2014/main" id="{1B1E443E-7669-4165-8E81-7BA77E36BA7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27" name="Text Box 910">
          <a:extLst>
            <a:ext uri="{FF2B5EF4-FFF2-40B4-BE49-F238E27FC236}">
              <a16:creationId xmlns:a16="http://schemas.microsoft.com/office/drawing/2014/main" id="{41427F6F-E748-43FF-8419-D78181F59D6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328" name="Text Box 909">
          <a:extLst>
            <a:ext uri="{FF2B5EF4-FFF2-40B4-BE49-F238E27FC236}">
              <a16:creationId xmlns:a16="http://schemas.microsoft.com/office/drawing/2014/main" id="{3082E9CC-8AF1-4500-B806-4DB9AE62A698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29" name="Text Box 910">
          <a:extLst>
            <a:ext uri="{FF2B5EF4-FFF2-40B4-BE49-F238E27FC236}">
              <a16:creationId xmlns:a16="http://schemas.microsoft.com/office/drawing/2014/main" id="{9FBF6E01-D614-4F1F-92ED-6BA70243A37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0" name="Text Box 910">
          <a:extLst>
            <a:ext uri="{FF2B5EF4-FFF2-40B4-BE49-F238E27FC236}">
              <a16:creationId xmlns:a16="http://schemas.microsoft.com/office/drawing/2014/main" id="{7EC1F45B-5723-460A-8873-4A7F61F80AE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1" name="Text Box 910">
          <a:extLst>
            <a:ext uri="{FF2B5EF4-FFF2-40B4-BE49-F238E27FC236}">
              <a16:creationId xmlns:a16="http://schemas.microsoft.com/office/drawing/2014/main" id="{9FC5E597-9362-407D-A878-4370ECB052C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2" name="Text Box 910">
          <a:extLst>
            <a:ext uri="{FF2B5EF4-FFF2-40B4-BE49-F238E27FC236}">
              <a16:creationId xmlns:a16="http://schemas.microsoft.com/office/drawing/2014/main" id="{B72466CD-01E1-4C96-8336-D87097C6371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63</xdr:row>
      <xdr:rowOff>38100</xdr:rowOff>
    </xdr:from>
    <xdr:to>
      <xdr:col>32</xdr:col>
      <xdr:colOff>142875</xdr:colOff>
      <xdr:row>64</xdr:row>
      <xdr:rowOff>47625</xdr:rowOff>
    </xdr:to>
    <xdr:sp macro="" textlink="">
      <xdr:nvSpPr>
        <xdr:cNvPr id="2333" name="Text Box 909">
          <a:extLst>
            <a:ext uri="{FF2B5EF4-FFF2-40B4-BE49-F238E27FC236}">
              <a16:creationId xmlns:a16="http://schemas.microsoft.com/office/drawing/2014/main" id="{EF95AC5C-5918-4175-A5A3-869BF0276345}"/>
            </a:ext>
          </a:extLst>
        </xdr:cNvPr>
        <xdr:cNvSpPr txBox="1">
          <a:spLocks noChangeArrowheads="1"/>
        </xdr:cNvSpPr>
      </xdr:nvSpPr>
      <xdr:spPr bwMode="auto">
        <a:xfrm>
          <a:off x="4000500" y="840105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4" name="Text Box 910">
          <a:extLst>
            <a:ext uri="{FF2B5EF4-FFF2-40B4-BE49-F238E27FC236}">
              <a16:creationId xmlns:a16="http://schemas.microsoft.com/office/drawing/2014/main" id="{695D6FD1-76C2-49DB-BA99-E77BFED1B2E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5" name="Text Box 910">
          <a:extLst>
            <a:ext uri="{FF2B5EF4-FFF2-40B4-BE49-F238E27FC236}">
              <a16:creationId xmlns:a16="http://schemas.microsoft.com/office/drawing/2014/main" id="{91617943-3277-4698-B588-0EA6D3F2DC9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6" name="Text Box 910">
          <a:extLst>
            <a:ext uri="{FF2B5EF4-FFF2-40B4-BE49-F238E27FC236}">
              <a16:creationId xmlns:a16="http://schemas.microsoft.com/office/drawing/2014/main" id="{AEEB197B-8944-404A-8ABA-3B52C98E165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7" name="Text Box 910">
          <a:extLst>
            <a:ext uri="{FF2B5EF4-FFF2-40B4-BE49-F238E27FC236}">
              <a16:creationId xmlns:a16="http://schemas.microsoft.com/office/drawing/2014/main" id="{7B3D76B6-B904-42FA-A94E-1BDF822C217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8" name="Text Box 910">
          <a:extLst>
            <a:ext uri="{FF2B5EF4-FFF2-40B4-BE49-F238E27FC236}">
              <a16:creationId xmlns:a16="http://schemas.microsoft.com/office/drawing/2014/main" id="{02573457-84D1-4599-8C10-8FD79D0D4DE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39" name="Text Box 910">
          <a:extLst>
            <a:ext uri="{FF2B5EF4-FFF2-40B4-BE49-F238E27FC236}">
              <a16:creationId xmlns:a16="http://schemas.microsoft.com/office/drawing/2014/main" id="{CA2F2D2E-C403-4C96-AE65-98235107A4A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0" name="Text Box 910">
          <a:extLst>
            <a:ext uri="{FF2B5EF4-FFF2-40B4-BE49-F238E27FC236}">
              <a16:creationId xmlns:a16="http://schemas.microsoft.com/office/drawing/2014/main" id="{134F4ED0-07EC-422A-9DDC-F30A591C9FF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1" name="Text Box 910">
          <a:extLst>
            <a:ext uri="{FF2B5EF4-FFF2-40B4-BE49-F238E27FC236}">
              <a16:creationId xmlns:a16="http://schemas.microsoft.com/office/drawing/2014/main" id="{38292C65-08D0-44CE-B09A-6C9F63E3091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2" name="Text Box 910">
          <a:extLst>
            <a:ext uri="{FF2B5EF4-FFF2-40B4-BE49-F238E27FC236}">
              <a16:creationId xmlns:a16="http://schemas.microsoft.com/office/drawing/2014/main" id="{C00E26D3-7F51-48C0-B6B8-0A56E5B3B29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3" name="Text Box 910">
          <a:extLst>
            <a:ext uri="{FF2B5EF4-FFF2-40B4-BE49-F238E27FC236}">
              <a16:creationId xmlns:a16="http://schemas.microsoft.com/office/drawing/2014/main" id="{F68FFA49-7ACC-414C-A673-2DB4AD870B9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4" name="Text Box 910">
          <a:extLst>
            <a:ext uri="{FF2B5EF4-FFF2-40B4-BE49-F238E27FC236}">
              <a16:creationId xmlns:a16="http://schemas.microsoft.com/office/drawing/2014/main" id="{6B53BC2B-D1FB-47AB-BFE1-9534ADF9FE4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5" name="Text Box 910">
          <a:extLst>
            <a:ext uri="{FF2B5EF4-FFF2-40B4-BE49-F238E27FC236}">
              <a16:creationId xmlns:a16="http://schemas.microsoft.com/office/drawing/2014/main" id="{9961B167-6A66-4DE0-A731-D953A0CE7BD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6" name="Text Box 910">
          <a:extLst>
            <a:ext uri="{FF2B5EF4-FFF2-40B4-BE49-F238E27FC236}">
              <a16:creationId xmlns:a16="http://schemas.microsoft.com/office/drawing/2014/main" id="{F0C5B93C-41C6-4B41-80ED-69FCC1C51CC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7" name="Text Box 910">
          <a:extLst>
            <a:ext uri="{FF2B5EF4-FFF2-40B4-BE49-F238E27FC236}">
              <a16:creationId xmlns:a16="http://schemas.microsoft.com/office/drawing/2014/main" id="{626346AC-1DAE-443D-850E-08772B7F9A9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8" name="Text Box 910">
          <a:extLst>
            <a:ext uri="{FF2B5EF4-FFF2-40B4-BE49-F238E27FC236}">
              <a16:creationId xmlns:a16="http://schemas.microsoft.com/office/drawing/2014/main" id="{4CBA3E05-3BB4-4EAA-A499-81BD1DA5042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49" name="Text Box 910">
          <a:extLst>
            <a:ext uri="{FF2B5EF4-FFF2-40B4-BE49-F238E27FC236}">
              <a16:creationId xmlns:a16="http://schemas.microsoft.com/office/drawing/2014/main" id="{BA46CC74-E425-43A6-8120-0A73674A08B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0" name="Text Box 910">
          <a:extLst>
            <a:ext uri="{FF2B5EF4-FFF2-40B4-BE49-F238E27FC236}">
              <a16:creationId xmlns:a16="http://schemas.microsoft.com/office/drawing/2014/main" id="{79498A0C-8ADB-4194-B5AB-48BD51F417A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1" name="Text Box 910">
          <a:extLst>
            <a:ext uri="{FF2B5EF4-FFF2-40B4-BE49-F238E27FC236}">
              <a16:creationId xmlns:a16="http://schemas.microsoft.com/office/drawing/2014/main" id="{6476BF63-F3E8-47B7-8BC7-4BA6AFAC603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2" name="Text Box 910">
          <a:extLst>
            <a:ext uri="{FF2B5EF4-FFF2-40B4-BE49-F238E27FC236}">
              <a16:creationId xmlns:a16="http://schemas.microsoft.com/office/drawing/2014/main" id="{2934BCC0-97E9-4B68-B220-58D72F5EBE1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3" name="Text Box 910">
          <a:extLst>
            <a:ext uri="{FF2B5EF4-FFF2-40B4-BE49-F238E27FC236}">
              <a16:creationId xmlns:a16="http://schemas.microsoft.com/office/drawing/2014/main" id="{FFD7A09C-4E76-4859-8FFC-810E8C11B00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4" name="Text Box 910">
          <a:extLst>
            <a:ext uri="{FF2B5EF4-FFF2-40B4-BE49-F238E27FC236}">
              <a16:creationId xmlns:a16="http://schemas.microsoft.com/office/drawing/2014/main" id="{DF7F02DA-BD22-4984-8477-A1D17DA8B3E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5" name="Text Box 910">
          <a:extLst>
            <a:ext uri="{FF2B5EF4-FFF2-40B4-BE49-F238E27FC236}">
              <a16:creationId xmlns:a16="http://schemas.microsoft.com/office/drawing/2014/main" id="{A4E54C2C-2FEE-417A-AC82-0E41F8BA7FF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6" name="Text Box 910">
          <a:extLst>
            <a:ext uri="{FF2B5EF4-FFF2-40B4-BE49-F238E27FC236}">
              <a16:creationId xmlns:a16="http://schemas.microsoft.com/office/drawing/2014/main" id="{BBF9AD34-E1B7-4E94-92EE-8800C8A6A6F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7" name="Text Box 910">
          <a:extLst>
            <a:ext uri="{FF2B5EF4-FFF2-40B4-BE49-F238E27FC236}">
              <a16:creationId xmlns:a16="http://schemas.microsoft.com/office/drawing/2014/main" id="{E70CCFD6-BFC4-40FB-BCDF-1EEEA6BE1E8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8" name="Text Box 910">
          <a:extLst>
            <a:ext uri="{FF2B5EF4-FFF2-40B4-BE49-F238E27FC236}">
              <a16:creationId xmlns:a16="http://schemas.microsoft.com/office/drawing/2014/main" id="{571874C6-1F83-4360-B76C-FB6762A4FEC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59" name="Text Box 910">
          <a:extLst>
            <a:ext uri="{FF2B5EF4-FFF2-40B4-BE49-F238E27FC236}">
              <a16:creationId xmlns:a16="http://schemas.microsoft.com/office/drawing/2014/main" id="{A186894D-AEE4-407E-ADA1-39B412CBC98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0" name="Text Box 910">
          <a:extLst>
            <a:ext uri="{FF2B5EF4-FFF2-40B4-BE49-F238E27FC236}">
              <a16:creationId xmlns:a16="http://schemas.microsoft.com/office/drawing/2014/main" id="{AD9CD4C9-F9CD-48CE-A013-EFF0224D147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1" name="Text Box 910">
          <a:extLst>
            <a:ext uri="{FF2B5EF4-FFF2-40B4-BE49-F238E27FC236}">
              <a16:creationId xmlns:a16="http://schemas.microsoft.com/office/drawing/2014/main" id="{6B8F651F-445C-4AF8-A0C7-456696E69BC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2" name="Text Box 910">
          <a:extLst>
            <a:ext uri="{FF2B5EF4-FFF2-40B4-BE49-F238E27FC236}">
              <a16:creationId xmlns:a16="http://schemas.microsoft.com/office/drawing/2014/main" id="{EE536595-5BA7-4822-87F2-C2B14D45DFE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3" name="Text Box 910">
          <a:extLst>
            <a:ext uri="{FF2B5EF4-FFF2-40B4-BE49-F238E27FC236}">
              <a16:creationId xmlns:a16="http://schemas.microsoft.com/office/drawing/2014/main" id="{6E6D92C5-1FBA-4845-A474-8E5FDEAA957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4" name="Text Box 910">
          <a:extLst>
            <a:ext uri="{FF2B5EF4-FFF2-40B4-BE49-F238E27FC236}">
              <a16:creationId xmlns:a16="http://schemas.microsoft.com/office/drawing/2014/main" id="{B4CF731B-1AB2-41A7-87C9-DD9F8F00ED4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5" name="Text Box 910">
          <a:extLst>
            <a:ext uri="{FF2B5EF4-FFF2-40B4-BE49-F238E27FC236}">
              <a16:creationId xmlns:a16="http://schemas.microsoft.com/office/drawing/2014/main" id="{5B7F644D-49D9-4A49-AC06-71522882A17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6" name="Text Box 910">
          <a:extLst>
            <a:ext uri="{FF2B5EF4-FFF2-40B4-BE49-F238E27FC236}">
              <a16:creationId xmlns:a16="http://schemas.microsoft.com/office/drawing/2014/main" id="{B7A2FA80-4111-4592-810D-A6C46C8CADB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7" name="Text Box 910">
          <a:extLst>
            <a:ext uri="{FF2B5EF4-FFF2-40B4-BE49-F238E27FC236}">
              <a16:creationId xmlns:a16="http://schemas.microsoft.com/office/drawing/2014/main" id="{91AE0B1F-B299-4B48-9AA5-DAD5C2514E0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8" name="Text Box 910">
          <a:extLst>
            <a:ext uri="{FF2B5EF4-FFF2-40B4-BE49-F238E27FC236}">
              <a16:creationId xmlns:a16="http://schemas.microsoft.com/office/drawing/2014/main" id="{0F405C8D-B34C-4169-8C3F-8C7B19E9DF4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69" name="Text Box 910">
          <a:extLst>
            <a:ext uri="{FF2B5EF4-FFF2-40B4-BE49-F238E27FC236}">
              <a16:creationId xmlns:a16="http://schemas.microsoft.com/office/drawing/2014/main" id="{EA55BDB0-6E29-485E-85E3-FADC8AE2242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0" name="Text Box 910">
          <a:extLst>
            <a:ext uri="{FF2B5EF4-FFF2-40B4-BE49-F238E27FC236}">
              <a16:creationId xmlns:a16="http://schemas.microsoft.com/office/drawing/2014/main" id="{EF9226EF-1805-40AF-95CF-3D23FC5281C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1" name="Text Box 910">
          <a:extLst>
            <a:ext uri="{FF2B5EF4-FFF2-40B4-BE49-F238E27FC236}">
              <a16:creationId xmlns:a16="http://schemas.microsoft.com/office/drawing/2014/main" id="{B752275C-C6BC-40F0-9EE0-16B68E193F0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2" name="Text Box 910">
          <a:extLst>
            <a:ext uri="{FF2B5EF4-FFF2-40B4-BE49-F238E27FC236}">
              <a16:creationId xmlns:a16="http://schemas.microsoft.com/office/drawing/2014/main" id="{B8089E46-4568-44ED-9DC7-AA5B6865F00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3" name="Text Box 910">
          <a:extLst>
            <a:ext uri="{FF2B5EF4-FFF2-40B4-BE49-F238E27FC236}">
              <a16:creationId xmlns:a16="http://schemas.microsoft.com/office/drawing/2014/main" id="{8A344061-0FD8-41EB-91B9-1785FD9C54C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4" name="Text Box 910">
          <a:extLst>
            <a:ext uri="{FF2B5EF4-FFF2-40B4-BE49-F238E27FC236}">
              <a16:creationId xmlns:a16="http://schemas.microsoft.com/office/drawing/2014/main" id="{61E010A9-8DEA-4519-9E27-BC605389D19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5" name="Text Box 910">
          <a:extLst>
            <a:ext uri="{FF2B5EF4-FFF2-40B4-BE49-F238E27FC236}">
              <a16:creationId xmlns:a16="http://schemas.microsoft.com/office/drawing/2014/main" id="{A2A949E2-377A-4D7B-BC74-411B4B912D5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6" name="Text Box 910">
          <a:extLst>
            <a:ext uri="{FF2B5EF4-FFF2-40B4-BE49-F238E27FC236}">
              <a16:creationId xmlns:a16="http://schemas.microsoft.com/office/drawing/2014/main" id="{F294ADCB-A3B1-493E-8D70-74E40E6D046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7" name="Text Box 910">
          <a:extLst>
            <a:ext uri="{FF2B5EF4-FFF2-40B4-BE49-F238E27FC236}">
              <a16:creationId xmlns:a16="http://schemas.microsoft.com/office/drawing/2014/main" id="{B3389FBB-F73B-4D90-95FD-9D74B59E070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8" name="Text Box 910">
          <a:extLst>
            <a:ext uri="{FF2B5EF4-FFF2-40B4-BE49-F238E27FC236}">
              <a16:creationId xmlns:a16="http://schemas.microsoft.com/office/drawing/2014/main" id="{B0EE90A5-5A7B-4E88-82BC-AE45E1B7317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79" name="Text Box 910">
          <a:extLst>
            <a:ext uri="{FF2B5EF4-FFF2-40B4-BE49-F238E27FC236}">
              <a16:creationId xmlns:a16="http://schemas.microsoft.com/office/drawing/2014/main" id="{AE721EA3-7FAB-4BC4-93FD-4B11F4FE4A0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0" name="Text Box 910">
          <a:extLst>
            <a:ext uri="{FF2B5EF4-FFF2-40B4-BE49-F238E27FC236}">
              <a16:creationId xmlns:a16="http://schemas.microsoft.com/office/drawing/2014/main" id="{245D6206-496C-4699-B221-8B76B02A447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1" name="Text Box 910">
          <a:extLst>
            <a:ext uri="{FF2B5EF4-FFF2-40B4-BE49-F238E27FC236}">
              <a16:creationId xmlns:a16="http://schemas.microsoft.com/office/drawing/2014/main" id="{6621BDCD-FEEB-4D03-A447-3AB15952A5B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2" name="Text Box 910">
          <a:extLst>
            <a:ext uri="{FF2B5EF4-FFF2-40B4-BE49-F238E27FC236}">
              <a16:creationId xmlns:a16="http://schemas.microsoft.com/office/drawing/2014/main" id="{AEAB29B1-758B-4C8C-BFBC-F66C9233B3A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3" name="Text Box 910">
          <a:extLst>
            <a:ext uri="{FF2B5EF4-FFF2-40B4-BE49-F238E27FC236}">
              <a16:creationId xmlns:a16="http://schemas.microsoft.com/office/drawing/2014/main" id="{DB8570A3-99FC-4ED4-9728-9F2EEDFCB5F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4" name="Text Box 910">
          <a:extLst>
            <a:ext uri="{FF2B5EF4-FFF2-40B4-BE49-F238E27FC236}">
              <a16:creationId xmlns:a16="http://schemas.microsoft.com/office/drawing/2014/main" id="{2542A542-7006-479F-A530-B68A5EBC52E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5" name="Text Box 910">
          <a:extLst>
            <a:ext uri="{FF2B5EF4-FFF2-40B4-BE49-F238E27FC236}">
              <a16:creationId xmlns:a16="http://schemas.microsoft.com/office/drawing/2014/main" id="{0C6AF0A2-3E98-43A4-9A66-91464C9DAC8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6" name="Text Box 910">
          <a:extLst>
            <a:ext uri="{FF2B5EF4-FFF2-40B4-BE49-F238E27FC236}">
              <a16:creationId xmlns:a16="http://schemas.microsoft.com/office/drawing/2014/main" id="{CF912B9D-E6DF-4AA8-BCF8-1A3C5E810FA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7" name="Text Box 910">
          <a:extLst>
            <a:ext uri="{FF2B5EF4-FFF2-40B4-BE49-F238E27FC236}">
              <a16:creationId xmlns:a16="http://schemas.microsoft.com/office/drawing/2014/main" id="{BB6ED05D-F8B4-4DEB-B936-A060D208543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8" name="Text Box 910">
          <a:extLst>
            <a:ext uri="{FF2B5EF4-FFF2-40B4-BE49-F238E27FC236}">
              <a16:creationId xmlns:a16="http://schemas.microsoft.com/office/drawing/2014/main" id="{21006331-4890-49A8-82F0-E184CB3C835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89" name="Text Box 910">
          <a:extLst>
            <a:ext uri="{FF2B5EF4-FFF2-40B4-BE49-F238E27FC236}">
              <a16:creationId xmlns:a16="http://schemas.microsoft.com/office/drawing/2014/main" id="{9A305DC1-708C-478E-8094-42327ACD911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0" name="Text Box 910">
          <a:extLst>
            <a:ext uri="{FF2B5EF4-FFF2-40B4-BE49-F238E27FC236}">
              <a16:creationId xmlns:a16="http://schemas.microsoft.com/office/drawing/2014/main" id="{0736F7A2-68DF-4606-BAE4-A2D9A5D1111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1" name="Text Box 910">
          <a:extLst>
            <a:ext uri="{FF2B5EF4-FFF2-40B4-BE49-F238E27FC236}">
              <a16:creationId xmlns:a16="http://schemas.microsoft.com/office/drawing/2014/main" id="{61F94A46-D115-4C77-9997-F969388B899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2" name="Text Box 910">
          <a:extLst>
            <a:ext uri="{FF2B5EF4-FFF2-40B4-BE49-F238E27FC236}">
              <a16:creationId xmlns:a16="http://schemas.microsoft.com/office/drawing/2014/main" id="{5CA77665-86D2-41B7-8880-4A728E912CD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3" name="Text Box 910">
          <a:extLst>
            <a:ext uri="{FF2B5EF4-FFF2-40B4-BE49-F238E27FC236}">
              <a16:creationId xmlns:a16="http://schemas.microsoft.com/office/drawing/2014/main" id="{353D7B5F-D2A6-40A2-AAD7-C90D597198D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4" name="Text Box 910">
          <a:extLst>
            <a:ext uri="{FF2B5EF4-FFF2-40B4-BE49-F238E27FC236}">
              <a16:creationId xmlns:a16="http://schemas.microsoft.com/office/drawing/2014/main" id="{7A8D593B-6C0A-466C-9579-CA2C45037CC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5" name="Text Box 910">
          <a:extLst>
            <a:ext uri="{FF2B5EF4-FFF2-40B4-BE49-F238E27FC236}">
              <a16:creationId xmlns:a16="http://schemas.microsoft.com/office/drawing/2014/main" id="{D25CEC58-2406-4492-B19A-D1E4B571E4C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6" name="Text Box 910">
          <a:extLst>
            <a:ext uri="{FF2B5EF4-FFF2-40B4-BE49-F238E27FC236}">
              <a16:creationId xmlns:a16="http://schemas.microsoft.com/office/drawing/2014/main" id="{0AF7E5BD-04B8-405F-B74A-7A35378BCA9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7" name="Text Box 910">
          <a:extLst>
            <a:ext uri="{FF2B5EF4-FFF2-40B4-BE49-F238E27FC236}">
              <a16:creationId xmlns:a16="http://schemas.microsoft.com/office/drawing/2014/main" id="{5E93533C-DF90-4467-B6F0-3F52DF21533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8" name="Text Box 910">
          <a:extLst>
            <a:ext uri="{FF2B5EF4-FFF2-40B4-BE49-F238E27FC236}">
              <a16:creationId xmlns:a16="http://schemas.microsoft.com/office/drawing/2014/main" id="{F2FD4678-09EE-4AB0-A58B-275516F7C17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399" name="Text Box 910">
          <a:extLst>
            <a:ext uri="{FF2B5EF4-FFF2-40B4-BE49-F238E27FC236}">
              <a16:creationId xmlns:a16="http://schemas.microsoft.com/office/drawing/2014/main" id="{679CFA46-52BE-42D5-8539-7E6885D220D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0" name="Text Box 910">
          <a:extLst>
            <a:ext uri="{FF2B5EF4-FFF2-40B4-BE49-F238E27FC236}">
              <a16:creationId xmlns:a16="http://schemas.microsoft.com/office/drawing/2014/main" id="{F11C3B0A-2995-413F-A366-017BBD9B81B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1" name="Text Box 910">
          <a:extLst>
            <a:ext uri="{FF2B5EF4-FFF2-40B4-BE49-F238E27FC236}">
              <a16:creationId xmlns:a16="http://schemas.microsoft.com/office/drawing/2014/main" id="{B24127A1-E372-49E8-A7CF-266838B09A8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2" name="Text Box 910">
          <a:extLst>
            <a:ext uri="{FF2B5EF4-FFF2-40B4-BE49-F238E27FC236}">
              <a16:creationId xmlns:a16="http://schemas.microsoft.com/office/drawing/2014/main" id="{4F03483B-EED7-4BAD-A894-077322619B8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3" name="Text Box 910">
          <a:extLst>
            <a:ext uri="{FF2B5EF4-FFF2-40B4-BE49-F238E27FC236}">
              <a16:creationId xmlns:a16="http://schemas.microsoft.com/office/drawing/2014/main" id="{266B738A-06CC-412F-958F-4B13CA70505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4" name="Text Box 910">
          <a:extLst>
            <a:ext uri="{FF2B5EF4-FFF2-40B4-BE49-F238E27FC236}">
              <a16:creationId xmlns:a16="http://schemas.microsoft.com/office/drawing/2014/main" id="{BE4F98A4-425A-4CA2-A77C-762EEA2B62D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5" name="Text Box 910">
          <a:extLst>
            <a:ext uri="{FF2B5EF4-FFF2-40B4-BE49-F238E27FC236}">
              <a16:creationId xmlns:a16="http://schemas.microsoft.com/office/drawing/2014/main" id="{F15E46B6-8D05-4B7E-AFF6-32B5BD047C5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6" name="Text Box 910">
          <a:extLst>
            <a:ext uri="{FF2B5EF4-FFF2-40B4-BE49-F238E27FC236}">
              <a16:creationId xmlns:a16="http://schemas.microsoft.com/office/drawing/2014/main" id="{DCD8FD0E-5552-4AEC-9EB7-910A45AECA1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7" name="Text Box 910">
          <a:extLst>
            <a:ext uri="{FF2B5EF4-FFF2-40B4-BE49-F238E27FC236}">
              <a16:creationId xmlns:a16="http://schemas.microsoft.com/office/drawing/2014/main" id="{1A223C4F-8586-41F0-AE80-63E0755D301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8" name="Text Box 910">
          <a:extLst>
            <a:ext uri="{FF2B5EF4-FFF2-40B4-BE49-F238E27FC236}">
              <a16:creationId xmlns:a16="http://schemas.microsoft.com/office/drawing/2014/main" id="{651F0F2A-376F-4961-BF37-D57872C47E2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09" name="Text Box 910">
          <a:extLst>
            <a:ext uri="{FF2B5EF4-FFF2-40B4-BE49-F238E27FC236}">
              <a16:creationId xmlns:a16="http://schemas.microsoft.com/office/drawing/2014/main" id="{74E6D356-6C02-4F14-8E26-4B4AB331568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0" name="Text Box 910">
          <a:extLst>
            <a:ext uri="{FF2B5EF4-FFF2-40B4-BE49-F238E27FC236}">
              <a16:creationId xmlns:a16="http://schemas.microsoft.com/office/drawing/2014/main" id="{B78E7865-1C25-4CA6-B4BB-B4FA4FB0996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1" name="Text Box 910">
          <a:extLst>
            <a:ext uri="{FF2B5EF4-FFF2-40B4-BE49-F238E27FC236}">
              <a16:creationId xmlns:a16="http://schemas.microsoft.com/office/drawing/2014/main" id="{B2B97436-4E64-4A44-B78A-EE71B6BEF87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2" name="Text Box 910">
          <a:extLst>
            <a:ext uri="{FF2B5EF4-FFF2-40B4-BE49-F238E27FC236}">
              <a16:creationId xmlns:a16="http://schemas.microsoft.com/office/drawing/2014/main" id="{0AC25ADE-7744-4E78-8ECF-C8AF60A9272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3" name="Text Box 910">
          <a:extLst>
            <a:ext uri="{FF2B5EF4-FFF2-40B4-BE49-F238E27FC236}">
              <a16:creationId xmlns:a16="http://schemas.microsoft.com/office/drawing/2014/main" id="{A0A10CDF-13A1-410C-8340-11EE9206E8A2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4" name="Text Box 910">
          <a:extLst>
            <a:ext uri="{FF2B5EF4-FFF2-40B4-BE49-F238E27FC236}">
              <a16:creationId xmlns:a16="http://schemas.microsoft.com/office/drawing/2014/main" id="{8105F3B9-ED3F-4E1A-BC64-6FB592D7D40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5" name="Text Box 910">
          <a:extLst>
            <a:ext uri="{FF2B5EF4-FFF2-40B4-BE49-F238E27FC236}">
              <a16:creationId xmlns:a16="http://schemas.microsoft.com/office/drawing/2014/main" id="{BB48FAD0-4E73-4D73-9E68-0305F6FD72B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6" name="Text Box 910">
          <a:extLst>
            <a:ext uri="{FF2B5EF4-FFF2-40B4-BE49-F238E27FC236}">
              <a16:creationId xmlns:a16="http://schemas.microsoft.com/office/drawing/2014/main" id="{5A1FA0EB-D4F7-4624-B271-12887852043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7" name="Text Box 910">
          <a:extLst>
            <a:ext uri="{FF2B5EF4-FFF2-40B4-BE49-F238E27FC236}">
              <a16:creationId xmlns:a16="http://schemas.microsoft.com/office/drawing/2014/main" id="{39FE3E32-A7BE-4477-A058-EDE1DC48DFD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8" name="Text Box 910">
          <a:extLst>
            <a:ext uri="{FF2B5EF4-FFF2-40B4-BE49-F238E27FC236}">
              <a16:creationId xmlns:a16="http://schemas.microsoft.com/office/drawing/2014/main" id="{9041CA5C-3E48-4415-9FC1-0229323953D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19" name="Text Box 910">
          <a:extLst>
            <a:ext uri="{FF2B5EF4-FFF2-40B4-BE49-F238E27FC236}">
              <a16:creationId xmlns:a16="http://schemas.microsoft.com/office/drawing/2014/main" id="{E5D12B27-6908-4CCC-AA37-4051A7091B5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0" name="Text Box 910">
          <a:extLst>
            <a:ext uri="{FF2B5EF4-FFF2-40B4-BE49-F238E27FC236}">
              <a16:creationId xmlns:a16="http://schemas.microsoft.com/office/drawing/2014/main" id="{992E2B3A-1E99-4E20-BBBF-C55729AAC41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1" name="Text Box 910">
          <a:extLst>
            <a:ext uri="{FF2B5EF4-FFF2-40B4-BE49-F238E27FC236}">
              <a16:creationId xmlns:a16="http://schemas.microsoft.com/office/drawing/2014/main" id="{B96524E1-904C-48FE-B0EF-CB571A9969F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2" name="Text Box 910">
          <a:extLst>
            <a:ext uri="{FF2B5EF4-FFF2-40B4-BE49-F238E27FC236}">
              <a16:creationId xmlns:a16="http://schemas.microsoft.com/office/drawing/2014/main" id="{4C027988-BBA4-47E1-91A7-F9985B590DD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3" name="Text Box 910">
          <a:extLst>
            <a:ext uri="{FF2B5EF4-FFF2-40B4-BE49-F238E27FC236}">
              <a16:creationId xmlns:a16="http://schemas.microsoft.com/office/drawing/2014/main" id="{38D7EE82-DE3C-419D-B233-9EB48D6C89C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4" name="Text Box 910">
          <a:extLst>
            <a:ext uri="{FF2B5EF4-FFF2-40B4-BE49-F238E27FC236}">
              <a16:creationId xmlns:a16="http://schemas.microsoft.com/office/drawing/2014/main" id="{8DD1EFBC-6911-4A82-90FA-08A294825B3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5" name="Text Box 910">
          <a:extLst>
            <a:ext uri="{FF2B5EF4-FFF2-40B4-BE49-F238E27FC236}">
              <a16:creationId xmlns:a16="http://schemas.microsoft.com/office/drawing/2014/main" id="{362FAE7D-22A6-460C-A57A-1A80303B468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6" name="Text Box 910">
          <a:extLst>
            <a:ext uri="{FF2B5EF4-FFF2-40B4-BE49-F238E27FC236}">
              <a16:creationId xmlns:a16="http://schemas.microsoft.com/office/drawing/2014/main" id="{5AEEE91A-0CFC-4224-A7CA-D42AF19CD3D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7" name="Text Box 910">
          <a:extLst>
            <a:ext uri="{FF2B5EF4-FFF2-40B4-BE49-F238E27FC236}">
              <a16:creationId xmlns:a16="http://schemas.microsoft.com/office/drawing/2014/main" id="{AD800218-B8C2-43EF-87DC-FDC76F00B73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8" name="Text Box 910">
          <a:extLst>
            <a:ext uri="{FF2B5EF4-FFF2-40B4-BE49-F238E27FC236}">
              <a16:creationId xmlns:a16="http://schemas.microsoft.com/office/drawing/2014/main" id="{A300B721-6170-42D4-8D15-8523E91E671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29" name="Text Box 910">
          <a:extLst>
            <a:ext uri="{FF2B5EF4-FFF2-40B4-BE49-F238E27FC236}">
              <a16:creationId xmlns:a16="http://schemas.microsoft.com/office/drawing/2014/main" id="{36840020-950E-4A1D-ABAA-BD32F0A8212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0" name="Text Box 910">
          <a:extLst>
            <a:ext uri="{FF2B5EF4-FFF2-40B4-BE49-F238E27FC236}">
              <a16:creationId xmlns:a16="http://schemas.microsoft.com/office/drawing/2014/main" id="{61FCAAD8-F3AE-4EAC-9376-A2DC9C04420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1" name="Text Box 910">
          <a:extLst>
            <a:ext uri="{FF2B5EF4-FFF2-40B4-BE49-F238E27FC236}">
              <a16:creationId xmlns:a16="http://schemas.microsoft.com/office/drawing/2014/main" id="{5EF0CDBD-F570-411C-A07F-5C673DA78BF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2" name="Text Box 910">
          <a:extLst>
            <a:ext uri="{FF2B5EF4-FFF2-40B4-BE49-F238E27FC236}">
              <a16:creationId xmlns:a16="http://schemas.microsoft.com/office/drawing/2014/main" id="{A3F0230A-AA88-45F5-86C9-0C33B9672CE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3" name="Text Box 910">
          <a:extLst>
            <a:ext uri="{FF2B5EF4-FFF2-40B4-BE49-F238E27FC236}">
              <a16:creationId xmlns:a16="http://schemas.microsoft.com/office/drawing/2014/main" id="{AD6F882A-358C-4B76-AE7D-BB64557147A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4" name="Text Box 910">
          <a:extLst>
            <a:ext uri="{FF2B5EF4-FFF2-40B4-BE49-F238E27FC236}">
              <a16:creationId xmlns:a16="http://schemas.microsoft.com/office/drawing/2014/main" id="{BCF02C3C-D296-4680-BD84-EAD5C391338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5" name="Text Box 910">
          <a:extLst>
            <a:ext uri="{FF2B5EF4-FFF2-40B4-BE49-F238E27FC236}">
              <a16:creationId xmlns:a16="http://schemas.microsoft.com/office/drawing/2014/main" id="{7EB256E7-1483-40E7-AC2A-52CE5F33705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6" name="Text Box 910">
          <a:extLst>
            <a:ext uri="{FF2B5EF4-FFF2-40B4-BE49-F238E27FC236}">
              <a16:creationId xmlns:a16="http://schemas.microsoft.com/office/drawing/2014/main" id="{6FF5B87C-AFB2-4793-856D-81FC73FAAE9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7" name="Text Box 910">
          <a:extLst>
            <a:ext uri="{FF2B5EF4-FFF2-40B4-BE49-F238E27FC236}">
              <a16:creationId xmlns:a16="http://schemas.microsoft.com/office/drawing/2014/main" id="{D0B27C5C-E987-4CB0-8254-012E0CEF53E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8" name="Text Box 910">
          <a:extLst>
            <a:ext uri="{FF2B5EF4-FFF2-40B4-BE49-F238E27FC236}">
              <a16:creationId xmlns:a16="http://schemas.microsoft.com/office/drawing/2014/main" id="{7903E552-B51B-4F50-BE9D-9ECC266BA9C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39" name="Text Box 910">
          <a:extLst>
            <a:ext uri="{FF2B5EF4-FFF2-40B4-BE49-F238E27FC236}">
              <a16:creationId xmlns:a16="http://schemas.microsoft.com/office/drawing/2014/main" id="{85FF0314-8783-4034-813F-06C96B38A9C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0" name="Text Box 910">
          <a:extLst>
            <a:ext uri="{FF2B5EF4-FFF2-40B4-BE49-F238E27FC236}">
              <a16:creationId xmlns:a16="http://schemas.microsoft.com/office/drawing/2014/main" id="{3846AAB3-1C50-4949-8B12-1F732730C7D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1" name="Text Box 910">
          <a:extLst>
            <a:ext uri="{FF2B5EF4-FFF2-40B4-BE49-F238E27FC236}">
              <a16:creationId xmlns:a16="http://schemas.microsoft.com/office/drawing/2014/main" id="{B8D851C7-29E2-434E-BB84-DA97AA03157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2" name="Text Box 910">
          <a:extLst>
            <a:ext uri="{FF2B5EF4-FFF2-40B4-BE49-F238E27FC236}">
              <a16:creationId xmlns:a16="http://schemas.microsoft.com/office/drawing/2014/main" id="{13F1FF57-5307-432B-BF51-011CD24C1CC1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3" name="Text Box 910">
          <a:extLst>
            <a:ext uri="{FF2B5EF4-FFF2-40B4-BE49-F238E27FC236}">
              <a16:creationId xmlns:a16="http://schemas.microsoft.com/office/drawing/2014/main" id="{BA63859D-15B6-4D8F-9CAF-23A1A4F406E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4" name="Text Box 910">
          <a:extLst>
            <a:ext uri="{FF2B5EF4-FFF2-40B4-BE49-F238E27FC236}">
              <a16:creationId xmlns:a16="http://schemas.microsoft.com/office/drawing/2014/main" id="{C8D13CCF-90F3-4431-BFED-AE7CE2FD0ABA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5" name="Text Box 910">
          <a:extLst>
            <a:ext uri="{FF2B5EF4-FFF2-40B4-BE49-F238E27FC236}">
              <a16:creationId xmlns:a16="http://schemas.microsoft.com/office/drawing/2014/main" id="{87E5509A-7DA7-45B9-A723-43DC4F2524B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6" name="Text Box 910">
          <a:extLst>
            <a:ext uri="{FF2B5EF4-FFF2-40B4-BE49-F238E27FC236}">
              <a16:creationId xmlns:a16="http://schemas.microsoft.com/office/drawing/2014/main" id="{4A8E9B6D-8FE4-4502-B4EA-93368B03A735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7" name="Text Box 910">
          <a:extLst>
            <a:ext uri="{FF2B5EF4-FFF2-40B4-BE49-F238E27FC236}">
              <a16:creationId xmlns:a16="http://schemas.microsoft.com/office/drawing/2014/main" id="{F035D98A-CD6C-4539-82E8-E8C4EC97CA53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8" name="Text Box 910">
          <a:extLst>
            <a:ext uri="{FF2B5EF4-FFF2-40B4-BE49-F238E27FC236}">
              <a16:creationId xmlns:a16="http://schemas.microsoft.com/office/drawing/2014/main" id="{7FF3E0BD-F9BA-4E62-97C7-D25716A3AAF0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49" name="Text Box 910">
          <a:extLst>
            <a:ext uri="{FF2B5EF4-FFF2-40B4-BE49-F238E27FC236}">
              <a16:creationId xmlns:a16="http://schemas.microsoft.com/office/drawing/2014/main" id="{B5912825-52F7-4BD7-BEEA-F081FBBEDA9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0" name="Text Box 910">
          <a:extLst>
            <a:ext uri="{FF2B5EF4-FFF2-40B4-BE49-F238E27FC236}">
              <a16:creationId xmlns:a16="http://schemas.microsoft.com/office/drawing/2014/main" id="{14780C1A-5C16-49A8-B8E8-2619539FC846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1" name="Text Box 910">
          <a:extLst>
            <a:ext uri="{FF2B5EF4-FFF2-40B4-BE49-F238E27FC236}">
              <a16:creationId xmlns:a16="http://schemas.microsoft.com/office/drawing/2014/main" id="{26A76DD4-3E14-465D-8D81-956EEA6CCCAF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2" name="Text Box 910">
          <a:extLst>
            <a:ext uri="{FF2B5EF4-FFF2-40B4-BE49-F238E27FC236}">
              <a16:creationId xmlns:a16="http://schemas.microsoft.com/office/drawing/2014/main" id="{A2EEAE1B-291D-4F4F-94E7-FD81215FA44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3" name="Text Box 910">
          <a:extLst>
            <a:ext uri="{FF2B5EF4-FFF2-40B4-BE49-F238E27FC236}">
              <a16:creationId xmlns:a16="http://schemas.microsoft.com/office/drawing/2014/main" id="{D247BD97-A4AE-4DEB-A476-AD5DDA86147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4" name="Text Box 910">
          <a:extLst>
            <a:ext uri="{FF2B5EF4-FFF2-40B4-BE49-F238E27FC236}">
              <a16:creationId xmlns:a16="http://schemas.microsoft.com/office/drawing/2014/main" id="{83B5620B-BEA4-46B1-973E-652CFD8BDD37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5" name="Text Box 910">
          <a:extLst>
            <a:ext uri="{FF2B5EF4-FFF2-40B4-BE49-F238E27FC236}">
              <a16:creationId xmlns:a16="http://schemas.microsoft.com/office/drawing/2014/main" id="{8FC8252D-8F58-4E4C-BF85-BBEAF5193BC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6" name="Text Box 910">
          <a:extLst>
            <a:ext uri="{FF2B5EF4-FFF2-40B4-BE49-F238E27FC236}">
              <a16:creationId xmlns:a16="http://schemas.microsoft.com/office/drawing/2014/main" id="{5BDC528A-C464-4D6F-933B-BF73AA08117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7" name="Text Box 910">
          <a:extLst>
            <a:ext uri="{FF2B5EF4-FFF2-40B4-BE49-F238E27FC236}">
              <a16:creationId xmlns:a16="http://schemas.microsoft.com/office/drawing/2014/main" id="{6C4E42B0-D8A2-4D72-B3FA-754AE2C2E5B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8" name="Text Box 910">
          <a:extLst>
            <a:ext uri="{FF2B5EF4-FFF2-40B4-BE49-F238E27FC236}">
              <a16:creationId xmlns:a16="http://schemas.microsoft.com/office/drawing/2014/main" id="{74AB590C-457E-4EA1-8374-BA0E3A7AE5DE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59" name="Text Box 910">
          <a:extLst>
            <a:ext uri="{FF2B5EF4-FFF2-40B4-BE49-F238E27FC236}">
              <a16:creationId xmlns:a16="http://schemas.microsoft.com/office/drawing/2014/main" id="{F72440B1-BDA0-4BDF-9581-9A92C67D19CD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60" name="Text Box 910">
          <a:extLst>
            <a:ext uri="{FF2B5EF4-FFF2-40B4-BE49-F238E27FC236}">
              <a16:creationId xmlns:a16="http://schemas.microsoft.com/office/drawing/2014/main" id="{8357835A-8F28-4DB4-9713-93D6099AF73B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61" name="Text Box 910">
          <a:extLst>
            <a:ext uri="{FF2B5EF4-FFF2-40B4-BE49-F238E27FC236}">
              <a16:creationId xmlns:a16="http://schemas.microsoft.com/office/drawing/2014/main" id="{E6F27F61-1C4D-425D-9A9F-7AED688499A9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62" name="Text Box 910">
          <a:extLst>
            <a:ext uri="{FF2B5EF4-FFF2-40B4-BE49-F238E27FC236}">
              <a16:creationId xmlns:a16="http://schemas.microsoft.com/office/drawing/2014/main" id="{425A826A-2340-4054-AA71-459C2D50E998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63" name="Text Box 910">
          <a:extLst>
            <a:ext uri="{FF2B5EF4-FFF2-40B4-BE49-F238E27FC236}">
              <a16:creationId xmlns:a16="http://schemas.microsoft.com/office/drawing/2014/main" id="{04D97446-9515-4950-9D46-879A2A4BABEC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72</xdr:row>
      <xdr:rowOff>68580</xdr:rowOff>
    </xdr:from>
    <xdr:to>
      <xdr:col>29</xdr:col>
      <xdr:colOff>104775</xdr:colOff>
      <xdr:row>74</xdr:row>
      <xdr:rowOff>9525</xdr:rowOff>
    </xdr:to>
    <xdr:sp macro="" textlink="">
      <xdr:nvSpPr>
        <xdr:cNvPr id="2464" name="Text Box 910">
          <a:extLst>
            <a:ext uri="{FF2B5EF4-FFF2-40B4-BE49-F238E27FC236}">
              <a16:creationId xmlns:a16="http://schemas.microsoft.com/office/drawing/2014/main" id="{98EB2C86-9C49-4349-B337-446AFD428A34}"/>
            </a:ext>
          </a:extLst>
        </xdr:cNvPr>
        <xdr:cNvSpPr txBox="1">
          <a:spLocks noChangeArrowheads="1"/>
        </xdr:cNvSpPr>
      </xdr:nvSpPr>
      <xdr:spPr bwMode="auto">
        <a:xfrm>
          <a:off x="4514850" y="990790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65" name="Text Box 910">
          <a:extLst>
            <a:ext uri="{FF2B5EF4-FFF2-40B4-BE49-F238E27FC236}">
              <a16:creationId xmlns:a16="http://schemas.microsoft.com/office/drawing/2014/main" id="{8EA50359-0DD4-41D6-B19F-DF9F593870A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oneCellAnchor>
    <xdr:from>
      <xdr:col>1</xdr:col>
      <xdr:colOff>57150</xdr:colOff>
      <xdr:row>76</xdr:row>
      <xdr:rowOff>57151</xdr:rowOff>
    </xdr:from>
    <xdr:ext cx="928001" cy="288000"/>
    <xdr:pic>
      <xdr:nvPicPr>
        <xdr:cNvPr id="2466" name="Imagen 3">
          <a:extLst>
            <a:ext uri="{FF2B5EF4-FFF2-40B4-BE49-F238E27FC236}">
              <a16:creationId xmlns:a16="http://schemas.microsoft.com/office/drawing/2014/main" id="{91C0E6CB-5668-40C4-9042-87BCCB62E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95275" y="10639426"/>
          <a:ext cx="928001" cy="288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467" name="Text Box 909">
          <a:extLst>
            <a:ext uri="{FF2B5EF4-FFF2-40B4-BE49-F238E27FC236}">
              <a16:creationId xmlns:a16="http://schemas.microsoft.com/office/drawing/2014/main" id="{DDFE2F52-6B77-4287-A585-63B31FC49966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68" name="Text Box 910">
          <a:extLst>
            <a:ext uri="{FF2B5EF4-FFF2-40B4-BE49-F238E27FC236}">
              <a16:creationId xmlns:a16="http://schemas.microsoft.com/office/drawing/2014/main" id="{232599BD-26AC-40D1-889F-BAA66239D50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69" name="Text Box 910">
          <a:extLst>
            <a:ext uri="{FF2B5EF4-FFF2-40B4-BE49-F238E27FC236}">
              <a16:creationId xmlns:a16="http://schemas.microsoft.com/office/drawing/2014/main" id="{20DD989B-327C-485B-9CDD-639EACA305D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70" name="Text Box 910">
          <a:extLst>
            <a:ext uri="{FF2B5EF4-FFF2-40B4-BE49-F238E27FC236}">
              <a16:creationId xmlns:a16="http://schemas.microsoft.com/office/drawing/2014/main" id="{B828F9B8-231F-476B-890A-A774B2C724F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71" name="Text Box 910">
          <a:extLst>
            <a:ext uri="{FF2B5EF4-FFF2-40B4-BE49-F238E27FC236}">
              <a16:creationId xmlns:a16="http://schemas.microsoft.com/office/drawing/2014/main" id="{212A2F0C-3506-475A-8609-09BFD4C69C2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472" name="Text Box 909">
          <a:extLst>
            <a:ext uri="{FF2B5EF4-FFF2-40B4-BE49-F238E27FC236}">
              <a16:creationId xmlns:a16="http://schemas.microsoft.com/office/drawing/2014/main" id="{32A7CA9F-0F9C-4407-B83A-FEFB04D0CB05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73" name="Text Box 910">
          <a:extLst>
            <a:ext uri="{FF2B5EF4-FFF2-40B4-BE49-F238E27FC236}">
              <a16:creationId xmlns:a16="http://schemas.microsoft.com/office/drawing/2014/main" id="{E3FEE931-481D-4038-BCEB-41B0206CE13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74" name="Text Box 910">
          <a:extLst>
            <a:ext uri="{FF2B5EF4-FFF2-40B4-BE49-F238E27FC236}">
              <a16:creationId xmlns:a16="http://schemas.microsoft.com/office/drawing/2014/main" id="{6E14930D-F1E7-495D-9195-686E83A4FC2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75" name="Text Box 910">
          <a:extLst>
            <a:ext uri="{FF2B5EF4-FFF2-40B4-BE49-F238E27FC236}">
              <a16:creationId xmlns:a16="http://schemas.microsoft.com/office/drawing/2014/main" id="{39DD1D5A-B9C3-45BF-AB6E-63F304AB377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76" name="Text Box 910">
          <a:extLst>
            <a:ext uri="{FF2B5EF4-FFF2-40B4-BE49-F238E27FC236}">
              <a16:creationId xmlns:a16="http://schemas.microsoft.com/office/drawing/2014/main" id="{679675DE-B4CC-402E-AE99-EBDD9ED1F23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477" name="Text Box 909">
          <a:extLst>
            <a:ext uri="{FF2B5EF4-FFF2-40B4-BE49-F238E27FC236}">
              <a16:creationId xmlns:a16="http://schemas.microsoft.com/office/drawing/2014/main" id="{D89A6E83-A4E1-4CEA-A74D-234C448E27D4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78" name="Text Box 910">
          <a:extLst>
            <a:ext uri="{FF2B5EF4-FFF2-40B4-BE49-F238E27FC236}">
              <a16:creationId xmlns:a16="http://schemas.microsoft.com/office/drawing/2014/main" id="{F422D30E-4DD5-49EB-BB56-6DD21333E9C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79" name="Text Box 910">
          <a:extLst>
            <a:ext uri="{FF2B5EF4-FFF2-40B4-BE49-F238E27FC236}">
              <a16:creationId xmlns:a16="http://schemas.microsoft.com/office/drawing/2014/main" id="{0376850C-F36D-4E77-A104-2543453053E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80" name="Text Box 910">
          <a:extLst>
            <a:ext uri="{FF2B5EF4-FFF2-40B4-BE49-F238E27FC236}">
              <a16:creationId xmlns:a16="http://schemas.microsoft.com/office/drawing/2014/main" id="{19E57513-2F58-4966-B1EA-AF9383B015A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81" name="Text Box 910">
          <a:extLst>
            <a:ext uri="{FF2B5EF4-FFF2-40B4-BE49-F238E27FC236}">
              <a16:creationId xmlns:a16="http://schemas.microsoft.com/office/drawing/2014/main" id="{E98C0C96-9C57-4319-8CE5-983B740A0ED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482" name="Text Box 909">
          <a:extLst>
            <a:ext uri="{FF2B5EF4-FFF2-40B4-BE49-F238E27FC236}">
              <a16:creationId xmlns:a16="http://schemas.microsoft.com/office/drawing/2014/main" id="{B8DB2B68-2C1E-45EE-A013-10E1875EA257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83" name="Text Box 910">
          <a:extLst>
            <a:ext uri="{FF2B5EF4-FFF2-40B4-BE49-F238E27FC236}">
              <a16:creationId xmlns:a16="http://schemas.microsoft.com/office/drawing/2014/main" id="{EE6B2217-86B7-4C1D-B205-BEB94010E52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84" name="Text Box 910">
          <a:extLst>
            <a:ext uri="{FF2B5EF4-FFF2-40B4-BE49-F238E27FC236}">
              <a16:creationId xmlns:a16="http://schemas.microsoft.com/office/drawing/2014/main" id="{565B4122-F54B-4465-8AE1-A4DF151021E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85" name="Text Box 910">
          <a:extLst>
            <a:ext uri="{FF2B5EF4-FFF2-40B4-BE49-F238E27FC236}">
              <a16:creationId xmlns:a16="http://schemas.microsoft.com/office/drawing/2014/main" id="{FB4E7932-468A-4772-9B4C-AE450B5B2AA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86" name="Text Box 910">
          <a:extLst>
            <a:ext uri="{FF2B5EF4-FFF2-40B4-BE49-F238E27FC236}">
              <a16:creationId xmlns:a16="http://schemas.microsoft.com/office/drawing/2014/main" id="{41E2B117-1674-405B-9F05-30C8FEA5875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487" name="Text Box 909">
          <a:extLst>
            <a:ext uri="{FF2B5EF4-FFF2-40B4-BE49-F238E27FC236}">
              <a16:creationId xmlns:a16="http://schemas.microsoft.com/office/drawing/2014/main" id="{1EC5B974-F602-4F9C-B49B-A13E0C6D8BA1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88" name="Text Box 910">
          <a:extLst>
            <a:ext uri="{FF2B5EF4-FFF2-40B4-BE49-F238E27FC236}">
              <a16:creationId xmlns:a16="http://schemas.microsoft.com/office/drawing/2014/main" id="{9A986D24-55F7-4A61-B825-00A7FB8A848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89" name="Text Box 910">
          <a:extLst>
            <a:ext uri="{FF2B5EF4-FFF2-40B4-BE49-F238E27FC236}">
              <a16:creationId xmlns:a16="http://schemas.microsoft.com/office/drawing/2014/main" id="{399B3ED3-0B31-406F-B2C0-B6AE6FFA5BA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90" name="Text Box 910">
          <a:extLst>
            <a:ext uri="{FF2B5EF4-FFF2-40B4-BE49-F238E27FC236}">
              <a16:creationId xmlns:a16="http://schemas.microsoft.com/office/drawing/2014/main" id="{971ECF20-9750-45FA-958F-8366DBAF590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91" name="Text Box 910">
          <a:extLst>
            <a:ext uri="{FF2B5EF4-FFF2-40B4-BE49-F238E27FC236}">
              <a16:creationId xmlns:a16="http://schemas.microsoft.com/office/drawing/2014/main" id="{2A393CC6-FB05-48C3-A7BA-69C63036FB1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492" name="Text Box 909">
          <a:extLst>
            <a:ext uri="{FF2B5EF4-FFF2-40B4-BE49-F238E27FC236}">
              <a16:creationId xmlns:a16="http://schemas.microsoft.com/office/drawing/2014/main" id="{5EBD6647-2546-408C-BF72-AF874EFD8C68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93" name="Text Box 910">
          <a:extLst>
            <a:ext uri="{FF2B5EF4-FFF2-40B4-BE49-F238E27FC236}">
              <a16:creationId xmlns:a16="http://schemas.microsoft.com/office/drawing/2014/main" id="{C7496D91-0689-4E52-B125-D92FD198485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94" name="Text Box 910">
          <a:extLst>
            <a:ext uri="{FF2B5EF4-FFF2-40B4-BE49-F238E27FC236}">
              <a16:creationId xmlns:a16="http://schemas.microsoft.com/office/drawing/2014/main" id="{F307FE24-EEDE-46E6-BA97-2494104877E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95" name="Text Box 910">
          <a:extLst>
            <a:ext uri="{FF2B5EF4-FFF2-40B4-BE49-F238E27FC236}">
              <a16:creationId xmlns:a16="http://schemas.microsoft.com/office/drawing/2014/main" id="{786D5FBC-E45C-474C-8A51-7E09E11E40B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96" name="Text Box 910">
          <a:extLst>
            <a:ext uri="{FF2B5EF4-FFF2-40B4-BE49-F238E27FC236}">
              <a16:creationId xmlns:a16="http://schemas.microsoft.com/office/drawing/2014/main" id="{8F19E290-4621-4F9A-90C6-C24BA80FF90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497" name="Text Box 909">
          <a:extLst>
            <a:ext uri="{FF2B5EF4-FFF2-40B4-BE49-F238E27FC236}">
              <a16:creationId xmlns:a16="http://schemas.microsoft.com/office/drawing/2014/main" id="{4D2CEA52-E3F5-47E3-82D8-3758A49E64F5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98" name="Text Box 910">
          <a:extLst>
            <a:ext uri="{FF2B5EF4-FFF2-40B4-BE49-F238E27FC236}">
              <a16:creationId xmlns:a16="http://schemas.microsoft.com/office/drawing/2014/main" id="{E6915DA0-D7E9-4A71-9778-E6245DDB6DD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499" name="Text Box 910">
          <a:extLst>
            <a:ext uri="{FF2B5EF4-FFF2-40B4-BE49-F238E27FC236}">
              <a16:creationId xmlns:a16="http://schemas.microsoft.com/office/drawing/2014/main" id="{6AFA3044-17B4-4C3E-AFD5-BB4F747B039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00" name="Text Box 910">
          <a:extLst>
            <a:ext uri="{FF2B5EF4-FFF2-40B4-BE49-F238E27FC236}">
              <a16:creationId xmlns:a16="http://schemas.microsoft.com/office/drawing/2014/main" id="{CA062E02-83F0-4948-AF7C-5B09191DB6E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01" name="Text Box 910">
          <a:extLst>
            <a:ext uri="{FF2B5EF4-FFF2-40B4-BE49-F238E27FC236}">
              <a16:creationId xmlns:a16="http://schemas.microsoft.com/office/drawing/2014/main" id="{CD757E39-C891-4710-8FD2-0A01A3B1327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02" name="Text Box 909">
          <a:extLst>
            <a:ext uri="{FF2B5EF4-FFF2-40B4-BE49-F238E27FC236}">
              <a16:creationId xmlns:a16="http://schemas.microsoft.com/office/drawing/2014/main" id="{B294BCC1-0D38-4F4E-ABF7-5DB4AE09277F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03" name="Text Box 910">
          <a:extLst>
            <a:ext uri="{FF2B5EF4-FFF2-40B4-BE49-F238E27FC236}">
              <a16:creationId xmlns:a16="http://schemas.microsoft.com/office/drawing/2014/main" id="{F3797D20-04CA-4A5A-A09A-8613AFE3882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04" name="Text Box 910">
          <a:extLst>
            <a:ext uri="{FF2B5EF4-FFF2-40B4-BE49-F238E27FC236}">
              <a16:creationId xmlns:a16="http://schemas.microsoft.com/office/drawing/2014/main" id="{6E0AEF73-0239-4864-902B-299DFD5621C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05" name="Text Box 910">
          <a:extLst>
            <a:ext uri="{FF2B5EF4-FFF2-40B4-BE49-F238E27FC236}">
              <a16:creationId xmlns:a16="http://schemas.microsoft.com/office/drawing/2014/main" id="{DB5C99CD-D94F-4ECE-8C11-065E244F678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06" name="Text Box 910">
          <a:extLst>
            <a:ext uri="{FF2B5EF4-FFF2-40B4-BE49-F238E27FC236}">
              <a16:creationId xmlns:a16="http://schemas.microsoft.com/office/drawing/2014/main" id="{B92C8819-E6D3-4ACC-87D5-D56CB2F80B4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07" name="Text Box 909">
          <a:extLst>
            <a:ext uri="{FF2B5EF4-FFF2-40B4-BE49-F238E27FC236}">
              <a16:creationId xmlns:a16="http://schemas.microsoft.com/office/drawing/2014/main" id="{3F082BE9-B9B3-4714-806F-5FDB8769861D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08" name="Text Box 910">
          <a:extLst>
            <a:ext uri="{FF2B5EF4-FFF2-40B4-BE49-F238E27FC236}">
              <a16:creationId xmlns:a16="http://schemas.microsoft.com/office/drawing/2014/main" id="{F0831799-EE96-432F-BE92-8E76678A05D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09" name="Text Box 910">
          <a:extLst>
            <a:ext uri="{FF2B5EF4-FFF2-40B4-BE49-F238E27FC236}">
              <a16:creationId xmlns:a16="http://schemas.microsoft.com/office/drawing/2014/main" id="{018BCE58-6C04-42C4-B9D4-3BD96305C7C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10" name="Text Box 910">
          <a:extLst>
            <a:ext uri="{FF2B5EF4-FFF2-40B4-BE49-F238E27FC236}">
              <a16:creationId xmlns:a16="http://schemas.microsoft.com/office/drawing/2014/main" id="{36FDB857-937A-4296-A164-5212BC7A483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11" name="Text Box 910">
          <a:extLst>
            <a:ext uri="{FF2B5EF4-FFF2-40B4-BE49-F238E27FC236}">
              <a16:creationId xmlns:a16="http://schemas.microsoft.com/office/drawing/2014/main" id="{32690AB8-A84E-47BD-91E1-C6C725CD80B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12" name="Text Box 909">
          <a:extLst>
            <a:ext uri="{FF2B5EF4-FFF2-40B4-BE49-F238E27FC236}">
              <a16:creationId xmlns:a16="http://schemas.microsoft.com/office/drawing/2014/main" id="{899714D4-6CFF-4B5B-82E9-1AF677118423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13" name="Text Box 910">
          <a:extLst>
            <a:ext uri="{FF2B5EF4-FFF2-40B4-BE49-F238E27FC236}">
              <a16:creationId xmlns:a16="http://schemas.microsoft.com/office/drawing/2014/main" id="{AF3C3FF7-C879-44FD-965D-6241B330C78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14" name="Text Box 910">
          <a:extLst>
            <a:ext uri="{FF2B5EF4-FFF2-40B4-BE49-F238E27FC236}">
              <a16:creationId xmlns:a16="http://schemas.microsoft.com/office/drawing/2014/main" id="{1993AB1D-0F50-4115-916E-AE2F64020D1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15" name="Text Box 910">
          <a:extLst>
            <a:ext uri="{FF2B5EF4-FFF2-40B4-BE49-F238E27FC236}">
              <a16:creationId xmlns:a16="http://schemas.microsoft.com/office/drawing/2014/main" id="{DF63BC07-900D-4226-A708-E14831A811C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16" name="Text Box 910">
          <a:extLst>
            <a:ext uri="{FF2B5EF4-FFF2-40B4-BE49-F238E27FC236}">
              <a16:creationId xmlns:a16="http://schemas.microsoft.com/office/drawing/2014/main" id="{9FE70A00-C603-409B-A61A-43D3523CC7D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17" name="Text Box 909">
          <a:extLst>
            <a:ext uri="{FF2B5EF4-FFF2-40B4-BE49-F238E27FC236}">
              <a16:creationId xmlns:a16="http://schemas.microsoft.com/office/drawing/2014/main" id="{8D8D7768-C264-4DA4-9531-B9B9FACBADAC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18" name="Text Box 910">
          <a:extLst>
            <a:ext uri="{FF2B5EF4-FFF2-40B4-BE49-F238E27FC236}">
              <a16:creationId xmlns:a16="http://schemas.microsoft.com/office/drawing/2014/main" id="{B2A64B30-56B4-4D1F-9EC8-475A9E747E9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19" name="Text Box 910">
          <a:extLst>
            <a:ext uri="{FF2B5EF4-FFF2-40B4-BE49-F238E27FC236}">
              <a16:creationId xmlns:a16="http://schemas.microsoft.com/office/drawing/2014/main" id="{B28710EC-99EB-4227-83B0-F45223BD16C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20" name="Text Box 910">
          <a:extLst>
            <a:ext uri="{FF2B5EF4-FFF2-40B4-BE49-F238E27FC236}">
              <a16:creationId xmlns:a16="http://schemas.microsoft.com/office/drawing/2014/main" id="{0F1C8067-3722-4EB7-AD9C-240956D639F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21" name="Text Box 910">
          <a:extLst>
            <a:ext uri="{FF2B5EF4-FFF2-40B4-BE49-F238E27FC236}">
              <a16:creationId xmlns:a16="http://schemas.microsoft.com/office/drawing/2014/main" id="{D86147DF-B0BE-481A-BF14-22AA7E9B486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22" name="Text Box 909">
          <a:extLst>
            <a:ext uri="{FF2B5EF4-FFF2-40B4-BE49-F238E27FC236}">
              <a16:creationId xmlns:a16="http://schemas.microsoft.com/office/drawing/2014/main" id="{546E1157-C3AE-4833-A78B-75EF7A2CB015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23" name="Text Box 910">
          <a:extLst>
            <a:ext uri="{FF2B5EF4-FFF2-40B4-BE49-F238E27FC236}">
              <a16:creationId xmlns:a16="http://schemas.microsoft.com/office/drawing/2014/main" id="{16C6BFA2-06AB-4B7D-9AB4-2996307B9B3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24" name="Text Box 910">
          <a:extLst>
            <a:ext uri="{FF2B5EF4-FFF2-40B4-BE49-F238E27FC236}">
              <a16:creationId xmlns:a16="http://schemas.microsoft.com/office/drawing/2014/main" id="{84FF3510-4F08-491A-942F-E9CCAAE5BE5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25" name="Text Box 910">
          <a:extLst>
            <a:ext uri="{FF2B5EF4-FFF2-40B4-BE49-F238E27FC236}">
              <a16:creationId xmlns:a16="http://schemas.microsoft.com/office/drawing/2014/main" id="{CB3B00D8-56E7-4BDE-AA41-C6152DF11BD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26" name="Text Box 910">
          <a:extLst>
            <a:ext uri="{FF2B5EF4-FFF2-40B4-BE49-F238E27FC236}">
              <a16:creationId xmlns:a16="http://schemas.microsoft.com/office/drawing/2014/main" id="{427D1456-E9A0-4FE3-9FD3-F24ACD0BEB2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27" name="Text Box 909">
          <a:extLst>
            <a:ext uri="{FF2B5EF4-FFF2-40B4-BE49-F238E27FC236}">
              <a16:creationId xmlns:a16="http://schemas.microsoft.com/office/drawing/2014/main" id="{5D0E1BBA-8063-4380-BC91-F4196197B623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28" name="Text Box 910">
          <a:extLst>
            <a:ext uri="{FF2B5EF4-FFF2-40B4-BE49-F238E27FC236}">
              <a16:creationId xmlns:a16="http://schemas.microsoft.com/office/drawing/2014/main" id="{B9CE35FC-574B-455E-AA77-3111E88A534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29" name="Text Box 910">
          <a:extLst>
            <a:ext uri="{FF2B5EF4-FFF2-40B4-BE49-F238E27FC236}">
              <a16:creationId xmlns:a16="http://schemas.microsoft.com/office/drawing/2014/main" id="{C42E5078-099B-4215-98B8-BC686CA4E0B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30" name="Text Box 910">
          <a:extLst>
            <a:ext uri="{FF2B5EF4-FFF2-40B4-BE49-F238E27FC236}">
              <a16:creationId xmlns:a16="http://schemas.microsoft.com/office/drawing/2014/main" id="{B88D8887-89B0-4B68-8D23-3988AAD4485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31" name="Text Box 910">
          <a:extLst>
            <a:ext uri="{FF2B5EF4-FFF2-40B4-BE49-F238E27FC236}">
              <a16:creationId xmlns:a16="http://schemas.microsoft.com/office/drawing/2014/main" id="{E6E9CAC4-C7A6-4F71-A520-6AE87342139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32" name="Text Box 909">
          <a:extLst>
            <a:ext uri="{FF2B5EF4-FFF2-40B4-BE49-F238E27FC236}">
              <a16:creationId xmlns:a16="http://schemas.microsoft.com/office/drawing/2014/main" id="{519786E1-75AB-418A-9FEA-76D1BF1B9D4C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33" name="Text Box 910">
          <a:extLst>
            <a:ext uri="{FF2B5EF4-FFF2-40B4-BE49-F238E27FC236}">
              <a16:creationId xmlns:a16="http://schemas.microsoft.com/office/drawing/2014/main" id="{4B745149-BB0D-41B9-BFAB-F72A680A4E1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34" name="Text Box 910">
          <a:extLst>
            <a:ext uri="{FF2B5EF4-FFF2-40B4-BE49-F238E27FC236}">
              <a16:creationId xmlns:a16="http://schemas.microsoft.com/office/drawing/2014/main" id="{7A68A65C-E12C-43E8-84FC-E0563CB1E6D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35" name="Text Box 910">
          <a:extLst>
            <a:ext uri="{FF2B5EF4-FFF2-40B4-BE49-F238E27FC236}">
              <a16:creationId xmlns:a16="http://schemas.microsoft.com/office/drawing/2014/main" id="{93C24879-3378-447A-9660-25CF189343A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36" name="Text Box 910">
          <a:extLst>
            <a:ext uri="{FF2B5EF4-FFF2-40B4-BE49-F238E27FC236}">
              <a16:creationId xmlns:a16="http://schemas.microsoft.com/office/drawing/2014/main" id="{D7494BA6-A8D9-4B53-BD12-54A05B3D54D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37" name="Text Box 909">
          <a:extLst>
            <a:ext uri="{FF2B5EF4-FFF2-40B4-BE49-F238E27FC236}">
              <a16:creationId xmlns:a16="http://schemas.microsoft.com/office/drawing/2014/main" id="{631F4E03-4BF9-48D4-B484-B4EF67C83DE2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38" name="Text Box 910">
          <a:extLst>
            <a:ext uri="{FF2B5EF4-FFF2-40B4-BE49-F238E27FC236}">
              <a16:creationId xmlns:a16="http://schemas.microsoft.com/office/drawing/2014/main" id="{46D142E7-759C-494D-9922-B6B670FC79F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39" name="Text Box 910">
          <a:extLst>
            <a:ext uri="{FF2B5EF4-FFF2-40B4-BE49-F238E27FC236}">
              <a16:creationId xmlns:a16="http://schemas.microsoft.com/office/drawing/2014/main" id="{DE9490E6-C2B1-4EE7-A26C-EE4FCF008C6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40" name="Text Box 910">
          <a:extLst>
            <a:ext uri="{FF2B5EF4-FFF2-40B4-BE49-F238E27FC236}">
              <a16:creationId xmlns:a16="http://schemas.microsoft.com/office/drawing/2014/main" id="{AD0A4AFE-0765-4158-9D1C-B57CED0C2DD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41" name="Text Box 910">
          <a:extLst>
            <a:ext uri="{FF2B5EF4-FFF2-40B4-BE49-F238E27FC236}">
              <a16:creationId xmlns:a16="http://schemas.microsoft.com/office/drawing/2014/main" id="{FACF4121-B891-48D7-BAF0-F5C6A6C5DD4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42" name="Text Box 909">
          <a:extLst>
            <a:ext uri="{FF2B5EF4-FFF2-40B4-BE49-F238E27FC236}">
              <a16:creationId xmlns:a16="http://schemas.microsoft.com/office/drawing/2014/main" id="{C1EDA857-EFE1-4957-838C-78EFC4F68549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43" name="Text Box 910">
          <a:extLst>
            <a:ext uri="{FF2B5EF4-FFF2-40B4-BE49-F238E27FC236}">
              <a16:creationId xmlns:a16="http://schemas.microsoft.com/office/drawing/2014/main" id="{7DBAED2C-F4B2-4F75-B357-B01B27D7BD2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44" name="Text Box 910">
          <a:extLst>
            <a:ext uri="{FF2B5EF4-FFF2-40B4-BE49-F238E27FC236}">
              <a16:creationId xmlns:a16="http://schemas.microsoft.com/office/drawing/2014/main" id="{9F58677D-117A-420C-9AA1-ACB78A51797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45" name="Text Box 910">
          <a:extLst>
            <a:ext uri="{FF2B5EF4-FFF2-40B4-BE49-F238E27FC236}">
              <a16:creationId xmlns:a16="http://schemas.microsoft.com/office/drawing/2014/main" id="{1A625F67-FEFA-423D-BC4B-E011D9C6A44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46" name="Text Box 910">
          <a:extLst>
            <a:ext uri="{FF2B5EF4-FFF2-40B4-BE49-F238E27FC236}">
              <a16:creationId xmlns:a16="http://schemas.microsoft.com/office/drawing/2014/main" id="{E6D37EDB-5551-4BFE-A679-DAA830D9574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47" name="Text Box 909">
          <a:extLst>
            <a:ext uri="{FF2B5EF4-FFF2-40B4-BE49-F238E27FC236}">
              <a16:creationId xmlns:a16="http://schemas.microsoft.com/office/drawing/2014/main" id="{AF434E69-8B34-4347-883A-B51F6387A934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48" name="Text Box 910">
          <a:extLst>
            <a:ext uri="{FF2B5EF4-FFF2-40B4-BE49-F238E27FC236}">
              <a16:creationId xmlns:a16="http://schemas.microsoft.com/office/drawing/2014/main" id="{F8753DF7-1A36-4237-B69D-CE036FF62D5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49" name="Text Box 910">
          <a:extLst>
            <a:ext uri="{FF2B5EF4-FFF2-40B4-BE49-F238E27FC236}">
              <a16:creationId xmlns:a16="http://schemas.microsoft.com/office/drawing/2014/main" id="{E0AA6A62-FBB5-45EB-8504-34362733340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50" name="Text Box 910">
          <a:extLst>
            <a:ext uri="{FF2B5EF4-FFF2-40B4-BE49-F238E27FC236}">
              <a16:creationId xmlns:a16="http://schemas.microsoft.com/office/drawing/2014/main" id="{65D81605-06BD-4BA8-A7C1-90FC9D869A7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51" name="Text Box 910">
          <a:extLst>
            <a:ext uri="{FF2B5EF4-FFF2-40B4-BE49-F238E27FC236}">
              <a16:creationId xmlns:a16="http://schemas.microsoft.com/office/drawing/2014/main" id="{A23E1D2F-E8A6-4096-A73B-F570EE33922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52" name="Text Box 909">
          <a:extLst>
            <a:ext uri="{FF2B5EF4-FFF2-40B4-BE49-F238E27FC236}">
              <a16:creationId xmlns:a16="http://schemas.microsoft.com/office/drawing/2014/main" id="{A7AE9D50-3BF9-4D3A-9833-3420DE4641AE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53" name="Text Box 910">
          <a:extLst>
            <a:ext uri="{FF2B5EF4-FFF2-40B4-BE49-F238E27FC236}">
              <a16:creationId xmlns:a16="http://schemas.microsoft.com/office/drawing/2014/main" id="{AA364151-4910-4854-8C61-BA69F4B8415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54" name="Text Box 910">
          <a:extLst>
            <a:ext uri="{FF2B5EF4-FFF2-40B4-BE49-F238E27FC236}">
              <a16:creationId xmlns:a16="http://schemas.microsoft.com/office/drawing/2014/main" id="{DB0D4BD1-096F-4E0A-AF3F-5286037D31E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55" name="Text Box 910">
          <a:extLst>
            <a:ext uri="{FF2B5EF4-FFF2-40B4-BE49-F238E27FC236}">
              <a16:creationId xmlns:a16="http://schemas.microsoft.com/office/drawing/2014/main" id="{BB83053D-5859-4EFE-8936-86EE7A70565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56" name="Text Box 910">
          <a:extLst>
            <a:ext uri="{FF2B5EF4-FFF2-40B4-BE49-F238E27FC236}">
              <a16:creationId xmlns:a16="http://schemas.microsoft.com/office/drawing/2014/main" id="{968B9A7A-F5D2-4BC9-9745-5495800F76B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57" name="Text Box 909">
          <a:extLst>
            <a:ext uri="{FF2B5EF4-FFF2-40B4-BE49-F238E27FC236}">
              <a16:creationId xmlns:a16="http://schemas.microsoft.com/office/drawing/2014/main" id="{5127F872-81A6-4284-8289-3ED935D3D917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58" name="Text Box 910">
          <a:extLst>
            <a:ext uri="{FF2B5EF4-FFF2-40B4-BE49-F238E27FC236}">
              <a16:creationId xmlns:a16="http://schemas.microsoft.com/office/drawing/2014/main" id="{D83703EF-198E-4A4C-82F6-BD2729DC557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59" name="Text Box 910">
          <a:extLst>
            <a:ext uri="{FF2B5EF4-FFF2-40B4-BE49-F238E27FC236}">
              <a16:creationId xmlns:a16="http://schemas.microsoft.com/office/drawing/2014/main" id="{9C6C7B3E-D0BC-429D-ACF6-ACC39E25699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60" name="Text Box 910">
          <a:extLst>
            <a:ext uri="{FF2B5EF4-FFF2-40B4-BE49-F238E27FC236}">
              <a16:creationId xmlns:a16="http://schemas.microsoft.com/office/drawing/2014/main" id="{76DAD3C3-0A22-487E-815D-416E00479AC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61" name="Text Box 910">
          <a:extLst>
            <a:ext uri="{FF2B5EF4-FFF2-40B4-BE49-F238E27FC236}">
              <a16:creationId xmlns:a16="http://schemas.microsoft.com/office/drawing/2014/main" id="{F5C82F0B-AC77-497B-AE40-D195F1BFA8C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62" name="Text Box 909">
          <a:extLst>
            <a:ext uri="{FF2B5EF4-FFF2-40B4-BE49-F238E27FC236}">
              <a16:creationId xmlns:a16="http://schemas.microsoft.com/office/drawing/2014/main" id="{4CB9FE51-646A-40FA-BF18-252343CD88FE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63" name="Text Box 910">
          <a:extLst>
            <a:ext uri="{FF2B5EF4-FFF2-40B4-BE49-F238E27FC236}">
              <a16:creationId xmlns:a16="http://schemas.microsoft.com/office/drawing/2014/main" id="{FAD9EAA2-E9D2-4044-9D50-62C6954E8FD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64" name="Text Box 910">
          <a:extLst>
            <a:ext uri="{FF2B5EF4-FFF2-40B4-BE49-F238E27FC236}">
              <a16:creationId xmlns:a16="http://schemas.microsoft.com/office/drawing/2014/main" id="{984DC3C7-AD6D-45CC-A7E7-CBA2404B7AF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65" name="Text Box 910">
          <a:extLst>
            <a:ext uri="{FF2B5EF4-FFF2-40B4-BE49-F238E27FC236}">
              <a16:creationId xmlns:a16="http://schemas.microsoft.com/office/drawing/2014/main" id="{AF07720B-DC2B-453F-B000-BFC78FF97C4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66" name="Text Box 910">
          <a:extLst>
            <a:ext uri="{FF2B5EF4-FFF2-40B4-BE49-F238E27FC236}">
              <a16:creationId xmlns:a16="http://schemas.microsoft.com/office/drawing/2014/main" id="{1014D7CC-D88F-4EC0-87B8-C850D0FF546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67" name="Text Box 909">
          <a:extLst>
            <a:ext uri="{FF2B5EF4-FFF2-40B4-BE49-F238E27FC236}">
              <a16:creationId xmlns:a16="http://schemas.microsoft.com/office/drawing/2014/main" id="{71D8B977-FB39-4E5A-9133-F01F809582DC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68" name="Text Box 910">
          <a:extLst>
            <a:ext uri="{FF2B5EF4-FFF2-40B4-BE49-F238E27FC236}">
              <a16:creationId xmlns:a16="http://schemas.microsoft.com/office/drawing/2014/main" id="{0EFD72C8-7188-4175-A684-5429F309949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69" name="Text Box 910">
          <a:extLst>
            <a:ext uri="{FF2B5EF4-FFF2-40B4-BE49-F238E27FC236}">
              <a16:creationId xmlns:a16="http://schemas.microsoft.com/office/drawing/2014/main" id="{C2D0230D-FE0C-403A-9D0D-0A1C97083E1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70" name="Text Box 910">
          <a:extLst>
            <a:ext uri="{FF2B5EF4-FFF2-40B4-BE49-F238E27FC236}">
              <a16:creationId xmlns:a16="http://schemas.microsoft.com/office/drawing/2014/main" id="{8D26A839-76A4-490F-B7C4-F02C6753600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71" name="Text Box 910">
          <a:extLst>
            <a:ext uri="{FF2B5EF4-FFF2-40B4-BE49-F238E27FC236}">
              <a16:creationId xmlns:a16="http://schemas.microsoft.com/office/drawing/2014/main" id="{6EA4A678-704C-42F5-835E-43348617EFC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72" name="Text Box 909">
          <a:extLst>
            <a:ext uri="{FF2B5EF4-FFF2-40B4-BE49-F238E27FC236}">
              <a16:creationId xmlns:a16="http://schemas.microsoft.com/office/drawing/2014/main" id="{1AADA353-53D6-463D-8DBE-85C87E1EEE52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73" name="Text Box 910">
          <a:extLst>
            <a:ext uri="{FF2B5EF4-FFF2-40B4-BE49-F238E27FC236}">
              <a16:creationId xmlns:a16="http://schemas.microsoft.com/office/drawing/2014/main" id="{2557EC62-EEAA-4974-A529-1D005C64AD1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74" name="Text Box 910">
          <a:extLst>
            <a:ext uri="{FF2B5EF4-FFF2-40B4-BE49-F238E27FC236}">
              <a16:creationId xmlns:a16="http://schemas.microsoft.com/office/drawing/2014/main" id="{03037B09-CB94-4321-9708-8AE737D4096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75" name="Text Box 910">
          <a:extLst>
            <a:ext uri="{FF2B5EF4-FFF2-40B4-BE49-F238E27FC236}">
              <a16:creationId xmlns:a16="http://schemas.microsoft.com/office/drawing/2014/main" id="{C4DD9A94-6F38-4BEE-9206-AAB2A199BD6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76" name="Text Box 910">
          <a:extLst>
            <a:ext uri="{FF2B5EF4-FFF2-40B4-BE49-F238E27FC236}">
              <a16:creationId xmlns:a16="http://schemas.microsoft.com/office/drawing/2014/main" id="{A524AEBF-BC2E-470C-A769-CE094194972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77" name="Text Box 909">
          <a:extLst>
            <a:ext uri="{FF2B5EF4-FFF2-40B4-BE49-F238E27FC236}">
              <a16:creationId xmlns:a16="http://schemas.microsoft.com/office/drawing/2014/main" id="{20317E66-FC31-4F4F-9C8E-0D78FE89E251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78" name="Text Box 910">
          <a:extLst>
            <a:ext uri="{FF2B5EF4-FFF2-40B4-BE49-F238E27FC236}">
              <a16:creationId xmlns:a16="http://schemas.microsoft.com/office/drawing/2014/main" id="{27CD7EC5-80FD-4BFF-8C44-2D4A4D33F53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79" name="Text Box 910">
          <a:extLst>
            <a:ext uri="{FF2B5EF4-FFF2-40B4-BE49-F238E27FC236}">
              <a16:creationId xmlns:a16="http://schemas.microsoft.com/office/drawing/2014/main" id="{08B288D9-D2CA-4E0D-92B6-BB8EB3DC67F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80" name="Text Box 910">
          <a:extLst>
            <a:ext uri="{FF2B5EF4-FFF2-40B4-BE49-F238E27FC236}">
              <a16:creationId xmlns:a16="http://schemas.microsoft.com/office/drawing/2014/main" id="{3491DF49-9712-471C-8913-A91C1144F39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81" name="Text Box 910">
          <a:extLst>
            <a:ext uri="{FF2B5EF4-FFF2-40B4-BE49-F238E27FC236}">
              <a16:creationId xmlns:a16="http://schemas.microsoft.com/office/drawing/2014/main" id="{BB5DBE56-AE91-4F05-947D-90D05E9E651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82" name="Text Box 909">
          <a:extLst>
            <a:ext uri="{FF2B5EF4-FFF2-40B4-BE49-F238E27FC236}">
              <a16:creationId xmlns:a16="http://schemas.microsoft.com/office/drawing/2014/main" id="{654FF220-4656-45DD-B206-12BA68B5518D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83" name="Text Box 910">
          <a:extLst>
            <a:ext uri="{FF2B5EF4-FFF2-40B4-BE49-F238E27FC236}">
              <a16:creationId xmlns:a16="http://schemas.microsoft.com/office/drawing/2014/main" id="{0E6E8A18-AF67-4840-B140-030E54F0049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84" name="Text Box 910">
          <a:extLst>
            <a:ext uri="{FF2B5EF4-FFF2-40B4-BE49-F238E27FC236}">
              <a16:creationId xmlns:a16="http://schemas.microsoft.com/office/drawing/2014/main" id="{9050A42B-8218-4714-89E1-68614D83D1A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85" name="Text Box 910">
          <a:extLst>
            <a:ext uri="{FF2B5EF4-FFF2-40B4-BE49-F238E27FC236}">
              <a16:creationId xmlns:a16="http://schemas.microsoft.com/office/drawing/2014/main" id="{CC302B03-AD95-44DA-9F85-FF8A3BBDF8C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86" name="Text Box 910">
          <a:extLst>
            <a:ext uri="{FF2B5EF4-FFF2-40B4-BE49-F238E27FC236}">
              <a16:creationId xmlns:a16="http://schemas.microsoft.com/office/drawing/2014/main" id="{2068BF2A-BD60-4916-9729-C3157E4AA39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87" name="Text Box 909">
          <a:extLst>
            <a:ext uri="{FF2B5EF4-FFF2-40B4-BE49-F238E27FC236}">
              <a16:creationId xmlns:a16="http://schemas.microsoft.com/office/drawing/2014/main" id="{54477A74-E97D-429D-8671-72F017427A3B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88" name="Text Box 910">
          <a:extLst>
            <a:ext uri="{FF2B5EF4-FFF2-40B4-BE49-F238E27FC236}">
              <a16:creationId xmlns:a16="http://schemas.microsoft.com/office/drawing/2014/main" id="{8830BC3E-71A9-42AC-8889-1EEC06C490C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89" name="Text Box 910">
          <a:extLst>
            <a:ext uri="{FF2B5EF4-FFF2-40B4-BE49-F238E27FC236}">
              <a16:creationId xmlns:a16="http://schemas.microsoft.com/office/drawing/2014/main" id="{F7B854B6-9090-4ACE-8EE1-DAA04692C83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90" name="Text Box 910">
          <a:extLst>
            <a:ext uri="{FF2B5EF4-FFF2-40B4-BE49-F238E27FC236}">
              <a16:creationId xmlns:a16="http://schemas.microsoft.com/office/drawing/2014/main" id="{FC62651B-5677-4178-96C8-1B05F78E2BF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91" name="Text Box 910">
          <a:extLst>
            <a:ext uri="{FF2B5EF4-FFF2-40B4-BE49-F238E27FC236}">
              <a16:creationId xmlns:a16="http://schemas.microsoft.com/office/drawing/2014/main" id="{46BE560D-0E22-4B30-A7C8-B4EBC51133C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92" name="Text Box 909">
          <a:extLst>
            <a:ext uri="{FF2B5EF4-FFF2-40B4-BE49-F238E27FC236}">
              <a16:creationId xmlns:a16="http://schemas.microsoft.com/office/drawing/2014/main" id="{F03AD98E-5557-415E-A1E4-D26A58CEE6CF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93" name="Text Box 910">
          <a:extLst>
            <a:ext uri="{FF2B5EF4-FFF2-40B4-BE49-F238E27FC236}">
              <a16:creationId xmlns:a16="http://schemas.microsoft.com/office/drawing/2014/main" id="{B3290795-6CDD-4465-8F6E-93903224C91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94" name="Text Box 910">
          <a:extLst>
            <a:ext uri="{FF2B5EF4-FFF2-40B4-BE49-F238E27FC236}">
              <a16:creationId xmlns:a16="http://schemas.microsoft.com/office/drawing/2014/main" id="{76B958E2-5E9C-4A36-AC3E-737C54B4014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95" name="Text Box 910">
          <a:extLst>
            <a:ext uri="{FF2B5EF4-FFF2-40B4-BE49-F238E27FC236}">
              <a16:creationId xmlns:a16="http://schemas.microsoft.com/office/drawing/2014/main" id="{97AFE435-6C50-4206-B0FF-9BE9AA2B5FB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96" name="Text Box 910">
          <a:extLst>
            <a:ext uri="{FF2B5EF4-FFF2-40B4-BE49-F238E27FC236}">
              <a16:creationId xmlns:a16="http://schemas.microsoft.com/office/drawing/2014/main" id="{031EFAE3-D22D-4BF5-AE6A-F91727984B5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597" name="Text Box 909">
          <a:extLst>
            <a:ext uri="{FF2B5EF4-FFF2-40B4-BE49-F238E27FC236}">
              <a16:creationId xmlns:a16="http://schemas.microsoft.com/office/drawing/2014/main" id="{0396134A-E0DB-4746-8670-9F41F5D74A93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98" name="Text Box 910">
          <a:extLst>
            <a:ext uri="{FF2B5EF4-FFF2-40B4-BE49-F238E27FC236}">
              <a16:creationId xmlns:a16="http://schemas.microsoft.com/office/drawing/2014/main" id="{181BFFD2-0444-48BF-A6F9-187E577063C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599" name="Text Box 910">
          <a:extLst>
            <a:ext uri="{FF2B5EF4-FFF2-40B4-BE49-F238E27FC236}">
              <a16:creationId xmlns:a16="http://schemas.microsoft.com/office/drawing/2014/main" id="{D2A01A30-DDAC-4B33-A0B5-0E0165A8FDE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00" name="Text Box 910">
          <a:extLst>
            <a:ext uri="{FF2B5EF4-FFF2-40B4-BE49-F238E27FC236}">
              <a16:creationId xmlns:a16="http://schemas.microsoft.com/office/drawing/2014/main" id="{3BEF76C6-CC70-4B98-851D-3CE1897B3CF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01" name="Text Box 910">
          <a:extLst>
            <a:ext uri="{FF2B5EF4-FFF2-40B4-BE49-F238E27FC236}">
              <a16:creationId xmlns:a16="http://schemas.microsoft.com/office/drawing/2014/main" id="{84E96D6C-34AA-4D1D-807C-5EC89683768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602" name="Text Box 909">
          <a:extLst>
            <a:ext uri="{FF2B5EF4-FFF2-40B4-BE49-F238E27FC236}">
              <a16:creationId xmlns:a16="http://schemas.microsoft.com/office/drawing/2014/main" id="{5EE6F616-DD49-4428-9FE7-CF720BC09EAC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03" name="Text Box 910">
          <a:extLst>
            <a:ext uri="{FF2B5EF4-FFF2-40B4-BE49-F238E27FC236}">
              <a16:creationId xmlns:a16="http://schemas.microsoft.com/office/drawing/2014/main" id="{42280FA7-427A-4A53-A952-9A99ECB371C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04" name="Text Box 910">
          <a:extLst>
            <a:ext uri="{FF2B5EF4-FFF2-40B4-BE49-F238E27FC236}">
              <a16:creationId xmlns:a16="http://schemas.microsoft.com/office/drawing/2014/main" id="{090BF739-5BAE-4848-A46F-EEF2A9D2283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05" name="Text Box 910">
          <a:extLst>
            <a:ext uri="{FF2B5EF4-FFF2-40B4-BE49-F238E27FC236}">
              <a16:creationId xmlns:a16="http://schemas.microsoft.com/office/drawing/2014/main" id="{99D48D41-7AD8-40B1-B0C7-2A8DAB8F14E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06" name="Text Box 910">
          <a:extLst>
            <a:ext uri="{FF2B5EF4-FFF2-40B4-BE49-F238E27FC236}">
              <a16:creationId xmlns:a16="http://schemas.microsoft.com/office/drawing/2014/main" id="{68DCBD4C-8B00-4BF1-83CE-A8456C7891A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607" name="Text Box 909">
          <a:extLst>
            <a:ext uri="{FF2B5EF4-FFF2-40B4-BE49-F238E27FC236}">
              <a16:creationId xmlns:a16="http://schemas.microsoft.com/office/drawing/2014/main" id="{7E8ABC47-3EDD-45B6-BB68-4723A60B92E6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08" name="Text Box 910">
          <a:extLst>
            <a:ext uri="{FF2B5EF4-FFF2-40B4-BE49-F238E27FC236}">
              <a16:creationId xmlns:a16="http://schemas.microsoft.com/office/drawing/2014/main" id="{78BBE33C-2549-456A-97F3-FB04E3AB215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09" name="Text Box 910">
          <a:extLst>
            <a:ext uri="{FF2B5EF4-FFF2-40B4-BE49-F238E27FC236}">
              <a16:creationId xmlns:a16="http://schemas.microsoft.com/office/drawing/2014/main" id="{B496507D-F8F2-48CC-9870-9D49C7DE7C8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10" name="Text Box 910">
          <a:extLst>
            <a:ext uri="{FF2B5EF4-FFF2-40B4-BE49-F238E27FC236}">
              <a16:creationId xmlns:a16="http://schemas.microsoft.com/office/drawing/2014/main" id="{31160CDB-AC6B-44C5-8CD5-C090D00BFB1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11" name="Text Box 910">
          <a:extLst>
            <a:ext uri="{FF2B5EF4-FFF2-40B4-BE49-F238E27FC236}">
              <a16:creationId xmlns:a16="http://schemas.microsoft.com/office/drawing/2014/main" id="{131C6B27-E14B-411C-888C-CBEFE5B08D2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612" name="Text Box 909">
          <a:extLst>
            <a:ext uri="{FF2B5EF4-FFF2-40B4-BE49-F238E27FC236}">
              <a16:creationId xmlns:a16="http://schemas.microsoft.com/office/drawing/2014/main" id="{EC4F5B36-C4A1-401C-BC17-B064F916B137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13" name="Text Box 910">
          <a:extLst>
            <a:ext uri="{FF2B5EF4-FFF2-40B4-BE49-F238E27FC236}">
              <a16:creationId xmlns:a16="http://schemas.microsoft.com/office/drawing/2014/main" id="{73818AD2-7F7B-459C-B2FF-5EC75071C6B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14" name="Text Box 910">
          <a:extLst>
            <a:ext uri="{FF2B5EF4-FFF2-40B4-BE49-F238E27FC236}">
              <a16:creationId xmlns:a16="http://schemas.microsoft.com/office/drawing/2014/main" id="{9074461B-D435-483F-BD4B-18157E60EB2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15" name="Text Box 910">
          <a:extLst>
            <a:ext uri="{FF2B5EF4-FFF2-40B4-BE49-F238E27FC236}">
              <a16:creationId xmlns:a16="http://schemas.microsoft.com/office/drawing/2014/main" id="{1B1E443E-7669-4165-8E81-7BA77E36BA7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16" name="Text Box 910">
          <a:extLst>
            <a:ext uri="{FF2B5EF4-FFF2-40B4-BE49-F238E27FC236}">
              <a16:creationId xmlns:a16="http://schemas.microsoft.com/office/drawing/2014/main" id="{41427F6F-E748-43FF-8419-D78181F59D6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617" name="Text Box 909">
          <a:extLst>
            <a:ext uri="{FF2B5EF4-FFF2-40B4-BE49-F238E27FC236}">
              <a16:creationId xmlns:a16="http://schemas.microsoft.com/office/drawing/2014/main" id="{3082E9CC-8AF1-4500-B806-4DB9AE62A698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18" name="Text Box 910">
          <a:extLst>
            <a:ext uri="{FF2B5EF4-FFF2-40B4-BE49-F238E27FC236}">
              <a16:creationId xmlns:a16="http://schemas.microsoft.com/office/drawing/2014/main" id="{9FBF6E01-D614-4F1F-92ED-6BA70243A37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19" name="Text Box 910">
          <a:extLst>
            <a:ext uri="{FF2B5EF4-FFF2-40B4-BE49-F238E27FC236}">
              <a16:creationId xmlns:a16="http://schemas.microsoft.com/office/drawing/2014/main" id="{7EC1F45B-5723-460A-8873-4A7F61F80AE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0" name="Text Box 910">
          <a:extLst>
            <a:ext uri="{FF2B5EF4-FFF2-40B4-BE49-F238E27FC236}">
              <a16:creationId xmlns:a16="http://schemas.microsoft.com/office/drawing/2014/main" id="{9FC5E597-9362-407D-A878-4370ECB052C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1" name="Text Box 910">
          <a:extLst>
            <a:ext uri="{FF2B5EF4-FFF2-40B4-BE49-F238E27FC236}">
              <a16:creationId xmlns:a16="http://schemas.microsoft.com/office/drawing/2014/main" id="{B72466CD-01E1-4C96-8336-D87097C6371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19</xdr:col>
      <xdr:colOff>190500</xdr:colOff>
      <xdr:row>78</xdr:row>
      <xdr:rowOff>38100</xdr:rowOff>
    </xdr:from>
    <xdr:to>
      <xdr:col>32</xdr:col>
      <xdr:colOff>142875</xdr:colOff>
      <xdr:row>79</xdr:row>
      <xdr:rowOff>47625</xdr:rowOff>
    </xdr:to>
    <xdr:sp macro="" textlink="">
      <xdr:nvSpPr>
        <xdr:cNvPr id="2622" name="Text Box 909">
          <a:extLst>
            <a:ext uri="{FF2B5EF4-FFF2-40B4-BE49-F238E27FC236}">
              <a16:creationId xmlns:a16="http://schemas.microsoft.com/office/drawing/2014/main" id="{EF95AC5C-5918-4175-A5A3-869BF0276345}"/>
            </a:ext>
          </a:extLst>
        </xdr:cNvPr>
        <xdr:cNvSpPr txBox="1">
          <a:spLocks noChangeArrowheads="1"/>
        </xdr:cNvSpPr>
      </xdr:nvSpPr>
      <xdr:spPr bwMode="auto">
        <a:xfrm>
          <a:off x="4000500" y="10972800"/>
          <a:ext cx="2552700" cy="180975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EQUIPO(S ) AUTORIZADOS PARA CONDUCIR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3" name="Text Box 910">
          <a:extLst>
            <a:ext uri="{FF2B5EF4-FFF2-40B4-BE49-F238E27FC236}">
              <a16:creationId xmlns:a16="http://schemas.microsoft.com/office/drawing/2014/main" id="{695D6FD1-76C2-49DB-BA99-E77BFED1B2E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4" name="Text Box 910">
          <a:extLst>
            <a:ext uri="{FF2B5EF4-FFF2-40B4-BE49-F238E27FC236}">
              <a16:creationId xmlns:a16="http://schemas.microsoft.com/office/drawing/2014/main" id="{91617943-3277-4698-B588-0EA6D3F2DC9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5" name="Text Box 910">
          <a:extLst>
            <a:ext uri="{FF2B5EF4-FFF2-40B4-BE49-F238E27FC236}">
              <a16:creationId xmlns:a16="http://schemas.microsoft.com/office/drawing/2014/main" id="{AEEB197B-8944-404A-8ABA-3B52C98E165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6" name="Text Box 910">
          <a:extLst>
            <a:ext uri="{FF2B5EF4-FFF2-40B4-BE49-F238E27FC236}">
              <a16:creationId xmlns:a16="http://schemas.microsoft.com/office/drawing/2014/main" id="{7B3D76B6-B904-42FA-A94E-1BDF822C217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7" name="Text Box 910">
          <a:extLst>
            <a:ext uri="{FF2B5EF4-FFF2-40B4-BE49-F238E27FC236}">
              <a16:creationId xmlns:a16="http://schemas.microsoft.com/office/drawing/2014/main" id="{02573457-84D1-4599-8C10-8FD79D0D4DE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8" name="Text Box 910">
          <a:extLst>
            <a:ext uri="{FF2B5EF4-FFF2-40B4-BE49-F238E27FC236}">
              <a16:creationId xmlns:a16="http://schemas.microsoft.com/office/drawing/2014/main" id="{CA2F2D2E-C403-4C96-AE65-98235107A4A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29" name="Text Box 910">
          <a:extLst>
            <a:ext uri="{FF2B5EF4-FFF2-40B4-BE49-F238E27FC236}">
              <a16:creationId xmlns:a16="http://schemas.microsoft.com/office/drawing/2014/main" id="{134F4ED0-07EC-422A-9DDC-F30A591C9FF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0" name="Text Box 910">
          <a:extLst>
            <a:ext uri="{FF2B5EF4-FFF2-40B4-BE49-F238E27FC236}">
              <a16:creationId xmlns:a16="http://schemas.microsoft.com/office/drawing/2014/main" id="{38292C65-08D0-44CE-B09A-6C9F63E3091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1" name="Text Box 910">
          <a:extLst>
            <a:ext uri="{FF2B5EF4-FFF2-40B4-BE49-F238E27FC236}">
              <a16:creationId xmlns:a16="http://schemas.microsoft.com/office/drawing/2014/main" id="{C00E26D3-7F51-48C0-B6B8-0A56E5B3B29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2" name="Text Box 910">
          <a:extLst>
            <a:ext uri="{FF2B5EF4-FFF2-40B4-BE49-F238E27FC236}">
              <a16:creationId xmlns:a16="http://schemas.microsoft.com/office/drawing/2014/main" id="{F68FFA49-7ACC-414C-A673-2DB4AD870B9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3" name="Text Box 910">
          <a:extLst>
            <a:ext uri="{FF2B5EF4-FFF2-40B4-BE49-F238E27FC236}">
              <a16:creationId xmlns:a16="http://schemas.microsoft.com/office/drawing/2014/main" id="{6B53BC2B-D1FB-47AB-BFE1-9534ADF9FE4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4" name="Text Box 910">
          <a:extLst>
            <a:ext uri="{FF2B5EF4-FFF2-40B4-BE49-F238E27FC236}">
              <a16:creationId xmlns:a16="http://schemas.microsoft.com/office/drawing/2014/main" id="{9961B167-6A66-4DE0-A731-D953A0CE7BD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5" name="Text Box 910">
          <a:extLst>
            <a:ext uri="{FF2B5EF4-FFF2-40B4-BE49-F238E27FC236}">
              <a16:creationId xmlns:a16="http://schemas.microsoft.com/office/drawing/2014/main" id="{F0C5B93C-41C6-4B41-80ED-69FCC1C51CC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6" name="Text Box 910">
          <a:extLst>
            <a:ext uri="{FF2B5EF4-FFF2-40B4-BE49-F238E27FC236}">
              <a16:creationId xmlns:a16="http://schemas.microsoft.com/office/drawing/2014/main" id="{626346AC-1DAE-443D-850E-08772B7F9A9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7" name="Text Box 910">
          <a:extLst>
            <a:ext uri="{FF2B5EF4-FFF2-40B4-BE49-F238E27FC236}">
              <a16:creationId xmlns:a16="http://schemas.microsoft.com/office/drawing/2014/main" id="{4CBA3E05-3BB4-4EAA-A499-81BD1DA5042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8" name="Text Box 910">
          <a:extLst>
            <a:ext uri="{FF2B5EF4-FFF2-40B4-BE49-F238E27FC236}">
              <a16:creationId xmlns:a16="http://schemas.microsoft.com/office/drawing/2014/main" id="{BA46CC74-E425-43A6-8120-0A73674A08B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39" name="Text Box 910">
          <a:extLst>
            <a:ext uri="{FF2B5EF4-FFF2-40B4-BE49-F238E27FC236}">
              <a16:creationId xmlns:a16="http://schemas.microsoft.com/office/drawing/2014/main" id="{79498A0C-8ADB-4194-B5AB-48BD51F417A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0" name="Text Box 910">
          <a:extLst>
            <a:ext uri="{FF2B5EF4-FFF2-40B4-BE49-F238E27FC236}">
              <a16:creationId xmlns:a16="http://schemas.microsoft.com/office/drawing/2014/main" id="{6476BF63-F3E8-47B7-8BC7-4BA6AFAC603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1" name="Text Box 910">
          <a:extLst>
            <a:ext uri="{FF2B5EF4-FFF2-40B4-BE49-F238E27FC236}">
              <a16:creationId xmlns:a16="http://schemas.microsoft.com/office/drawing/2014/main" id="{2934BCC0-97E9-4B68-B220-58D72F5EBE1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2" name="Text Box 910">
          <a:extLst>
            <a:ext uri="{FF2B5EF4-FFF2-40B4-BE49-F238E27FC236}">
              <a16:creationId xmlns:a16="http://schemas.microsoft.com/office/drawing/2014/main" id="{FFD7A09C-4E76-4859-8FFC-810E8C11B00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3" name="Text Box 910">
          <a:extLst>
            <a:ext uri="{FF2B5EF4-FFF2-40B4-BE49-F238E27FC236}">
              <a16:creationId xmlns:a16="http://schemas.microsoft.com/office/drawing/2014/main" id="{DF7F02DA-BD22-4984-8477-A1D17DA8B3E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4" name="Text Box 910">
          <a:extLst>
            <a:ext uri="{FF2B5EF4-FFF2-40B4-BE49-F238E27FC236}">
              <a16:creationId xmlns:a16="http://schemas.microsoft.com/office/drawing/2014/main" id="{A4E54C2C-2FEE-417A-AC82-0E41F8BA7FF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5" name="Text Box 910">
          <a:extLst>
            <a:ext uri="{FF2B5EF4-FFF2-40B4-BE49-F238E27FC236}">
              <a16:creationId xmlns:a16="http://schemas.microsoft.com/office/drawing/2014/main" id="{BBF9AD34-E1B7-4E94-92EE-8800C8A6A6F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6" name="Text Box 910">
          <a:extLst>
            <a:ext uri="{FF2B5EF4-FFF2-40B4-BE49-F238E27FC236}">
              <a16:creationId xmlns:a16="http://schemas.microsoft.com/office/drawing/2014/main" id="{E70CCFD6-BFC4-40FB-BCDF-1EEEA6BE1E8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7" name="Text Box 910">
          <a:extLst>
            <a:ext uri="{FF2B5EF4-FFF2-40B4-BE49-F238E27FC236}">
              <a16:creationId xmlns:a16="http://schemas.microsoft.com/office/drawing/2014/main" id="{571874C6-1F83-4360-B76C-FB6762A4FEC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8" name="Text Box 910">
          <a:extLst>
            <a:ext uri="{FF2B5EF4-FFF2-40B4-BE49-F238E27FC236}">
              <a16:creationId xmlns:a16="http://schemas.microsoft.com/office/drawing/2014/main" id="{A186894D-AEE4-407E-ADA1-39B412CBC98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49" name="Text Box 910">
          <a:extLst>
            <a:ext uri="{FF2B5EF4-FFF2-40B4-BE49-F238E27FC236}">
              <a16:creationId xmlns:a16="http://schemas.microsoft.com/office/drawing/2014/main" id="{AD9CD4C9-F9CD-48CE-A013-EFF0224D147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0" name="Text Box 910">
          <a:extLst>
            <a:ext uri="{FF2B5EF4-FFF2-40B4-BE49-F238E27FC236}">
              <a16:creationId xmlns:a16="http://schemas.microsoft.com/office/drawing/2014/main" id="{6B8F651F-445C-4AF8-A0C7-456696E69BC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1" name="Text Box 910">
          <a:extLst>
            <a:ext uri="{FF2B5EF4-FFF2-40B4-BE49-F238E27FC236}">
              <a16:creationId xmlns:a16="http://schemas.microsoft.com/office/drawing/2014/main" id="{EE536595-5BA7-4822-87F2-C2B14D45DFE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2" name="Text Box 910">
          <a:extLst>
            <a:ext uri="{FF2B5EF4-FFF2-40B4-BE49-F238E27FC236}">
              <a16:creationId xmlns:a16="http://schemas.microsoft.com/office/drawing/2014/main" id="{6E6D92C5-1FBA-4845-A474-8E5FDEAA957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3" name="Text Box 910">
          <a:extLst>
            <a:ext uri="{FF2B5EF4-FFF2-40B4-BE49-F238E27FC236}">
              <a16:creationId xmlns:a16="http://schemas.microsoft.com/office/drawing/2014/main" id="{B4CF731B-1AB2-41A7-87C9-DD9F8F00ED4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4" name="Text Box 910">
          <a:extLst>
            <a:ext uri="{FF2B5EF4-FFF2-40B4-BE49-F238E27FC236}">
              <a16:creationId xmlns:a16="http://schemas.microsoft.com/office/drawing/2014/main" id="{5B7F644D-49D9-4A49-AC06-71522882A17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5" name="Text Box 910">
          <a:extLst>
            <a:ext uri="{FF2B5EF4-FFF2-40B4-BE49-F238E27FC236}">
              <a16:creationId xmlns:a16="http://schemas.microsoft.com/office/drawing/2014/main" id="{B7A2FA80-4111-4592-810D-A6C46C8CADB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6" name="Text Box 910">
          <a:extLst>
            <a:ext uri="{FF2B5EF4-FFF2-40B4-BE49-F238E27FC236}">
              <a16:creationId xmlns:a16="http://schemas.microsoft.com/office/drawing/2014/main" id="{91AE0B1F-B299-4B48-9AA5-DAD5C2514E0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7" name="Text Box 910">
          <a:extLst>
            <a:ext uri="{FF2B5EF4-FFF2-40B4-BE49-F238E27FC236}">
              <a16:creationId xmlns:a16="http://schemas.microsoft.com/office/drawing/2014/main" id="{0F405C8D-B34C-4169-8C3F-8C7B19E9DF4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8" name="Text Box 910">
          <a:extLst>
            <a:ext uri="{FF2B5EF4-FFF2-40B4-BE49-F238E27FC236}">
              <a16:creationId xmlns:a16="http://schemas.microsoft.com/office/drawing/2014/main" id="{EA55BDB0-6E29-485E-85E3-FADC8AE2242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59" name="Text Box 910">
          <a:extLst>
            <a:ext uri="{FF2B5EF4-FFF2-40B4-BE49-F238E27FC236}">
              <a16:creationId xmlns:a16="http://schemas.microsoft.com/office/drawing/2014/main" id="{EF9226EF-1805-40AF-95CF-3D23FC5281C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0" name="Text Box 910">
          <a:extLst>
            <a:ext uri="{FF2B5EF4-FFF2-40B4-BE49-F238E27FC236}">
              <a16:creationId xmlns:a16="http://schemas.microsoft.com/office/drawing/2014/main" id="{B752275C-C6BC-40F0-9EE0-16B68E193F0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1" name="Text Box 910">
          <a:extLst>
            <a:ext uri="{FF2B5EF4-FFF2-40B4-BE49-F238E27FC236}">
              <a16:creationId xmlns:a16="http://schemas.microsoft.com/office/drawing/2014/main" id="{B8089E46-4568-44ED-9DC7-AA5B6865F00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2" name="Text Box 910">
          <a:extLst>
            <a:ext uri="{FF2B5EF4-FFF2-40B4-BE49-F238E27FC236}">
              <a16:creationId xmlns:a16="http://schemas.microsoft.com/office/drawing/2014/main" id="{8A344061-0FD8-41EB-91B9-1785FD9C54C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3" name="Text Box 910">
          <a:extLst>
            <a:ext uri="{FF2B5EF4-FFF2-40B4-BE49-F238E27FC236}">
              <a16:creationId xmlns:a16="http://schemas.microsoft.com/office/drawing/2014/main" id="{61E010A9-8DEA-4519-9E27-BC605389D19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4" name="Text Box 910">
          <a:extLst>
            <a:ext uri="{FF2B5EF4-FFF2-40B4-BE49-F238E27FC236}">
              <a16:creationId xmlns:a16="http://schemas.microsoft.com/office/drawing/2014/main" id="{A2A949E2-377A-4D7B-BC74-411B4B912D5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5" name="Text Box 910">
          <a:extLst>
            <a:ext uri="{FF2B5EF4-FFF2-40B4-BE49-F238E27FC236}">
              <a16:creationId xmlns:a16="http://schemas.microsoft.com/office/drawing/2014/main" id="{F294ADCB-A3B1-493E-8D70-74E40E6D046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6" name="Text Box 910">
          <a:extLst>
            <a:ext uri="{FF2B5EF4-FFF2-40B4-BE49-F238E27FC236}">
              <a16:creationId xmlns:a16="http://schemas.microsoft.com/office/drawing/2014/main" id="{B3389FBB-F73B-4D90-95FD-9D74B59E070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7" name="Text Box 910">
          <a:extLst>
            <a:ext uri="{FF2B5EF4-FFF2-40B4-BE49-F238E27FC236}">
              <a16:creationId xmlns:a16="http://schemas.microsoft.com/office/drawing/2014/main" id="{B0EE90A5-5A7B-4E88-82BC-AE45E1B7317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8" name="Text Box 910">
          <a:extLst>
            <a:ext uri="{FF2B5EF4-FFF2-40B4-BE49-F238E27FC236}">
              <a16:creationId xmlns:a16="http://schemas.microsoft.com/office/drawing/2014/main" id="{AE721EA3-7FAB-4BC4-93FD-4B11F4FE4A0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69" name="Text Box 910">
          <a:extLst>
            <a:ext uri="{FF2B5EF4-FFF2-40B4-BE49-F238E27FC236}">
              <a16:creationId xmlns:a16="http://schemas.microsoft.com/office/drawing/2014/main" id="{245D6206-496C-4699-B221-8B76B02A447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0" name="Text Box 910">
          <a:extLst>
            <a:ext uri="{FF2B5EF4-FFF2-40B4-BE49-F238E27FC236}">
              <a16:creationId xmlns:a16="http://schemas.microsoft.com/office/drawing/2014/main" id="{6621BDCD-FEEB-4D03-A447-3AB15952A5B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1" name="Text Box 910">
          <a:extLst>
            <a:ext uri="{FF2B5EF4-FFF2-40B4-BE49-F238E27FC236}">
              <a16:creationId xmlns:a16="http://schemas.microsoft.com/office/drawing/2014/main" id="{AEAB29B1-758B-4C8C-BFBC-F66C9233B3A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2" name="Text Box 910">
          <a:extLst>
            <a:ext uri="{FF2B5EF4-FFF2-40B4-BE49-F238E27FC236}">
              <a16:creationId xmlns:a16="http://schemas.microsoft.com/office/drawing/2014/main" id="{DB8570A3-99FC-4ED4-9728-9F2EEDFCB5F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3" name="Text Box 910">
          <a:extLst>
            <a:ext uri="{FF2B5EF4-FFF2-40B4-BE49-F238E27FC236}">
              <a16:creationId xmlns:a16="http://schemas.microsoft.com/office/drawing/2014/main" id="{2542A542-7006-479F-A530-B68A5EBC52E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4" name="Text Box 910">
          <a:extLst>
            <a:ext uri="{FF2B5EF4-FFF2-40B4-BE49-F238E27FC236}">
              <a16:creationId xmlns:a16="http://schemas.microsoft.com/office/drawing/2014/main" id="{0C6AF0A2-3E98-43A4-9A66-91464C9DAC8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5" name="Text Box 910">
          <a:extLst>
            <a:ext uri="{FF2B5EF4-FFF2-40B4-BE49-F238E27FC236}">
              <a16:creationId xmlns:a16="http://schemas.microsoft.com/office/drawing/2014/main" id="{CF912B9D-E6DF-4AA8-BCF8-1A3C5E810FA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6" name="Text Box 910">
          <a:extLst>
            <a:ext uri="{FF2B5EF4-FFF2-40B4-BE49-F238E27FC236}">
              <a16:creationId xmlns:a16="http://schemas.microsoft.com/office/drawing/2014/main" id="{BB6ED05D-F8B4-4DEB-B936-A060D208543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7" name="Text Box 910">
          <a:extLst>
            <a:ext uri="{FF2B5EF4-FFF2-40B4-BE49-F238E27FC236}">
              <a16:creationId xmlns:a16="http://schemas.microsoft.com/office/drawing/2014/main" id="{21006331-4890-49A8-82F0-E184CB3C835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8" name="Text Box 910">
          <a:extLst>
            <a:ext uri="{FF2B5EF4-FFF2-40B4-BE49-F238E27FC236}">
              <a16:creationId xmlns:a16="http://schemas.microsoft.com/office/drawing/2014/main" id="{9A305DC1-708C-478E-8094-42327ACD911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79" name="Text Box 910">
          <a:extLst>
            <a:ext uri="{FF2B5EF4-FFF2-40B4-BE49-F238E27FC236}">
              <a16:creationId xmlns:a16="http://schemas.microsoft.com/office/drawing/2014/main" id="{0736F7A2-68DF-4606-BAE4-A2D9A5D1111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0" name="Text Box 910">
          <a:extLst>
            <a:ext uri="{FF2B5EF4-FFF2-40B4-BE49-F238E27FC236}">
              <a16:creationId xmlns:a16="http://schemas.microsoft.com/office/drawing/2014/main" id="{61F94A46-D115-4C77-9997-F969388B899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1" name="Text Box 910">
          <a:extLst>
            <a:ext uri="{FF2B5EF4-FFF2-40B4-BE49-F238E27FC236}">
              <a16:creationId xmlns:a16="http://schemas.microsoft.com/office/drawing/2014/main" id="{5CA77665-86D2-41B7-8880-4A728E912CD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2" name="Text Box 910">
          <a:extLst>
            <a:ext uri="{FF2B5EF4-FFF2-40B4-BE49-F238E27FC236}">
              <a16:creationId xmlns:a16="http://schemas.microsoft.com/office/drawing/2014/main" id="{353D7B5F-D2A6-40A2-AAD7-C90D597198D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3" name="Text Box 910">
          <a:extLst>
            <a:ext uri="{FF2B5EF4-FFF2-40B4-BE49-F238E27FC236}">
              <a16:creationId xmlns:a16="http://schemas.microsoft.com/office/drawing/2014/main" id="{7A8D593B-6C0A-466C-9579-CA2C45037CC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4" name="Text Box 910">
          <a:extLst>
            <a:ext uri="{FF2B5EF4-FFF2-40B4-BE49-F238E27FC236}">
              <a16:creationId xmlns:a16="http://schemas.microsoft.com/office/drawing/2014/main" id="{D25CEC58-2406-4492-B19A-D1E4B571E4C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5" name="Text Box 910">
          <a:extLst>
            <a:ext uri="{FF2B5EF4-FFF2-40B4-BE49-F238E27FC236}">
              <a16:creationId xmlns:a16="http://schemas.microsoft.com/office/drawing/2014/main" id="{0AF7E5BD-04B8-405F-B74A-7A35378BCA9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6" name="Text Box 910">
          <a:extLst>
            <a:ext uri="{FF2B5EF4-FFF2-40B4-BE49-F238E27FC236}">
              <a16:creationId xmlns:a16="http://schemas.microsoft.com/office/drawing/2014/main" id="{5E93533C-DF90-4467-B6F0-3F52DF21533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7" name="Text Box 910">
          <a:extLst>
            <a:ext uri="{FF2B5EF4-FFF2-40B4-BE49-F238E27FC236}">
              <a16:creationId xmlns:a16="http://schemas.microsoft.com/office/drawing/2014/main" id="{F2FD4678-09EE-4AB0-A58B-275516F7C17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8" name="Text Box 910">
          <a:extLst>
            <a:ext uri="{FF2B5EF4-FFF2-40B4-BE49-F238E27FC236}">
              <a16:creationId xmlns:a16="http://schemas.microsoft.com/office/drawing/2014/main" id="{679CFA46-52BE-42D5-8539-7E6885D220D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89" name="Text Box 910">
          <a:extLst>
            <a:ext uri="{FF2B5EF4-FFF2-40B4-BE49-F238E27FC236}">
              <a16:creationId xmlns:a16="http://schemas.microsoft.com/office/drawing/2014/main" id="{F11C3B0A-2995-413F-A366-017BBD9B81B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0" name="Text Box 910">
          <a:extLst>
            <a:ext uri="{FF2B5EF4-FFF2-40B4-BE49-F238E27FC236}">
              <a16:creationId xmlns:a16="http://schemas.microsoft.com/office/drawing/2014/main" id="{B24127A1-E372-49E8-A7CF-266838B09A8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1" name="Text Box 910">
          <a:extLst>
            <a:ext uri="{FF2B5EF4-FFF2-40B4-BE49-F238E27FC236}">
              <a16:creationId xmlns:a16="http://schemas.microsoft.com/office/drawing/2014/main" id="{4F03483B-EED7-4BAD-A894-077322619B8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2" name="Text Box 910">
          <a:extLst>
            <a:ext uri="{FF2B5EF4-FFF2-40B4-BE49-F238E27FC236}">
              <a16:creationId xmlns:a16="http://schemas.microsoft.com/office/drawing/2014/main" id="{266B738A-06CC-412F-958F-4B13CA70505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3" name="Text Box 910">
          <a:extLst>
            <a:ext uri="{FF2B5EF4-FFF2-40B4-BE49-F238E27FC236}">
              <a16:creationId xmlns:a16="http://schemas.microsoft.com/office/drawing/2014/main" id="{BE4F98A4-425A-4CA2-A77C-762EEA2B62D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4" name="Text Box 910">
          <a:extLst>
            <a:ext uri="{FF2B5EF4-FFF2-40B4-BE49-F238E27FC236}">
              <a16:creationId xmlns:a16="http://schemas.microsoft.com/office/drawing/2014/main" id="{F15E46B6-8D05-4B7E-AFF6-32B5BD047C5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5" name="Text Box 910">
          <a:extLst>
            <a:ext uri="{FF2B5EF4-FFF2-40B4-BE49-F238E27FC236}">
              <a16:creationId xmlns:a16="http://schemas.microsoft.com/office/drawing/2014/main" id="{DCD8FD0E-5552-4AEC-9EB7-910A45AECA1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6" name="Text Box 910">
          <a:extLst>
            <a:ext uri="{FF2B5EF4-FFF2-40B4-BE49-F238E27FC236}">
              <a16:creationId xmlns:a16="http://schemas.microsoft.com/office/drawing/2014/main" id="{1A223C4F-8586-41F0-AE80-63E0755D301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7" name="Text Box 910">
          <a:extLst>
            <a:ext uri="{FF2B5EF4-FFF2-40B4-BE49-F238E27FC236}">
              <a16:creationId xmlns:a16="http://schemas.microsoft.com/office/drawing/2014/main" id="{651F0F2A-376F-4961-BF37-D57872C47E2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8" name="Text Box 910">
          <a:extLst>
            <a:ext uri="{FF2B5EF4-FFF2-40B4-BE49-F238E27FC236}">
              <a16:creationId xmlns:a16="http://schemas.microsoft.com/office/drawing/2014/main" id="{74E6D356-6C02-4F14-8E26-4B4AB331568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699" name="Text Box 910">
          <a:extLst>
            <a:ext uri="{FF2B5EF4-FFF2-40B4-BE49-F238E27FC236}">
              <a16:creationId xmlns:a16="http://schemas.microsoft.com/office/drawing/2014/main" id="{B78E7865-1C25-4CA6-B4BB-B4FA4FB0996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0" name="Text Box 910">
          <a:extLst>
            <a:ext uri="{FF2B5EF4-FFF2-40B4-BE49-F238E27FC236}">
              <a16:creationId xmlns:a16="http://schemas.microsoft.com/office/drawing/2014/main" id="{B2B97436-4E64-4A44-B78A-EE71B6BEF87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1" name="Text Box 910">
          <a:extLst>
            <a:ext uri="{FF2B5EF4-FFF2-40B4-BE49-F238E27FC236}">
              <a16:creationId xmlns:a16="http://schemas.microsoft.com/office/drawing/2014/main" id="{0AC25ADE-7744-4E78-8ECF-C8AF60A9272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2" name="Text Box 910">
          <a:extLst>
            <a:ext uri="{FF2B5EF4-FFF2-40B4-BE49-F238E27FC236}">
              <a16:creationId xmlns:a16="http://schemas.microsoft.com/office/drawing/2014/main" id="{A0A10CDF-13A1-410C-8340-11EE9206E8A2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3" name="Text Box 910">
          <a:extLst>
            <a:ext uri="{FF2B5EF4-FFF2-40B4-BE49-F238E27FC236}">
              <a16:creationId xmlns:a16="http://schemas.microsoft.com/office/drawing/2014/main" id="{8105F3B9-ED3F-4E1A-BC64-6FB592D7D40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4" name="Text Box 910">
          <a:extLst>
            <a:ext uri="{FF2B5EF4-FFF2-40B4-BE49-F238E27FC236}">
              <a16:creationId xmlns:a16="http://schemas.microsoft.com/office/drawing/2014/main" id="{BB48FAD0-4E73-4D73-9E68-0305F6FD72B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5" name="Text Box 910">
          <a:extLst>
            <a:ext uri="{FF2B5EF4-FFF2-40B4-BE49-F238E27FC236}">
              <a16:creationId xmlns:a16="http://schemas.microsoft.com/office/drawing/2014/main" id="{5A1FA0EB-D4F7-4624-B271-12887852043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6" name="Text Box 910">
          <a:extLst>
            <a:ext uri="{FF2B5EF4-FFF2-40B4-BE49-F238E27FC236}">
              <a16:creationId xmlns:a16="http://schemas.microsoft.com/office/drawing/2014/main" id="{39FE3E32-A7BE-4477-A058-EDE1DC48DFD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7" name="Text Box 910">
          <a:extLst>
            <a:ext uri="{FF2B5EF4-FFF2-40B4-BE49-F238E27FC236}">
              <a16:creationId xmlns:a16="http://schemas.microsoft.com/office/drawing/2014/main" id="{9041CA5C-3E48-4415-9FC1-0229323953D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8" name="Text Box 910">
          <a:extLst>
            <a:ext uri="{FF2B5EF4-FFF2-40B4-BE49-F238E27FC236}">
              <a16:creationId xmlns:a16="http://schemas.microsoft.com/office/drawing/2014/main" id="{E5D12B27-6908-4CCC-AA37-4051A7091B5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09" name="Text Box 910">
          <a:extLst>
            <a:ext uri="{FF2B5EF4-FFF2-40B4-BE49-F238E27FC236}">
              <a16:creationId xmlns:a16="http://schemas.microsoft.com/office/drawing/2014/main" id="{992E2B3A-1E99-4E20-BBBF-C55729AAC41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0" name="Text Box 910">
          <a:extLst>
            <a:ext uri="{FF2B5EF4-FFF2-40B4-BE49-F238E27FC236}">
              <a16:creationId xmlns:a16="http://schemas.microsoft.com/office/drawing/2014/main" id="{B96524E1-904C-48FE-B0EF-CB571A9969F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1" name="Text Box 910">
          <a:extLst>
            <a:ext uri="{FF2B5EF4-FFF2-40B4-BE49-F238E27FC236}">
              <a16:creationId xmlns:a16="http://schemas.microsoft.com/office/drawing/2014/main" id="{4C027988-BBA4-47E1-91A7-F9985B590DD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2" name="Text Box 910">
          <a:extLst>
            <a:ext uri="{FF2B5EF4-FFF2-40B4-BE49-F238E27FC236}">
              <a16:creationId xmlns:a16="http://schemas.microsoft.com/office/drawing/2014/main" id="{38D7EE82-DE3C-419D-B233-9EB48D6C89C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3" name="Text Box 910">
          <a:extLst>
            <a:ext uri="{FF2B5EF4-FFF2-40B4-BE49-F238E27FC236}">
              <a16:creationId xmlns:a16="http://schemas.microsoft.com/office/drawing/2014/main" id="{8DD1EFBC-6911-4A82-90FA-08A294825B3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4" name="Text Box 910">
          <a:extLst>
            <a:ext uri="{FF2B5EF4-FFF2-40B4-BE49-F238E27FC236}">
              <a16:creationId xmlns:a16="http://schemas.microsoft.com/office/drawing/2014/main" id="{362FAE7D-22A6-460C-A57A-1A80303B468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5" name="Text Box 910">
          <a:extLst>
            <a:ext uri="{FF2B5EF4-FFF2-40B4-BE49-F238E27FC236}">
              <a16:creationId xmlns:a16="http://schemas.microsoft.com/office/drawing/2014/main" id="{5AEEE91A-0CFC-4224-A7CA-D42AF19CD3D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6" name="Text Box 910">
          <a:extLst>
            <a:ext uri="{FF2B5EF4-FFF2-40B4-BE49-F238E27FC236}">
              <a16:creationId xmlns:a16="http://schemas.microsoft.com/office/drawing/2014/main" id="{AD800218-B8C2-43EF-87DC-FDC76F00B73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7" name="Text Box 910">
          <a:extLst>
            <a:ext uri="{FF2B5EF4-FFF2-40B4-BE49-F238E27FC236}">
              <a16:creationId xmlns:a16="http://schemas.microsoft.com/office/drawing/2014/main" id="{A300B721-6170-42D4-8D15-8523E91E671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8" name="Text Box 910">
          <a:extLst>
            <a:ext uri="{FF2B5EF4-FFF2-40B4-BE49-F238E27FC236}">
              <a16:creationId xmlns:a16="http://schemas.microsoft.com/office/drawing/2014/main" id="{36840020-950E-4A1D-ABAA-BD32F0A8212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19" name="Text Box 910">
          <a:extLst>
            <a:ext uri="{FF2B5EF4-FFF2-40B4-BE49-F238E27FC236}">
              <a16:creationId xmlns:a16="http://schemas.microsoft.com/office/drawing/2014/main" id="{61FCAAD8-F3AE-4EAC-9376-A2DC9C04420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0" name="Text Box 910">
          <a:extLst>
            <a:ext uri="{FF2B5EF4-FFF2-40B4-BE49-F238E27FC236}">
              <a16:creationId xmlns:a16="http://schemas.microsoft.com/office/drawing/2014/main" id="{5EF0CDBD-F570-411C-A07F-5C673DA78BF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1" name="Text Box 910">
          <a:extLst>
            <a:ext uri="{FF2B5EF4-FFF2-40B4-BE49-F238E27FC236}">
              <a16:creationId xmlns:a16="http://schemas.microsoft.com/office/drawing/2014/main" id="{A3F0230A-AA88-45F5-86C9-0C33B9672CE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2" name="Text Box 910">
          <a:extLst>
            <a:ext uri="{FF2B5EF4-FFF2-40B4-BE49-F238E27FC236}">
              <a16:creationId xmlns:a16="http://schemas.microsoft.com/office/drawing/2014/main" id="{AD6F882A-358C-4B76-AE7D-BB64557147A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3" name="Text Box 910">
          <a:extLst>
            <a:ext uri="{FF2B5EF4-FFF2-40B4-BE49-F238E27FC236}">
              <a16:creationId xmlns:a16="http://schemas.microsoft.com/office/drawing/2014/main" id="{BCF02C3C-D296-4680-BD84-EAD5C391338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4" name="Text Box 910">
          <a:extLst>
            <a:ext uri="{FF2B5EF4-FFF2-40B4-BE49-F238E27FC236}">
              <a16:creationId xmlns:a16="http://schemas.microsoft.com/office/drawing/2014/main" id="{7EB256E7-1483-40E7-AC2A-52CE5F33705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5" name="Text Box 910">
          <a:extLst>
            <a:ext uri="{FF2B5EF4-FFF2-40B4-BE49-F238E27FC236}">
              <a16:creationId xmlns:a16="http://schemas.microsoft.com/office/drawing/2014/main" id="{6FF5B87C-AFB2-4793-856D-81FC73FAAE9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6" name="Text Box 910">
          <a:extLst>
            <a:ext uri="{FF2B5EF4-FFF2-40B4-BE49-F238E27FC236}">
              <a16:creationId xmlns:a16="http://schemas.microsoft.com/office/drawing/2014/main" id="{D0B27C5C-E987-4CB0-8254-012E0CEF53E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7" name="Text Box 910">
          <a:extLst>
            <a:ext uri="{FF2B5EF4-FFF2-40B4-BE49-F238E27FC236}">
              <a16:creationId xmlns:a16="http://schemas.microsoft.com/office/drawing/2014/main" id="{7903E552-B51B-4F50-BE9D-9ECC266BA9C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8" name="Text Box 910">
          <a:extLst>
            <a:ext uri="{FF2B5EF4-FFF2-40B4-BE49-F238E27FC236}">
              <a16:creationId xmlns:a16="http://schemas.microsoft.com/office/drawing/2014/main" id="{85FF0314-8783-4034-813F-06C96B38A9C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29" name="Text Box 910">
          <a:extLst>
            <a:ext uri="{FF2B5EF4-FFF2-40B4-BE49-F238E27FC236}">
              <a16:creationId xmlns:a16="http://schemas.microsoft.com/office/drawing/2014/main" id="{3846AAB3-1C50-4949-8B12-1F732730C7D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0" name="Text Box 910">
          <a:extLst>
            <a:ext uri="{FF2B5EF4-FFF2-40B4-BE49-F238E27FC236}">
              <a16:creationId xmlns:a16="http://schemas.microsoft.com/office/drawing/2014/main" id="{B8D851C7-29E2-434E-BB84-DA97AA03157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1" name="Text Box 910">
          <a:extLst>
            <a:ext uri="{FF2B5EF4-FFF2-40B4-BE49-F238E27FC236}">
              <a16:creationId xmlns:a16="http://schemas.microsoft.com/office/drawing/2014/main" id="{13F1FF57-5307-432B-BF51-011CD24C1CC1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2" name="Text Box 910">
          <a:extLst>
            <a:ext uri="{FF2B5EF4-FFF2-40B4-BE49-F238E27FC236}">
              <a16:creationId xmlns:a16="http://schemas.microsoft.com/office/drawing/2014/main" id="{BA63859D-15B6-4D8F-9CAF-23A1A4F406E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3" name="Text Box 910">
          <a:extLst>
            <a:ext uri="{FF2B5EF4-FFF2-40B4-BE49-F238E27FC236}">
              <a16:creationId xmlns:a16="http://schemas.microsoft.com/office/drawing/2014/main" id="{C8D13CCF-90F3-4431-BFED-AE7CE2FD0ABA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4" name="Text Box 910">
          <a:extLst>
            <a:ext uri="{FF2B5EF4-FFF2-40B4-BE49-F238E27FC236}">
              <a16:creationId xmlns:a16="http://schemas.microsoft.com/office/drawing/2014/main" id="{87E5509A-7DA7-45B9-A723-43DC4F2524B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5" name="Text Box 910">
          <a:extLst>
            <a:ext uri="{FF2B5EF4-FFF2-40B4-BE49-F238E27FC236}">
              <a16:creationId xmlns:a16="http://schemas.microsoft.com/office/drawing/2014/main" id="{4A8E9B6D-8FE4-4502-B4EA-93368B03A735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6" name="Text Box 910">
          <a:extLst>
            <a:ext uri="{FF2B5EF4-FFF2-40B4-BE49-F238E27FC236}">
              <a16:creationId xmlns:a16="http://schemas.microsoft.com/office/drawing/2014/main" id="{F035D98A-CD6C-4539-82E8-E8C4EC97CA53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7" name="Text Box 910">
          <a:extLst>
            <a:ext uri="{FF2B5EF4-FFF2-40B4-BE49-F238E27FC236}">
              <a16:creationId xmlns:a16="http://schemas.microsoft.com/office/drawing/2014/main" id="{7FF3E0BD-F9BA-4E62-97C7-D25716A3AAF0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8" name="Text Box 910">
          <a:extLst>
            <a:ext uri="{FF2B5EF4-FFF2-40B4-BE49-F238E27FC236}">
              <a16:creationId xmlns:a16="http://schemas.microsoft.com/office/drawing/2014/main" id="{B5912825-52F7-4BD7-BEEA-F081FBBEDA9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39" name="Text Box 910">
          <a:extLst>
            <a:ext uri="{FF2B5EF4-FFF2-40B4-BE49-F238E27FC236}">
              <a16:creationId xmlns:a16="http://schemas.microsoft.com/office/drawing/2014/main" id="{14780C1A-5C16-49A8-B8E8-2619539FC846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0" name="Text Box 910">
          <a:extLst>
            <a:ext uri="{FF2B5EF4-FFF2-40B4-BE49-F238E27FC236}">
              <a16:creationId xmlns:a16="http://schemas.microsoft.com/office/drawing/2014/main" id="{26A76DD4-3E14-465D-8D81-956EEA6CCCAF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1" name="Text Box 910">
          <a:extLst>
            <a:ext uri="{FF2B5EF4-FFF2-40B4-BE49-F238E27FC236}">
              <a16:creationId xmlns:a16="http://schemas.microsoft.com/office/drawing/2014/main" id="{A2EEAE1B-291D-4F4F-94E7-FD81215FA44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2" name="Text Box 910">
          <a:extLst>
            <a:ext uri="{FF2B5EF4-FFF2-40B4-BE49-F238E27FC236}">
              <a16:creationId xmlns:a16="http://schemas.microsoft.com/office/drawing/2014/main" id="{D247BD97-A4AE-4DEB-A476-AD5DDA86147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3" name="Text Box 910">
          <a:extLst>
            <a:ext uri="{FF2B5EF4-FFF2-40B4-BE49-F238E27FC236}">
              <a16:creationId xmlns:a16="http://schemas.microsoft.com/office/drawing/2014/main" id="{83B5620B-BEA4-46B1-973E-652CFD8BDD37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4" name="Text Box 910">
          <a:extLst>
            <a:ext uri="{FF2B5EF4-FFF2-40B4-BE49-F238E27FC236}">
              <a16:creationId xmlns:a16="http://schemas.microsoft.com/office/drawing/2014/main" id="{8FC8252D-8F58-4E4C-BF85-BBEAF5193BC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5" name="Text Box 910">
          <a:extLst>
            <a:ext uri="{FF2B5EF4-FFF2-40B4-BE49-F238E27FC236}">
              <a16:creationId xmlns:a16="http://schemas.microsoft.com/office/drawing/2014/main" id="{5BDC528A-C464-4D6F-933B-BF73AA08117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6" name="Text Box 910">
          <a:extLst>
            <a:ext uri="{FF2B5EF4-FFF2-40B4-BE49-F238E27FC236}">
              <a16:creationId xmlns:a16="http://schemas.microsoft.com/office/drawing/2014/main" id="{6C4E42B0-D8A2-4D72-B3FA-754AE2C2E5B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7" name="Text Box 910">
          <a:extLst>
            <a:ext uri="{FF2B5EF4-FFF2-40B4-BE49-F238E27FC236}">
              <a16:creationId xmlns:a16="http://schemas.microsoft.com/office/drawing/2014/main" id="{74AB590C-457E-4EA1-8374-BA0E3A7AE5DE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8" name="Text Box 910">
          <a:extLst>
            <a:ext uri="{FF2B5EF4-FFF2-40B4-BE49-F238E27FC236}">
              <a16:creationId xmlns:a16="http://schemas.microsoft.com/office/drawing/2014/main" id="{F72440B1-BDA0-4BDF-9581-9A92C67D19CD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49" name="Text Box 910">
          <a:extLst>
            <a:ext uri="{FF2B5EF4-FFF2-40B4-BE49-F238E27FC236}">
              <a16:creationId xmlns:a16="http://schemas.microsoft.com/office/drawing/2014/main" id="{8357835A-8F28-4DB4-9713-93D6099AF73B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50" name="Text Box 910">
          <a:extLst>
            <a:ext uri="{FF2B5EF4-FFF2-40B4-BE49-F238E27FC236}">
              <a16:creationId xmlns:a16="http://schemas.microsoft.com/office/drawing/2014/main" id="{E6F27F61-1C4D-425D-9A9F-7AED688499A9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51" name="Text Box 910">
          <a:extLst>
            <a:ext uri="{FF2B5EF4-FFF2-40B4-BE49-F238E27FC236}">
              <a16:creationId xmlns:a16="http://schemas.microsoft.com/office/drawing/2014/main" id="{425A826A-2340-4054-AA71-459C2D50E998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52" name="Text Box 910">
          <a:extLst>
            <a:ext uri="{FF2B5EF4-FFF2-40B4-BE49-F238E27FC236}">
              <a16:creationId xmlns:a16="http://schemas.microsoft.com/office/drawing/2014/main" id="{04D97446-9515-4950-9D46-879A2A4BABEC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>
    <xdr:from>
      <xdr:col>22</xdr:col>
      <xdr:colOff>104775</xdr:colOff>
      <xdr:row>87</xdr:row>
      <xdr:rowOff>68580</xdr:rowOff>
    </xdr:from>
    <xdr:to>
      <xdr:col>29</xdr:col>
      <xdr:colOff>104775</xdr:colOff>
      <xdr:row>89</xdr:row>
      <xdr:rowOff>9525</xdr:rowOff>
    </xdr:to>
    <xdr:sp macro="" textlink="">
      <xdr:nvSpPr>
        <xdr:cNvPr id="2753" name="Text Box 910">
          <a:extLst>
            <a:ext uri="{FF2B5EF4-FFF2-40B4-BE49-F238E27FC236}">
              <a16:creationId xmlns:a16="http://schemas.microsoft.com/office/drawing/2014/main" id="{98EB2C86-9C49-4349-B337-446AFD428A34}"/>
            </a:ext>
          </a:extLst>
        </xdr:cNvPr>
        <xdr:cNvSpPr txBox="1">
          <a:spLocks noChangeArrowheads="1"/>
        </xdr:cNvSpPr>
      </xdr:nvSpPr>
      <xdr:spPr bwMode="auto">
        <a:xfrm>
          <a:off x="4514850" y="12479655"/>
          <a:ext cx="1400175" cy="264795"/>
        </a:xfrm>
        <a:prstGeom prst="rect">
          <a:avLst/>
        </a:prstGeom>
        <a:noFill/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800" b="1" i="0" u="none" strike="noStrike" baseline="0">
              <a:solidFill>
                <a:srgbClr val="0000FF"/>
              </a:solidFill>
              <a:latin typeface="Arial"/>
              <a:cs typeface="Arial"/>
            </a:rPr>
            <a:t>CAPACITADO EN</a:t>
          </a:r>
        </a:p>
      </xdr:txBody>
    </xdr:sp>
    <xdr:clientData/>
  </xdr:twoCellAnchor>
  <xdr:twoCellAnchor editAs="oneCell">
    <xdr:from>
      <xdr:col>12</xdr:col>
      <xdr:colOff>28575</xdr:colOff>
      <xdr:row>80</xdr:row>
      <xdr:rowOff>16947</xdr:rowOff>
    </xdr:from>
    <xdr:to>
      <xdr:col>15</xdr:col>
      <xdr:colOff>190499</xdr:colOff>
      <xdr:row>85</xdr:row>
      <xdr:rowOff>153065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66975" y="13980597"/>
          <a:ext cx="761999" cy="955268"/>
        </a:xfrm>
        <a:prstGeom prst="rect">
          <a:avLst/>
        </a:prstGeom>
      </xdr:spPr>
    </xdr:pic>
    <xdr:clientData/>
  </xdr:twoCellAnchor>
  <xdr:twoCellAnchor editAs="oneCell">
    <xdr:from>
      <xdr:col>22</xdr:col>
      <xdr:colOff>171450</xdr:colOff>
      <xdr:row>5</xdr:row>
      <xdr:rowOff>76200</xdr:rowOff>
    </xdr:from>
    <xdr:to>
      <xdr:col>28</xdr:col>
      <xdr:colOff>155351</xdr:colOff>
      <xdr:row>8</xdr:row>
      <xdr:rowOff>152399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933450"/>
          <a:ext cx="1184051" cy="590549"/>
        </a:xfrm>
        <a:prstGeom prst="rect">
          <a:avLst/>
        </a:prstGeom>
      </xdr:spPr>
    </xdr:pic>
    <xdr:clientData/>
  </xdr:twoCellAnchor>
  <xdr:twoCellAnchor editAs="oneCell">
    <xdr:from>
      <xdr:col>22</xdr:col>
      <xdr:colOff>161925</xdr:colOff>
      <xdr:row>20</xdr:row>
      <xdr:rowOff>85725</xdr:rowOff>
    </xdr:from>
    <xdr:to>
      <xdr:col>28</xdr:col>
      <xdr:colOff>145826</xdr:colOff>
      <xdr:row>23</xdr:row>
      <xdr:rowOff>161924</xdr:rowOff>
    </xdr:to>
    <xdr:pic>
      <xdr:nvPicPr>
        <xdr:cNvPr id="2754" name="Imagen 275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0" y="3619500"/>
          <a:ext cx="1184051" cy="590549"/>
        </a:xfrm>
        <a:prstGeom prst="rect">
          <a:avLst/>
        </a:prstGeom>
      </xdr:spPr>
    </xdr:pic>
    <xdr:clientData/>
  </xdr:twoCellAnchor>
  <xdr:twoCellAnchor editAs="oneCell">
    <xdr:from>
      <xdr:col>22</xdr:col>
      <xdr:colOff>180975</xdr:colOff>
      <xdr:row>35</xdr:row>
      <xdr:rowOff>57150</xdr:rowOff>
    </xdr:from>
    <xdr:to>
      <xdr:col>28</xdr:col>
      <xdr:colOff>164876</xdr:colOff>
      <xdr:row>38</xdr:row>
      <xdr:rowOff>161924</xdr:rowOff>
    </xdr:to>
    <xdr:pic>
      <xdr:nvPicPr>
        <xdr:cNvPr id="2755" name="Imagen 275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1050" y="6267450"/>
          <a:ext cx="1184051" cy="590549"/>
        </a:xfrm>
        <a:prstGeom prst="rect">
          <a:avLst/>
        </a:prstGeom>
      </xdr:spPr>
    </xdr:pic>
    <xdr:clientData/>
  </xdr:twoCellAnchor>
  <xdr:twoCellAnchor editAs="oneCell">
    <xdr:from>
      <xdr:col>23</xdr:col>
      <xdr:colOff>9525</xdr:colOff>
      <xdr:row>50</xdr:row>
      <xdr:rowOff>28575</xdr:rowOff>
    </xdr:from>
    <xdr:to>
      <xdr:col>28</xdr:col>
      <xdr:colOff>193451</xdr:colOff>
      <xdr:row>53</xdr:row>
      <xdr:rowOff>133349</xdr:rowOff>
    </xdr:to>
    <xdr:pic>
      <xdr:nvPicPr>
        <xdr:cNvPr id="2756" name="Imagen 275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8820150"/>
          <a:ext cx="1184051" cy="59054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65</xdr:row>
      <xdr:rowOff>0</xdr:rowOff>
    </xdr:from>
    <xdr:to>
      <xdr:col>16</xdr:col>
      <xdr:colOff>19050</xdr:colOff>
      <xdr:row>71</xdr:row>
      <xdr:rowOff>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38400" y="11363325"/>
          <a:ext cx="819150" cy="9810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11</xdr:col>
      <xdr:colOff>171450</xdr:colOff>
      <xdr:row>35</xdr:row>
      <xdr:rowOff>0</xdr:rowOff>
    </xdr:from>
    <xdr:to>
      <xdr:col>16</xdr:col>
      <xdr:colOff>5240</xdr:colOff>
      <xdr:row>41</xdr:row>
      <xdr:rowOff>1</xdr:rowOff>
    </xdr:to>
    <xdr:pic>
      <xdr:nvPicPr>
        <xdr:cNvPr id="8" name="Imagen 7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13" r="64787" b="51287"/>
        <a:stretch/>
      </xdr:blipFill>
      <xdr:spPr>
        <a:xfrm>
          <a:off x="2409825" y="6210300"/>
          <a:ext cx="833915" cy="981076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11</xdr:col>
      <xdr:colOff>200024</xdr:colOff>
      <xdr:row>50</xdr:row>
      <xdr:rowOff>9525</xdr:rowOff>
    </xdr:from>
    <xdr:to>
      <xdr:col>16</xdr:col>
      <xdr:colOff>9525</xdr:colOff>
      <xdr:row>56</xdr:row>
      <xdr:rowOff>19050</xdr:rowOff>
    </xdr:to>
    <xdr:pic>
      <xdr:nvPicPr>
        <xdr:cNvPr id="10" name="Imagen 9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32" t="12347"/>
        <a:stretch/>
      </xdr:blipFill>
      <xdr:spPr>
        <a:xfrm>
          <a:off x="2438399" y="8801100"/>
          <a:ext cx="809626" cy="9906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12</xdr:col>
      <xdr:colOff>0</xdr:colOff>
      <xdr:row>5</xdr:row>
      <xdr:rowOff>9525</xdr:rowOff>
    </xdr:from>
    <xdr:to>
      <xdr:col>16</xdr:col>
      <xdr:colOff>53837</xdr:colOff>
      <xdr:row>11</xdr:row>
      <xdr:rowOff>1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394" r="6734"/>
        <a:stretch/>
      </xdr:blipFill>
      <xdr:spPr>
        <a:xfrm>
          <a:off x="2438400" y="866775"/>
          <a:ext cx="853937" cy="106680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12</xdr:col>
      <xdr:colOff>0</xdr:colOff>
      <xdr:row>20</xdr:row>
      <xdr:rowOff>9525</xdr:rowOff>
    </xdr:from>
    <xdr:to>
      <xdr:col>16</xdr:col>
      <xdr:colOff>9525</xdr:colOff>
      <xdr:row>26</xdr:row>
      <xdr:rowOff>19050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3543300"/>
          <a:ext cx="809625" cy="10858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X1300" totalsRowShown="0" headerRowDxfId="45" headerRowBorderDxfId="44" tableBorderDxfId="43" totalsRowBorderDxfId="42" headerRowCellStyle="Normal 2">
  <autoFilter ref="A1:X1300"/>
  <sortState ref="A1077:X1077">
    <sortCondition descending="1" ref="E2:E1193"/>
  </sortState>
  <tableColumns count="24">
    <tableColumn id="1" name="ITEM" dataDxfId="41" dataCellStyle="Normal 2"/>
    <tableColumn id="2" name="EMPRESA" dataDxfId="40" dataCellStyle="Normal 2"/>
    <tableColumn id="3" name="CODIGO" dataDxfId="39" dataCellStyle="Normal 2"/>
    <tableColumn id="4" name="LICENCIA N°" dataDxfId="38" dataCellStyle="Normal 2">
      <calculatedColumnFormula>CONCATENATE(B2,C2)</calculatedColumnFormula>
    </tableColumn>
    <tableColumn id="5" name="APELLIDOS" dataDxfId="37" dataCellStyle="Normal 2"/>
    <tableColumn id="6" name="NOMBRES " dataDxfId="36" dataCellStyle="Normal 2"/>
    <tableColumn id="7" name="GRUPO SANGUINEO" dataDxfId="35" dataCellStyle="Normal 2"/>
    <tableColumn id="8" name="DNI" dataDxfId="34" dataCellStyle="Normal 2"/>
    <tableColumn id="9" name="PLANILLA" dataDxfId="33" dataCellStyle="Normal 2"/>
    <tableColumn id="10" name="LIC CONDUCIR" dataDxfId="32" dataCellStyle="Normal 2"/>
    <tableColumn id="11" name="CLASE" dataDxfId="31" dataCellStyle="Normal 2"/>
    <tableColumn id="12" name="F. EMISIÓN MTC" dataDxfId="30" dataCellStyle="Normal 2"/>
    <tableColumn id="13" name="F. CADUCIDAD" dataDxfId="29" dataCellStyle="Normal 2"/>
    <tableColumn id="14" name="|" dataDxfId="28" dataCellStyle="Normal 2">
      <calculatedColumnFormula>TODAY()-M2</calculatedColumnFormula>
    </tableColumn>
    <tableColumn id="15" name="SITUACION LICENCIA MTC_x000a_VENCIDA = 0_x000a_POR VENCER = 15 DIAS ANTICIPACION" dataDxfId="27" dataCellStyle="Normal 2">
      <calculatedColumnFormula>IF(N2&lt;-5,"OK","VENCIDA")</calculatedColumnFormula>
    </tableColumn>
    <tableColumn id="16" name="EQUIPO AUTORIZADO" dataDxfId="26" dataCellStyle="Normal 2"/>
    <tableColumn id="17" name="CURSOS CAPACITADOS" dataDxfId="25" dataCellStyle="Normal 2"/>
    <tableColumn id="18" name="RESTRICCIONES" dataDxfId="24" dataCellStyle="Normal 2"/>
    <tableColumn id="19" name="INDUCCION DE SEGURIDAD ( FORMATO 14 )" dataDxfId="23" dataCellStyle="Normal 2"/>
    <tableColumn id="20" name="CAPACITACION EN EL AREA DEL TRABAJO ( FORMATO 14 A )" dataDxfId="22" dataCellStyle="Normal 2"/>
    <tableColumn id="21" name="CAPACITACION EN EL TRABAJO ( FORMATO 14 B)" dataDxfId="21" dataCellStyle="Normal 2"/>
    <tableColumn id="22" name="AREA" dataDxfId="20" dataCellStyle="Normal 2"/>
    <tableColumn id="23" name="JEFE DE AREA" dataDxfId="19" dataCellStyle="Normal 2"/>
    <tableColumn id="24" name="CARGO" dataDxfId="18" dataCellStyle="Normal 2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\\10.241.64.206\..\esalas\AppData\Roaming\Microsoft\Excel\scam%20licencias\398-galindo%20medina%20wilfredo%20vicente.pdf" TargetMode="External"/><Relationship Id="rId13" Type="http://schemas.openxmlformats.org/officeDocument/2006/relationships/hyperlink" Target="file:///\\10.241.64.206\..\esalas\AppData\Roaming\Microsoft\Excel\scam%20licencias\123-nu&#241;ez%20heredia%20jose%20hipolito.pdf" TargetMode="External"/><Relationship Id="rId3" Type="http://schemas.openxmlformats.org/officeDocument/2006/relationships/hyperlink" Target="file:///\\10.241.64.206\..\esalas\AppData\Roaming\Microsoft\Excel\scam%20licencias\534-salas%20vergaray%20christian%20javier.pdf" TargetMode="External"/><Relationship Id="rId7" Type="http://schemas.openxmlformats.org/officeDocument/2006/relationships/hyperlink" Target="file:///\\10.241.64.206\..\esalas\AppData\Roaming\Microsoft\Excel\scam%20licencias\072-gomez%20pinto%20marco%20antonio.pdf" TargetMode="External"/><Relationship Id="rId12" Type="http://schemas.openxmlformats.org/officeDocument/2006/relationships/hyperlink" Target="file:///\\10.241.64.206\..\esalas\AppData\Roaming\Microsoft\Excel\scam%20licencias\550-gomez%20chino%20isauro.pdf" TargetMode="External"/><Relationship Id="rId2" Type="http://schemas.openxmlformats.org/officeDocument/2006/relationships/hyperlink" Target="file:///\\10.241.64.206\..\esalas\AppData\Roaming\Microsoft\Excel\scam%20licencias\454-halanoca%20ramos%20hermenegildo%20nicolas.pdf" TargetMode="External"/><Relationship Id="rId16" Type="http://schemas.openxmlformats.org/officeDocument/2006/relationships/table" Target="../tables/table1.xml"/><Relationship Id="rId1" Type="http://schemas.openxmlformats.org/officeDocument/2006/relationships/hyperlink" Target="file:///\\10.241.64.206\..\esalas\AppData\Roaming\Microsoft\Excel\scam%20licencias\399-pizarro%20andrade%20miguel%20angel.pdf" TargetMode="External"/><Relationship Id="rId6" Type="http://schemas.openxmlformats.org/officeDocument/2006/relationships/hyperlink" Target="file:///\\10.241.64.206\..\esalas\AppData\Roaming\Microsoft\Excel\scam%20licencias\531-cutipa%20juares%20seferino.pdf" TargetMode="External"/><Relationship Id="rId11" Type="http://schemas.openxmlformats.org/officeDocument/2006/relationships/hyperlink" Target="file:///\\10.241.64.206\..\esalas\AppData\Roaming\Microsoft\Excel\scam%20licencias\475-casas%20lerma%20jimmy%20manuel.pdf" TargetMode="External"/><Relationship Id="rId5" Type="http://schemas.openxmlformats.org/officeDocument/2006/relationships/hyperlink" Target="file:///\\10.241.64.206\..\esalas\AppData\Roaming\Microsoft\Excel\scam%20licencias\533-Luque%20quispe%20luis%20edgar.pdf" TargetMode="External"/><Relationship Id="rId15" Type="http://schemas.openxmlformats.org/officeDocument/2006/relationships/customProperty" Target="../customProperty1.bin"/><Relationship Id="rId10" Type="http://schemas.openxmlformats.org/officeDocument/2006/relationships/hyperlink" Target="file:///\\10.241.64.206\..\esalas\AppData\Roaming\Microsoft\Excel\scam%20licencias\571-mamani%20castillo%20willy%20julio.pdf" TargetMode="External"/><Relationship Id="rId4" Type="http://schemas.openxmlformats.org/officeDocument/2006/relationships/hyperlink" Target="file:///\\10.241.64.206\..\esalas\AppData\Roaming\Microsoft\Excel\scam%20licencias\532-rodriguez%20cari%20cesar%20emilio.pdf" TargetMode="External"/><Relationship Id="rId9" Type="http://schemas.openxmlformats.org/officeDocument/2006/relationships/hyperlink" Target="file:///\\10.241.64.206\..\esalas\AppData\Roaming\Microsoft\Excel\scam%20licencias\491-gutierrez%20mendoza%20pedro%20daniel.pdf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X1326"/>
  <sheetViews>
    <sheetView tabSelected="1" view="pageBreakPreview" zoomScaleNormal="100" zoomScaleSheetLayoutView="100" workbookViewId="0">
      <selection sqref="A1:XFD1"/>
    </sheetView>
  </sheetViews>
  <sheetFormatPr baseColWidth="10" defaultRowHeight="11.25" x14ac:dyDescent="0.2"/>
  <cols>
    <col min="1" max="1" width="7.5703125" style="37" customWidth="1"/>
    <col min="2" max="2" width="10" style="37" customWidth="1"/>
    <col min="3" max="3" width="11.5703125" style="37" bestFit="1" customWidth="1"/>
    <col min="4" max="4" width="14.7109375" style="37" customWidth="1"/>
    <col min="5" max="5" width="28" style="71" bestFit="1" customWidth="1"/>
    <col min="6" max="6" width="21.85546875" style="38" customWidth="1"/>
    <col min="7" max="7" width="17.5703125" style="37" customWidth="1"/>
    <col min="8" max="8" width="11" style="40" customWidth="1"/>
    <col min="9" max="9" width="8.85546875" style="40" customWidth="1"/>
    <col min="10" max="10" width="11.85546875" style="37" customWidth="1"/>
    <col min="11" max="11" width="16.140625" style="37" bestFit="1" customWidth="1"/>
    <col min="12" max="12" width="10.85546875" style="37" customWidth="1"/>
    <col min="13" max="13" width="10.140625" style="37" customWidth="1"/>
    <col min="14" max="14" width="9.28515625" style="37" customWidth="1"/>
    <col min="15" max="15" width="10.7109375" style="37" customWidth="1"/>
    <col min="16" max="16" width="32.85546875" style="40" customWidth="1"/>
    <col min="17" max="17" width="28.7109375" style="37" customWidth="1"/>
    <col min="18" max="18" width="22.42578125" style="37" bestFit="1" customWidth="1"/>
    <col min="19" max="19" width="16.140625" style="39" hidden="1" customWidth="1"/>
    <col min="20" max="20" width="18" style="39" hidden="1" customWidth="1"/>
    <col min="21" max="21" width="17.42578125" style="39" hidden="1" customWidth="1"/>
    <col min="22" max="22" width="24.28515625" style="37" customWidth="1"/>
    <col min="23" max="23" width="21.85546875" style="37" customWidth="1"/>
    <col min="24" max="24" width="32.7109375" style="37" customWidth="1"/>
    <col min="25" max="16384" width="11.42578125" style="36"/>
  </cols>
  <sheetData>
    <row r="1" spans="1:24" s="41" customFormat="1" ht="95.25" customHeight="1" x14ac:dyDescent="0.2">
      <c r="A1" s="65" t="s">
        <v>9</v>
      </c>
      <c r="B1" s="66" t="s">
        <v>278</v>
      </c>
      <c r="C1" s="66" t="s">
        <v>8</v>
      </c>
      <c r="D1" s="66" t="s">
        <v>280</v>
      </c>
      <c r="E1" s="66" t="s">
        <v>1</v>
      </c>
      <c r="F1" s="66" t="s">
        <v>10</v>
      </c>
      <c r="G1" s="66" t="s">
        <v>328</v>
      </c>
      <c r="H1" s="66" t="s">
        <v>6</v>
      </c>
      <c r="I1" s="66" t="s">
        <v>3786</v>
      </c>
      <c r="J1" s="67" t="s">
        <v>4</v>
      </c>
      <c r="K1" s="67" t="s">
        <v>5</v>
      </c>
      <c r="L1" s="67" t="s">
        <v>2023</v>
      </c>
      <c r="M1" s="67" t="s">
        <v>11</v>
      </c>
      <c r="N1" s="68" t="s">
        <v>3186</v>
      </c>
      <c r="O1" s="70" t="s">
        <v>3795</v>
      </c>
      <c r="P1" s="66" t="s">
        <v>34</v>
      </c>
      <c r="Q1" s="66" t="s">
        <v>12</v>
      </c>
      <c r="R1" s="66" t="s">
        <v>13</v>
      </c>
      <c r="S1" s="66" t="s">
        <v>16</v>
      </c>
      <c r="T1" s="66" t="s">
        <v>15</v>
      </c>
      <c r="U1" s="66" t="s">
        <v>14</v>
      </c>
      <c r="V1" s="66" t="s">
        <v>2767</v>
      </c>
      <c r="W1" s="66" t="s">
        <v>300</v>
      </c>
      <c r="X1" s="69" t="s">
        <v>2782</v>
      </c>
    </row>
    <row r="2" spans="1:24" s="64" customFormat="1" ht="32.25" customHeight="1" x14ac:dyDescent="0.2">
      <c r="A2" s="200">
        <v>1</v>
      </c>
      <c r="B2" s="61" t="s">
        <v>279</v>
      </c>
      <c r="C2" s="81">
        <v>1</v>
      </c>
      <c r="D2" s="61" t="str">
        <f t="shared" ref="D2:D15" si="0">CONCATENATE(B2,C2)</f>
        <v>SUPERMIX1</v>
      </c>
      <c r="E2" s="82" t="s">
        <v>1461</v>
      </c>
      <c r="F2" s="82" t="s">
        <v>1462</v>
      </c>
      <c r="G2" s="61" t="s">
        <v>341</v>
      </c>
      <c r="H2" s="83" t="s">
        <v>1463</v>
      </c>
      <c r="I2" s="83" t="s">
        <v>3787</v>
      </c>
      <c r="J2" s="61" t="s">
        <v>1464</v>
      </c>
      <c r="K2" s="61" t="s">
        <v>3142</v>
      </c>
      <c r="L2" s="62">
        <v>36515</v>
      </c>
      <c r="M2" s="62">
        <v>43267</v>
      </c>
      <c r="N2" s="61">
        <f t="shared" ref="N2:N15" ca="1" si="1">TODAY()-M2</f>
        <v>2920</v>
      </c>
      <c r="O2" s="84" t="str">
        <f ca="1">IF(Tabla1[[#This Row],[|]]&gt;=0,"VENCIDA",IF(Tabla1[[#This Row],[|]]&gt;=-14,"POR VENCER","OK"))</f>
        <v>VENCIDA</v>
      </c>
      <c r="P2" s="60" t="s">
        <v>1059</v>
      </c>
      <c r="Q2" s="60" t="s">
        <v>312</v>
      </c>
      <c r="R2" s="60" t="s">
        <v>317</v>
      </c>
      <c r="S2" s="85"/>
      <c r="T2" s="85"/>
      <c r="U2" s="85"/>
      <c r="V2" s="86" t="s">
        <v>831</v>
      </c>
      <c r="W2" s="86" t="s">
        <v>832</v>
      </c>
      <c r="X2" s="201" t="s">
        <v>3885</v>
      </c>
    </row>
    <row r="3" spans="1:24" s="59" customFormat="1" ht="32.25" customHeight="1" x14ac:dyDescent="0.2">
      <c r="A3" s="200">
        <v>2</v>
      </c>
      <c r="B3" s="61" t="s">
        <v>279</v>
      </c>
      <c r="C3" s="87">
        <v>2</v>
      </c>
      <c r="D3" s="61" t="str">
        <f t="shared" si="0"/>
        <v>SUPERMIX2</v>
      </c>
      <c r="E3" s="82" t="s">
        <v>36</v>
      </c>
      <c r="F3" s="82" t="s">
        <v>37</v>
      </c>
      <c r="G3" s="61" t="s">
        <v>341</v>
      </c>
      <c r="H3" s="133">
        <v>29272818</v>
      </c>
      <c r="I3" s="60" t="s">
        <v>3787</v>
      </c>
      <c r="J3" s="61" t="s">
        <v>527</v>
      </c>
      <c r="K3" s="61" t="s">
        <v>281</v>
      </c>
      <c r="L3" s="62" t="s">
        <v>1635</v>
      </c>
      <c r="M3" s="62">
        <v>44681</v>
      </c>
      <c r="N3" s="61">
        <f t="shared" ca="1" si="1"/>
        <v>1506</v>
      </c>
      <c r="O3" s="84" t="str">
        <f ca="1">IF(Tabla1[[#This Row],[|]]&gt;=0,"VENCIDA",IF(Tabla1[[#This Row],[|]]&gt;=-14,"POR VENCER","OK"))</f>
        <v>VENCIDA</v>
      </c>
      <c r="P3" s="60" t="s">
        <v>3017</v>
      </c>
      <c r="Q3" s="60" t="s">
        <v>312</v>
      </c>
      <c r="R3" s="61" t="s">
        <v>17</v>
      </c>
      <c r="S3" s="61"/>
      <c r="T3" s="61"/>
      <c r="U3" s="61"/>
      <c r="V3" s="61" t="s">
        <v>668</v>
      </c>
      <c r="W3" s="86" t="s">
        <v>2776</v>
      </c>
      <c r="X3" s="201" t="s">
        <v>597</v>
      </c>
    </row>
    <row r="4" spans="1:24" s="63" customFormat="1" ht="32.25" customHeight="1" x14ac:dyDescent="0.2">
      <c r="A4" s="202">
        <v>3</v>
      </c>
      <c r="B4" s="88" t="s">
        <v>279</v>
      </c>
      <c r="C4" s="89">
        <v>3</v>
      </c>
      <c r="D4" s="88" t="str">
        <f t="shared" si="0"/>
        <v>SUPERMIX3</v>
      </c>
      <c r="E4" s="58" t="s">
        <v>38</v>
      </c>
      <c r="F4" s="58" t="s">
        <v>33</v>
      </c>
      <c r="G4" s="88" t="s">
        <v>25</v>
      </c>
      <c r="H4" s="107">
        <v>29295597</v>
      </c>
      <c r="I4" s="90" t="s">
        <v>3787</v>
      </c>
      <c r="J4" s="88" t="s">
        <v>290</v>
      </c>
      <c r="K4" s="88" t="s">
        <v>281</v>
      </c>
      <c r="L4" s="91">
        <v>41486</v>
      </c>
      <c r="M4" s="91">
        <v>42848</v>
      </c>
      <c r="N4" s="88">
        <f t="shared" ca="1" si="1"/>
        <v>3339</v>
      </c>
      <c r="O4" s="84" t="str">
        <f ca="1">IF(Tabla1[[#This Row],[|]]&gt;=0,"VENCIDA",IF(Tabla1[[#This Row],[|]]&gt;=-14,"POR VENCER","OK"))</f>
        <v>VENCIDA</v>
      </c>
      <c r="P4" s="90" t="s">
        <v>597</v>
      </c>
      <c r="Q4" s="90" t="s">
        <v>312</v>
      </c>
      <c r="R4" s="88" t="s">
        <v>317</v>
      </c>
      <c r="S4" s="88"/>
      <c r="T4" s="88"/>
      <c r="U4" s="88"/>
      <c r="V4" s="88" t="s">
        <v>282</v>
      </c>
      <c r="W4" s="92" t="s">
        <v>717</v>
      </c>
      <c r="X4" s="203">
        <v>14.5</v>
      </c>
    </row>
    <row r="5" spans="1:24" s="43" customFormat="1" ht="32.25" customHeight="1" x14ac:dyDescent="0.2">
      <c r="A5" s="42">
        <v>4</v>
      </c>
      <c r="B5" s="93" t="s">
        <v>279</v>
      </c>
      <c r="C5" s="94">
        <v>4</v>
      </c>
      <c r="D5" s="93" t="str">
        <f t="shared" si="0"/>
        <v>SUPERMIX4</v>
      </c>
      <c r="E5" s="115" t="s">
        <v>39</v>
      </c>
      <c r="F5" s="115" t="s">
        <v>40</v>
      </c>
      <c r="G5" s="93" t="s">
        <v>398</v>
      </c>
      <c r="H5" s="128">
        <v>29699744</v>
      </c>
      <c r="I5" s="95" t="s">
        <v>3788</v>
      </c>
      <c r="J5" s="95" t="s">
        <v>1146</v>
      </c>
      <c r="K5" s="93" t="s">
        <v>281</v>
      </c>
      <c r="L5" s="96">
        <v>38644</v>
      </c>
      <c r="M5" s="96">
        <v>46334</v>
      </c>
      <c r="N5" s="88">
        <f t="shared" ca="1" si="1"/>
        <v>-147</v>
      </c>
      <c r="O5" s="84" t="str">
        <f ca="1">IF(Tabla1[[#This Row],[|]]&gt;=0,"VENCIDA",IF(Tabla1[[#This Row],[|]]&gt;=-14,"POR VENCER","OK"))</f>
        <v>OK</v>
      </c>
      <c r="P5" s="95" t="s">
        <v>3790</v>
      </c>
      <c r="Q5" s="95" t="s">
        <v>312</v>
      </c>
      <c r="R5" s="93" t="s">
        <v>17</v>
      </c>
      <c r="S5" s="93"/>
      <c r="T5" s="93"/>
      <c r="U5" s="93"/>
      <c r="V5" s="93" t="s">
        <v>763</v>
      </c>
      <c r="W5" s="97" t="s">
        <v>3515</v>
      </c>
      <c r="X5" s="97" t="s">
        <v>1083</v>
      </c>
    </row>
    <row r="6" spans="1:24" s="43" customFormat="1" ht="32.25" customHeight="1" x14ac:dyDescent="0.2">
      <c r="A6" s="42">
        <v>5</v>
      </c>
      <c r="B6" s="93" t="s">
        <v>279</v>
      </c>
      <c r="C6" s="94">
        <v>5</v>
      </c>
      <c r="D6" s="93" t="str">
        <f t="shared" si="0"/>
        <v>SUPERMIX5</v>
      </c>
      <c r="E6" s="115" t="s">
        <v>740</v>
      </c>
      <c r="F6" s="115" t="s">
        <v>741</v>
      </c>
      <c r="G6" s="93" t="s">
        <v>25</v>
      </c>
      <c r="H6" s="132">
        <v>42734457</v>
      </c>
      <c r="I6" s="98" t="s">
        <v>3788</v>
      </c>
      <c r="J6" s="93" t="s">
        <v>742</v>
      </c>
      <c r="K6" s="93" t="s">
        <v>281</v>
      </c>
      <c r="L6" s="96">
        <v>41373</v>
      </c>
      <c r="M6" s="96">
        <v>46181</v>
      </c>
      <c r="N6" s="88">
        <f t="shared" ca="1" si="1"/>
        <v>6</v>
      </c>
      <c r="O6" s="84" t="str">
        <f ca="1">IF(Tabla1[[#This Row],[|]]&gt;=0,"VENCIDA",IF(Tabla1[[#This Row],[|]]&gt;=-14,"POR VENCER","OK"))</f>
        <v>VENCIDA</v>
      </c>
      <c r="P6" s="95" t="s">
        <v>3400</v>
      </c>
      <c r="Q6" s="95" t="s">
        <v>312</v>
      </c>
      <c r="R6" s="93" t="s">
        <v>17</v>
      </c>
      <c r="S6" s="93"/>
      <c r="T6" s="93"/>
      <c r="U6" s="93"/>
      <c r="V6" s="93" t="s">
        <v>306</v>
      </c>
      <c r="W6" s="97" t="s">
        <v>2776</v>
      </c>
      <c r="X6" s="204" t="s">
        <v>3016</v>
      </c>
    </row>
    <row r="7" spans="1:24" s="63" customFormat="1" ht="32.25" customHeight="1" x14ac:dyDescent="0.2">
      <c r="A7" s="202">
        <v>6</v>
      </c>
      <c r="B7" s="88" t="s">
        <v>279</v>
      </c>
      <c r="C7" s="89">
        <v>6</v>
      </c>
      <c r="D7" s="88" t="str">
        <f t="shared" si="0"/>
        <v>SUPERMIX6</v>
      </c>
      <c r="E7" s="58" t="s">
        <v>41</v>
      </c>
      <c r="F7" s="58" t="s">
        <v>42</v>
      </c>
      <c r="G7" s="88" t="s">
        <v>25</v>
      </c>
      <c r="H7" s="173">
        <v>226968</v>
      </c>
      <c r="I7" s="90" t="s">
        <v>3787</v>
      </c>
      <c r="J7" s="88" t="s">
        <v>1557</v>
      </c>
      <c r="K7" s="88" t="s">
        <v>281</v>
      </c>
      <c r="L7" s="91">
        <v>39106</v>
      </c>
      <c r="M7" s="91">
        <v>43717</v>
      </c>
      <c r="N7" s="88">
        <f t="shared" ca="1" si="1"/>
        <v>2470</v>
      </c>
      <c r="O7" s="84" t="str">
        <f ca="1">IF(Tabla1[[#This Row],[|]]&gt;=0,"VENCIDA",IF(Tabla1[[#This Row],[|]]&gt;=-14,"POR VENCER","OK"))</f>
        <v>VENCIDA</v>
      </c>
      <c r="P7" s="90" t="s">
        <v>321</v>
      </c>
      <c r="Q7" s="90" t="s">
        <v>312</v>
      </c>
      <c r="R7" s="88" t="s">
        <v>17</v>
      </c>
      <c r="S7" s="88"/>
      <c r="T7" s="88"/>
      <c r="U7" s="88"/>
      <c r="V7" s="88" t="s">
        <v>763</v>
      </c>
      <c r="W7" s="92" t="s">
        <v>1558</v>
      </c>
      <c r="X7" s="92"/>
    </row>
    <row r="8" spans="1:24" s="43" customFormat="1" ht="32.25" customHeight="1" x14ac:dyDescent="0.2">
      <c r="A8" s="42">
        <v>7</v>
      </c>
      <c r="B8" s="93" t="s">
        <v>279</v>
      </c>
      <c r="C8" s="94">
        <v>7</v>
      </c>
      <c r="D8" s="93" t="str">
        <f t="shared" si="0"/>
        <v>SUPERMIX7</v>
      </c>
      <c r="E8" s="115" t="s">
        <v>43</v>
      </c>
      <c r="F8" s="115" t="s">
        <v>44</v>
      </c>
      <c r="G8" s="93" t="s">
        <v>25</v>
      </c>
      <c r="H8" s="93">
        <v>29314977</v>
      </c>
      <c r="I8" s="93" t="s">
        <v>3788</v>
      </c>
      <c r="J8" s="93" t="s">
        <v>3967</v>
      </c>
      <c r="K8" s="93" t="s">
        <v>1954</v>
      </c>
      <c r="L8" s="96">
        <v>37663</v>
      </c>
      <c r="M8" s="96">
        <v>47454</v>
      </c>
      <c r="N8" s="88">
        <f t="shared" ca="1" si="1"/>
        <v>-1267</v>
      </c>
      <c r="O8" s="84" t="str">
        <f ca="1">IF(Tabla1[[#This Row],[|]]&gt;=0,"VENCIDA",IF(Tabla1[[#This Row],[|]]&gt;=-14,"POR VENCER","OK"))</f>
        <v>OK</v>
      </c>
      <c r="P8" s="95" t="s">
        <v>2909</v>
      </c>
      <c r="Q8" s="95" t="s">
        <v>312</v>
      </c>
      <c r="R8" s="93" t="s">
        <v>317</v>
      </c>
      <c r="S8" s="93"/>
      <c r="T8" s="93"/>
      <c r="U8" s="93"/>
      <c r="V8" s="95" t="s">
        <v>928</v>
      </c>
      <c r="W8" s="97" t="s">
        <v>2776</v>
      </c>
      <c r="X8" s="204" t="s">
        <v>597</v>
      </c>
    </row>
    <row r="9" spans="1:24" s="63" customFormat="1" ht="32.25" customHeight="1" x14ac:dyDescent="0.2">
      <c r="A9" s="202">
        <v>8</v>
      </c>
      <c r="B9" s="88" t="s">
        <v>279</v>
      </c>
      <c r="C9" s="89">
        <v>8</v>
      </c>
      <c r="D9" s="88" t="str">
        <f t="shared" si="0"/>
        <v>SUPERMIX8</v>
      </c>
      <c r="E9" s="58" t="s">
        <v>43</v>
      </c>
      <c r="F9" s="58" t="s">
        <v>45</v>
      </c>
      <c r="G9" s="88"/>
      <c r="H9" s="88"/>
      <c r="I9" s="88" t="s">
        <v>3787</v>
      </c>
      <c r="J9" s="88"/>
      <c r="K9" s="88"/>
      <c r="L9" s="91"/>
      <c r="M9" s="91"/>
      <c r="N9" s="88">
        <f t="shared" ca="1" si="1"/>
        <v>46187</v>
      </c>
      <c r="O9" s="84" t="str">
        <f ca="1">IF(Tabla1[[#This Row],[|]]&gt;=0,"VENCIDA",IF(Tabla1[[#This Row],[|]]&gt;=-14,"POR VENCER","OK"))</f>
        <v>VENCIDA</v>
      </c>
      <c r="P9" s="90" t="s">
        <v>322</v>
      </c>
      <c r="Q9" s="90" t="s">
        <v>312</v>
      </c>
      <c r="R9" s="88"/>
      <c r="S9" s="88"/>
      <c r="T9" s="88"/>
      <c r="U9" s="88"/>
      <c r="V9" s="90" t="s">
        <v>372</v>
      </c>
      <c r="W9" s="92" t="s">
        <v>373</v>
      </c>
      <c r="X9" s="203">
        <v>15</v>
      </c>
    </row>
    <row r="10" spans="1:24" s="43" customFormat="1" ht="32.25" customHeight="1" x14ac:dyDescent="0.2">
      <c r="A10" s="42">
        <v>9</v>
      </c>
      <c r="B10" s="93" t="s">
        <v>279</v>
      </c>
      <c r="C10" s="94">
        <v>9</v>
      </c>
      <c r="D10" s="93" t="str">
        <f t="shared" si="0"/>
        <v>SUPERMIX9</v>
      </c>
      <c r="E10" s="140" t="s">
        <v>46</v>
      </c>
      <c r="F10" s="115" t="s">
        <v>47</v>
      </c>
      <c r="G10" s="93" t="s">
        <v>2825</v>
      </c>
      <c r="H10" s="95">
        <v>40363721</v>
      </c>
      <c r="I10" s="95" t="s">
        <v>3788</v>
      </c>
      <c r="J10" s="93" t="s">
        <v>297</v>
      </c>
      <c r="K10" s="93" t="s">
        <v>3443</v>
      </c>
      <c r="L10" s="96">
        <v>38761</v>
      </c>
      <c r="M10" s="96">
        <v>46548</v>
      </c>
      <c r="N10" s="88">
        <f t="shared" ca="1" si="1"/>
        <v>-361</v>
      </c>
      <c r="O10" s="84" t="str">
        <f ca="1">IF(Tabla1[[#This Row],[|]]&gt;=0,"VENCIDA",IF(Tabla1[[#This Row],[|]]&gt;=-14,"POR VENCER","OK"))</f>
        <v>OK</v>
      </c>
      <c r="P10" s="95" t="s">
        <v>3716</v>
      </c>
      <c r="Q10" s="95" t="s">
        <v>312</v>
      </c>
      <c r="R10" s="93" t="s">
        <v>317</v>
      </c>
      <c r="S10" s="93"/>
      <c r="T10" s="93"/>
      <c r="U10" s="93"/>
      <c r="V10" s="93" t="s">
        <v>306</v>
      </c>
      <c r="W10" s="97" t="s">
        <v>1017</v>
      </c>
      <c r="X10" s="204" t="s">
        <v>2819</v>
      </c>
    </row>
    <row r="11" spans="1:24" s="63" customFormat="1" ht="32.25" customHeight="1" x14ac:dyDescent="0.2">
      <c r="A11" s="202">
        <v>10</v>
      </c>
      <c r="B11" s="88" t="s">
        <v>279</v>
      </c>
      <c r="C11" s="89">
        <v>10</v>
      </c>
      <c r="D11" s="88" t="str">
        <f t="shared" si="0"/>
        <v>SUPERMIX10</v>
      </c>
      <c r="E11" s="58" t="s">
        <v>48</v>
      </c>
      <c r="F11" s="58" t="s">
        <v>49</v>
      </c>
      <c r="G11" s="88" t="s">
        <v>25</v>
      </c>
      <c r="H11" s="90">
        <v>42296641</v>
      </c>
      <c r="I11" s="90" t="s">
        <v>3787</v>
      </c>
      <c r="J11" s="88" t="s">
        <v>420</v>
      </c>
      <c r="K11" s="88" t="s">
        <v>293</v>
      </c>
      <c r="L11" s="91">
        <v>39708</v>
      </c>
      <c r="M11" s="91">
        <v>42044</v>
      </c>
      <c r="N11" s="88">
        <f t="shared" ca="1" si="1"/>
        <v>4143</v>
      </c>
      <c r="O11" s="84" t="str">
        <f ca="1">IF(Tabla1[[#This Row],[|]]&gt;=0,"VENCIDA",IF(Tabla1[[#This Row],[|]]&gt;=-14,"POR VENCER","OK"))</f>
        <v>VENCIDA</v>
      </c>
      <c r="P11" s="90" t="s">
        <v>520</v>
      </c>
      <c r="Q11" s="90" t="s">
        <v>312</v>
      </c>
      <c r="R11" s="88" t="s">
        <v>317</v>
      </c>
      <c r="S11" s="88"/>
      <c r="T11" s="88"/>
      <c r="U11" s="88"/>
      <c r="V11" s="88" t="s">
        <v>423</v>
      </c>
      <c r="W11" s="92" t="s">
        <v>416</v>
      </c>
      <c r="X11" s="203">
        <v>18</v>
      </c>
    </row>
    <row r="12" spans="1:24" s="63" customFormat="1" ht="32.25" customHeight="1" x14ac:dyDescent="0.2">
      <c r="A12" s="202">
        <v>11</v>
      </c>
      <c r="B12" s="88" t="s">
        <v>279</v>
      </c>
      <c r="C12" s="89">
        <v>11</v>
      </c>
      <c r="D12" s="88" t="str">
        <f t="shared" si="0"/>
        <v>SUPERMIX11</v>
      </c>
      <c r="E12" s="58" t="s">
        <v>786</v>
      </c>
      <c r="F12" s="58" t="s">
        <v>787</v>
      </c>
      <c r="G12" s="88" t="s">
        <v>25</v>
      </c>
      <c r="H12" s="99">
        <v>45710</v>
      </c>
      <c r="I12" s="99" t="s">
        <v>3787</v>
      </c>
      <c r="J12" s="88" t="s">
        <v>1576</v>
      </c>
      <c r="K12" s="88" t="s">
        <v>3142</v>
      </c>
      <c r="L12" s="91">
        <v>41600</v>
      </c>
      <c r="M12" s="91">
        <v>43776</v>
      </c>
      <c r="N12" s="88">
        <f t="shared" ca="1" si="1"/>
        <v>2411</v>
      </c>
      <c r="O12" s="84" t="str">
        <f ca="1">IF(Tabla1[[#This Row],[|]]&gt;=0,"VENCIDA",IF(Tabla1[[#This Row],[|]]&gt;=-14,"POR VENCER","OK"))</f>
        <v>VENCIDA</v>
      </c>
      <c r="P12" s="90" t="s">
        <v>322</v>
      </c>
      <c r="Q12" s="90" t="s">
        <v>312</v>
      </c>
      <c r="R12" s="88"/>
      <c r="S12" s="88"/>
      <c r="T12" s="88"/>
      <c r="U12" s="88"/>
      <c r="V12" s="88" t="s">
        <v>788</v>
      </c>
      <c r="W12" s="92"/>
      <c r="X12" s="92"/>
    </row>
    <row r="13" spans="1:24" s="63" customFormat="1" ht="32.25" customHeight="1" x14ac:dyDescent="0.2">
      <c r="A13" s="202">
        <v>12</v>
      </c>
      <c r="B13" s="88" t="s">
        <v>279</v>
      </c>
      <c r="C13" s="89">
        <v>12</v>
      </c>
      <c r="D13" s="88" t="str">
        <f t="shared" si="0"/>
        <v>SUPERMIX12</v>
      </c>
      <c r="E13" s="58" t="s">
        <v>51</v>
      </c>
      <c r="F13" s="58" t="s">
        <v>52</v>
      </c>
      <c r="G13" s="88"/>
      <c r="H13" s="88"/>
      <c r="I13" s="88" t="s">
        <v>3787</v>
      </c>
      <c r="J13" s="88"/>
      <c r="K13" s="88"/>
      <c r="L13" s="91"/>
      <c r="M13" s="91"/>
      <c r="N13" s="88">
        <f t="shared" ca="1" si="1"/>
        <v>46187</v>
      </c>
      <c r="O13" s="84" t="str">
        <f ca="1">IF(Tabla1[[#This Row],[|]]&gt;=0,"VENCIDA",IF(Tabla1[[#This Row],[|]]&gt;=-14,"POR VENCER","OK"))</f>
        <v>VENCIDA</v>
      </c>
      <c r="P13" s="90" t="s">
        <v>597</v>
      </c>
      <c r="Q13" s="90" t="s">
        <v>312</v>
      </c>
      <c r="R13" s="88"/>
      <c r="S13" s="88"/>
      <c r="T13" s="88"/>
      <c r="U13" s="88"/>
      <c r="V13" s="88"/>
      <c r="W13" s="92"/>
      <c r="X13" s="92"/>
    </row>
    <row r="14" spans="1:24" ht="32.25" customHeight="1" x14ac:dyDescent="0.2">
      <c r="A14" s="37">
        <v>13</v>
      </c>
      <c r="B14" s="100" t="s">
        <v>279</v>
      </c>
      <c r="C14" s="101">
        <v>13</v>
      </c>
      <c r="D14" s="100" t="str">
        <f t="shared" si="0"/>
        <v>SUPERMIX13</v>
      </c>
      <c r="E14" s="164" t="s">
        <v>53</v>
      </c>
      <c r="F14" s="169" t="s">
        <v>54</v>
      </c>
      <c r="G14" s="100" t="s">
        <v>341</v>
      </c>
      <c r="H14" s="102">
        <v>29601659</v>
      </c>
      <c r="I14" s="102" t="s">
        <v>3788</v>
      </c>
      <c r="J14" s="102" t="s">
        <v>1765</v>
      </c>
      <c r="K14" s="100" t="s">
        <v>1954</v>
      </c>
      <c r="L14" s="103">
        <v>42440</v>
      </c>
      <c r="M14" s="103">
        <v>46453</v>
      </c>
      <c r="N14" s="88">
        <f t="shared" ca="1" si="1"/>
        <v>-266</v>
      </c>
      <c r="O14" s="84" t="str">
        <f ca="1">IF(Tabla1[[#This Row],[|]]&gt;=0,"VENCIDA",IF(Tabla1[[#This Row],[|]]&gt;=-14,"POR VENCER","OK"))</f>
        <v>OK</v>
      </c>
      <c r="P14" s="102" t="s">
        <v>2817</v>
      </c>
      <c r="Q14" s="102" t="s">
        <v>312</v>
      </c>
      <c r="R14" s="100" t="s">
        <v>317</v>
      </c>
      <c r="S14" s="100"/>
      <c r="T14" s="100"/>
      <c r="U14" s="100"/>
      <c r="V14" s="100" t="s">
        <v>306</v>
      </c>
      <c r="W14" s="104" t="s">
        <v>2776</v>
      </c>
      <c r="X14" s="104" t="s">
        <v>2819</v>
      </c>
    </row>
    <row r="15" spans="1:24" s="63" customFormat="1" ht="32.25" customHeight="1" x14ac:dyDescent="0.2">
      <c r="A15" s="202">
        <v>14</v>
      </c>
      <c r="B15" s="88" t="s">
        <v>279</v>
      </c>
      <c r="C15" s="89">
        <v>14</v>
      </c>
      <c r="D15" s="88" t="str">
        <f t="shared" si="0"/>
        <v>SUPERMIX14</v>
      </c>
      <c r="E15" s="58" t="s">
        <v>55</v>
      </c>
      <c r="F15" s="58" t="s">
        <v>56</v>
      </c>
      <c r="G15" s="88"/>
      <c r="H15" s="90"/>
      <c r="I15" s="90" t="s">
        <v>3787</v>
      </c>
      <c r="J15" s="88"/>
      <c r="K15" s="88"/>
      <c r="L15" s="91"/>
      <c r="M15" s="91"/>
      <c r="N15" s="88">
        <f t="shared" ca="1" si="1"/>
        <v>46187</v>
      </c>
      <c r="O15" s="84" t="str">
        <f ca="1">IF(Tabla1[[#This Row],[|]]&gt;=0,"VENCIDA",IF(Tabla1[[#This Row],[|]]&gt;=-14,"POR VENCER","OK"))</f>
        <v>VENCIDA</v>
      </c>
      <c r="P15" s="90" t="s">
        <v>760</v>
      </c>
      <c r="Q15" s="90" t="s">
        <v>312</v>
      </c>
      <c r="R15" s="88"/>
      <c r="S15" s="88"/>
      <c r="T15" s="88"/>
      <c r="U15" s="88"/>
      <c r="V15" s="88"/>
      <c r="W15" s="92"/>
      <c r="X15" s="92"/>
    </row>
    <row r="16" spans="1:24" s="63" customFormat="1" ht="32.25" customHeight="1" x14ac:dyDescent="0.2">
      <c r="A16" s="202">
        <v>346</v>
      </c>
      <c r="B16" s="88" t="s">
        <v>279</v>
      </c>
      <c r="C16" s="89">
        <v>346</v>
      </c>
      <c r="D16" s="88" t="str">
        <f>CONCATENATE(B16,C16)</f>
        <v>SUPERMIX346</v>
      </c>
      <c r="E16" s="58" t="s">
        <v>1026</v>
      </c>
      <c r="F16" s="58" t="s">
        <v>1028</v>
      </c>
      <c r="G16" s="88" t="s">
        <v>2825</v>
      </c>
      <c r="H16" s="90">
        <v>42462348</v>
      </c>
      <c r="I16" s="90" t="s">
        <v>3787</v>
      </c>
      <c r="J16" s="90" t="s">
        <v>472</v>
      </c>
      <c r="K16" s="88" t="s">
        <v>3142</v>
      </c>
      <c r="L16" s="91">
        <v>39038</v>
      </c>
      <c r="M16" s="91">
        <v>42493</v>
      </c>
      <c r="N16" s="88">
        <f ca="1">TODAY()-M16</f>
        <v>3694</v>
      </c>
      <c r="O16" s="84" t="str">
        <f ca="1">IF(Tabla1[[#This Row],[|]]&gt;=0,"VENCIDA",IF(Tabla1[[#This Row],[|]]&gt;=-14,"POR VENCER","OK"))</f>
        <v>VENCIDA</v>
      </c>
      <c r="P16" s="90" t="s">
        <v>1443</v>
      </c>
      <c r="Q16" s="90" t="s">
        <v>312</v>
      </c>
      <c r="R16" s="88" t="s">
        <v>317</v>
      </c>
      <c r="S16" s="88"/>
      <c r="T16" s="88"/>
      <c r="U16" s="88"/>
      <c r="V16" s="88" t="s">
        <v>1025</v>
      </c>
      <c r="W16" s="92" t="s">
        <v>1082</v>
      </c>
      <c r="X16" s="203"/>
    </row>
    <row r="17" spans="1:24" s="63" customFormat="1" ht="32.25" customHeight="1" x14ac:dyDescent="0.2">
      <c r="A17" s="202">
        <v>16</v>
      </c>
      <c r="B17" s="88" t="s">
        <v>279</v>
      </c>
      <c r="C17" s="89">
        <v>16</v>
      </c>
      <c r="D17" s="88" t="str">
        <f>CONCATENATE(B17,C17)</f>
        <v>SUPERMIX16</v>
      </c>
      <c r="E17" s="105" t="s">
        <v>761</v>
      </c>
      <c r="F17" s="58" t="s">
        <v>762</v>
      </c>
      <c r="G17" s="88" t="s">
        <v>25</v>
      </c>
      <c r="H17" s="99">
        <v>29723431</v>
      </c>
      <c r="I17" s="99" t="s">
        <v>3787</v>
      </c>
      <c r="J17" s="88" t="s">
        <v>625</v>
      </c>
      <c r="K17" s="88" t="s">
        <v>281</v>
      </c>
      <c r="L17" s="91">
        <v>41572</v>
      </c>
      <c r="M17" s="91">
        <v>42198</v>
      </c>
      <c r="N17" s="88">
        <f ca="1">TODAY()-M17</f>
        <v>3989</v>
      </c>
      <c r="O17" s="84" t="str">
        <f ca="1">IF(Tabla1[[#This Row],[|]]&gt;=0,"VENCIDA",IF(Tabla1[[#This Row],[|]]&gt;=-14,"POR VENCER","OK"))</f>
        <v>VENCIDA</v>
      </c>
      <c r="P17" s="90" t="s">
        <v>624</v>
      </c>
      <c r="Q17" s="90" t="s">
        <v>312</v>
      </c>
      <c r="R17" s="88" t="s">
        <v>317</v>
      </c>
      <c r="S17" s="88"/>
      <c r="T17" s="88"/>
      <c r="U17" s="88"/>
      <c r="V17" s="88" t="s">
        <v>763</v>
      </c>
      <c r="W17" s="92" t="s">
        <v>416</v>
      </c>
      <c r="X17" s="203"/>
    </row>
    <row r="18" spans="1:24" s="43" customFormat="1" ht="32.25" customHeight="1" x14ac:dyDescent="0.2">
      <c r="A18" s="42">
        <v>17</v>
      </c>
      <c r="B18" s="93" t="s">
        <v>279</v>
      </c>
      <c r="C18" s="94">
        <v>17</v>
      </c>
      <c r="D18" s="93" t="str">
        <f t="shared" ref="D18:D49" si="2">CONCATENATE(B18,C18)</f>
        <v>SUPERMIX17</v>
      </c>
      <c r="E18" s="165" t="s">
        <v>59</v>
      </c>
      <c r="F18" s="115" t="s">
        <v>60</v>
      </c>
      <c r="G18" s="93" t="s">
        <v>310</v>
      </c>
      <c r="H18" s="98">
        <v>41342430</v>
      </c>
      <c r="I18" s="98" t="s">
        <v>3787</v>
      </c>
      <c r="J18" s="95" t="s">
        <v>1076</v>
      </c>
      <c r="K18" s="93" t="s">
        <v>281</v>
      </c>
      <c r="L18" s="96">
        <v>41200</v>
      </c>
      <c r="M18" s="96">
        <v>46323</v>
      </c>
      <c r="N18" s="88">
        <f t="shared" ref="N18:N81" ca="1" si="3">TODAY()-M18</f>
        <v>-136</v>
      </c>
      <c r="O18" s="84" t="str">
        <f ca="1">IF(Tabla1[[#This Row],[|]]&gt;=0,"VENCIDA",IF(Tabla1[[#This Row],[|]]&gt;=-14,"POR VENCER","OK"))</f>
        <v>OK</v>
      </c>
      <c r="P18" s="95" t="s">
        <v>512</v>
      </c>
      <c r="Q18" s="95" t="s">
        <v>312</v>
      </c>
      <c r="R18" s="106"/>
      <c r="S18" s="93"/>
      <c r="T18" s="93"/>
      <c r="U18" s="93"/>
      <c r="V18" s="95" t="s">
        <v>522</v>
      </c>
      <c r="W18" s="97" t="s">
        <v>511</v>
      </c>
      <c r="X18" s="204"/>
    </row>
    <row r="19" spans="1:24" s="63" customFormat="1" ht="32.25" customHeight="1" x14ac:dyDescent="0.2">
      <c r="A19" s="202">
        <v>19</v>
      </c>
      <c r="B19" s="88" t="s">
        <v>279</v>
      </c>
      <c r="C19" s="89">
        <v>19</v>
      </c>
      <c r="D19" s="88" t="str">
        <f t="shared" si="2"/>
        <v>SUPERMIX19</v>
      </c>
      <c r="E19" s="105" t="s">
        <v>61</v>
      </c>
      <c r="F19" s="58" t="s">
        <v>62</v>
      </c>
      <c r="G19" s="88" t="s">
        <v>25</v>
      </c>
      <c r="H19" s="90">
        <v>29343420</v>
      </c>
      <c r="I19" s="90" t="s">
        <v>3787</v>
      </c>
      <c r="J19" s="88" t="s">
        <v>285</v>
      </c>
      <c r="K19" s="88" t="s">
        <v>281</v>
      </c>
      <c r="L19" s="91">
        <v>37944</v>
      </c>
      <c r="M19" s="91">
        <v>41279</v>
      </c>
      <c r="N19" s="88">
        <f t="shared" ca="1" si="3"/>
        <v>4908</v>
      </c>
      <c r="O19" s="84" t="str">
        <f ca="1">IF(Tabla1[[#This Row],[|]]&gt;=0,"VENCIDA",IF(Tabla1[[#This Row],[|]]&gt;=-14,"POR VENCER","OK"))</f>
        <v>VENCIDA</v>
      </c>
      <c r="P19" s="90" t="s">
        <v>597</v>
      </c>
      <c r="Q19" s="90" t="s">
        <v>312</v>
      </c>
      <c r="R19" s="91" t="s">
        <v>317</v>
      </c>
      <c r="S19" s="88"/>
      <c r="T19" s="88"/>
      <c r="U19" s="88"/>
      <c r="V19" s="88" t="s">
        <v>282</v>
      </c>
      <c r="W19" s="92" t="s">
        <v>299</v>
      </c>
      <c r="X19" s="203">
        <v>12.5</v>
      </c>
    </row>
    <row r="20" spans="1:24" s="63" customFormat="1" ht="32.25" customHeight="1" x14ac:dyDescent="0.2">
      <c r="A20" s="202">
        <v>20</v>
      </c>
      <c r="B20" s="88" t="s">
        <v>279</v>
      </c>
      <c r="C20" s="89">
        <v>20</v>
      </c>
      <c r="D20" s="88" t="str">
        <f t="shared" si="2"/>
        <v>SUPERMIX20</v>
      </c>
      <c r="E20" s="105" t="s">
        <v>63</v>
      </c>
      <c r="F20" s="58" t="s">
        <v>64</v>
      </c>
      <c r="G20" s="88" t="s">
        <v>25</v>
      </c>
      <c r="H20" s="88">
        <v>41784165</v>
      </c>
      <c r="I20" s="88" t="s">
        <v>3787</v>
      </c>
      <c r="J20" s="88" t="s">
        <v>445</v>
      </c>
      <c r="K20" s="88" t="s">
        <v>293</v>
      </c>
      <c r="L20" s="91">
        <v>40421</v>
      </c>
      <c r="M20" s="91">
        <v>41517</v>
      </c>
      <c r="N20" s="88">
        <f t="shared" ca="1" si="3"/>
        <v>4670</v>
      </c>
      <c r="O20" s="84" t="str">
        <f ca="1">IF(Tabla1[[#This Row],[|]]&gt;=0,"VENCIDA",IF(Tabla1[[#This Row],[|]]&gt;=-14,"POR VENCER","OK"))</f>
        <v>VENCIDA</v>
      </c>
      <c r="P20" s="90" t="s">
        <v>446</v>
      </c>
      <c r="Q20" s="90" t="s">
        <v>312</v>
      </c>
      <c r="R20" s="88" t="s">
        <v>317</v>
      </c>
      <c r="S20" s="88"/>
      <c r="T20" s="88"/>
      <c r="U20" s="88"/>
      <c r="V20" s="88" t="s">
        <v>423</v>
      </c>
      <c r="W20" s="92" t="s">
        <v>416</v>
      </c>
      <c r="X20" s="203">
        <v>12.5</v>
      </c>
    </row>
    <row r="21" spans="1:24" s="63" customFormat="1" ht="32.25" customHeight="1" x14ac:dyDescent="0.2">
      <c r="A21" s="202">
        <v>21</v>
      </c>
      <c r="B21" s="88" t="s">
        <v>279</v>
      </c>
      <c r="C21" s="89">
        <v>21</v>
      </c>
      <c r="D21" s="88" t="str">
        <f t="shared" si="2"/>
        <v>SUPERMIX21</v>
      </c>
      <c r="E21" s="58" t="s">
        <v>65</v>
      </c>
      <c r="F21" s="58" t="s">
        <v>66</v>
      </c>
      <c r="G21" s="88" t="s">
        <v>25</v>
      </c>
      <c r="H21" s="90">
        <v>29620454</v>
      </c>
      <c r="I21" s="90" t="s">
        <v>3787</v>
      </c>
      <c r="J21" s="90" t="s">
        <v>990</v>
      </c>
      <c r="K21" s="88" t="s">
        <v>281</v>
      </c>
      <c r="L21" s="91">
        <v>36803</v>
      </c>
      <c r="M21" s="91">
        <v>43491</v>
      </c>
      <c r="N21" s="88">
        <f t="shared" ca="1" si="3"/>
        <v>2696</v>
      </c>
      <c r="O21" s="84" t="str">
        <f ca="1">IF(Tabla1[[#This Row],[|]]&gt;=0,"VENCIDA",IF(Tabla1[[#This Row],[|]]&gt;=-14,"POR VENCER","OK"))</f>
        <v>VENCIDA</v>
      </c>
      <c r="P21" s="90" t="s">
        <v>1369</v>
      </c>
      <c r="Q21" s="90" t="s">
        <v>312</v>
      </c>
      <c r="R21" s="88" t="s">
        <v>317</v>
      </c>
      <c r="S21" s="88"/>
      <c r="T21" s="88"/>
      <c r="U21" s="88"/>
      <c r="V21" s="88" t="s">
        <v>986</v>
      </c>
      <c r="W21" s="92" t="s">
        <v>1350</v>
      </c>
      <c r="X21" s="92"/>
    </row>
    <row r="22" spans="1:24" s="63" customFormat="1" ht="32.25" customHeight="1" x14ac:dyDescent="0.2">
      <c r="A22" s="202">
        <v>22</v>
      </c>
      <c r="B22" s="88" t="s">
        <v>279</v>
      </c>
      <c r="C22" s="89">
        <v>22</v>
      </c>
      <c r="D22" s="88" t="str">
        <f t="shared" si="2"/>
        <v>SUPERMIX22</v>
      </c>
      <c r="E22" s="105" t="s">
        <v>67</v>
      </c>
      <c r="F22" s="58" t="s">
        <v>68</v>
      </c>
      <c r="G22" s="88" t="s">
        <v>25</v>
      </c>
      <c r="H22" s="107" t="s">
        <v>528</v>
      </c>
      <c r="I22" s="107" t="s">
        <v>3787</v>
      </c>
      <c r="J22" s="107" t="s">
        <v>721</v>
      </c>
      <c r="K22" s="88" t="s">
        <v>293</v>
      </c>
      <c r="L22" s="91">
        <v>41494</v>
      </c>
      <c r="M22" s="91">
        <v>42429</v>
      </c>
      <c r="N22" s="88">
        <f t="shared" ca="1" si="3"/>
        <v>3758</v>
      </c>
      <c r="O22" s="84" t="str">
        <f ca="1">IF(Tabla1[[#This Row],[|]]&gt;=0,"VENCIDA",IF(Tabla1[[#This Row],[|]]&gt;=-14,"POR VENCER","OK"))</f>
        <v>VENCIDA</v>
      </c>
      <c r="P22" s="90" t="s">
        <v>597</v>
      </c>
      <c r="Q22" s="90" t="s">
        <v>312</v>
      </c>
      <c r="R22" s="88" t="s">
        <v>317</v>
      </c>
      <c r="S22" s="88"/>
      <c r="T22" s="88"/>
      <c r="U22" s="88"/>
      <c r="V22" s="88" t="s">
        <v>715</v>
      </c>
      <c r="W22" s="92" t="s">
        <v>716</v>
      </c>
      <c r="X22" s="203"/>
    </row>
    <row r="23" spans="1:24" s="63" customFormat="1" ht="32.25" customHeight="1" x14ac:dyDescent="0.2">
      <c r="A23" s="202">
        <v>23</v>
      </c>
      <c r="B23" s="88" t="s">
        <v>279</v>
      </c>
      <c r="C23" s="89">
        <v>23</v>
      </c>
      <c r="D23" s="88" t="str">
        <f t="shared" si="2"/>
        <v>SUPERMIX23</v>
      </c>
      <c r="E23" s="105" t="s">
        <v>773</v>
      </c>
      <c r="F23" s="58" t="s">
        <v>359</v>
      </c>
      <c r="G23" s="88" t="s">
        <v>774</v>
      </c>
      <c r="H23" s="88">
        <v>29734334</v>
      </c>
      <c r="I23" s="88" t="s">
        <v>3787</v>
      </c>
      <c r="J23" s="88" t="s">
        <v>775</v>
      </c>
      <c r="K23" s="88" t="s">
        <v>281</v>
      </c>
      <c r="L23" s="91">
        <v>34261</v>
      </c>
      <c r="M23" s="91">
        <v>43688</v>
      </c>
      <c r="N23" s="88">
        <f t="shared" ca="1" si="3"/>
        <v>2499</v>
      </c>
      <c r="O23" s="84" t="str">
        <f ca="1">IF(Tabla1[[#This Row],[|]]&gt;=0,"VENCIDA",IF(Tabla1[[#This Row],[|]]&gt;=-14,"POR VENCER","OK"))</f>
        <v>VENCIDA</v>
      </c>
      <c r="P23" s="90" t="s">
        <v>1139</v>
      </c>
      <c r="Q23" s="90" t="s">
        <v>312</v>
      </c>
      <c r="R23" s="88" t="s">
        <v>17</v>
      </c>
      <c r="S23" s="88"/>
      <c r="T23" s="88"/>
      <c r="U23" s="88"/>
      <c r="V23" s="88" t="s">
        <v>763</v>
      </c>
      <c r="W23" s="92" t="s">
        <v>416</v>
      </c>
      <c r="X23" s="203">
        <v>18</v>
      </c>
    </row>
    <row r="24" spans="1:24" s="63" customFormat="1" ht="32.25" customHeight="1" x14ac:dyDescent="0.2">
      <c r="A24" s="202">
        <v>24</v>
      </c>
      <c r="B24" s="88" t="s">
        <v>279</v>
      </c>
      <c r="C24" s="89">
        <v>24</v>
      </c>
      <c r="D24" s="88" t="str">
        <f t="shared" si="2"/>
        <v>SUPERMIX24</v>
      </c>
      <c r="E24" s="105" t="s">
        <v>69</v>
      </c>
      <c r="F24" s="58" t="s">
        <v>70</v>
      </c>
      <c r="G24" s="88" t="s">
        <v>25</v>
      </c>
      <c r="H24" s="90">
        <v>29512286</v>
      </c>
      <c r="I24" s="90" t="s">
        <v>3787</v>
      </c>
      <c r="J24" s="92" t="s">
        <v>439</v>
      </c>
      <c r="K24" s="88" t="s">
        <v>281</v>
      </c>
      <c r="L24" s="91">
        <v>37230</v>
      </c>
      <c r="M24" s="91">
        <v>41407</v>
      </c>
      <c r="N24" s="88">
        <f t="shared" ca="1" si="3"/>
        <v>4780</v>
      </c>
      <c r="O24" s="84" t="str">
        <f ca="1">IF(Tabla1[[#This Row],[|]]&gt;=0,"VENCIDA",IF(Tabla1[[#This Row],[|]]&gt;=-14,"POR VENCER","OK"))</f>
        <v>VENCIDA</v>
      </c>
      <c r="P24" s="90" t="s">
        <v>437</v>
      </c>
      <c r="Q24" s="90" t="s">
        <v>312</v>
      </c>
      <c r="R24" s="88" t="s">
        <v>317</v>
      </c>
      <c r="S24" s="88"/>
      <c r="T24" s="88"/>
      <c r="U24" s="88"/>
      <c r="V24" s="88" t="s">
        <v>423</v>
      </c>
      <c r="W24" s="92" t="s">
        <v>416</v>
      </c>
      <c r="X24" s="203">
        <v>16.5</v>
      </c>
    </row>
    <row r="25" spans="1:24" s="63" customFormat="1" ht="32.25" customHeight="1" x14ac:dyDescent="0.2">
      <c r="A25" s="202">
        <v>25</v>
      </c>
      <c r="B25" s="88" t="s">
        <v>279</v>
      </c>
      <c r="C25" s="89">
        <v>25</v>
      </c>
      <c r="D25" s="88" t="str">
        <f t="shared" si="2"/>
        <v>SUPERMIX25</v>
      </c>
      <c r="E25" s="105" t="s">
        <v>747</v>
      </c>
      <c r="F25" s="58" t="s">
        <v>748</v>
      </c>
      <c r="G25" s="88" t="s">
        <v>25</v>
      </c>
      <c r="H25" s="90">
        <v>70581379</v>
      </c>
      <c r="I25" s="90" t="s">
        <v>3787</v>
      </c>
      <c r="J25" s="88" t="s">
        <v>749</v>
      </c>
      <c r="K25" s="88" t="s">
        <v>293</v>
      </c>
      <c r="L25" s="91">
        <v>42565</v>
      </c>
      <c r="M25" s="91">
        <v>43660</v>
      </c>
      <c r="N25" s="88">
        <f t="shared" ca="1" si="3"/>
        <v>2527</v>
      </c>
      <c r="O25" s="84" t="str">
        <f ca="1">IF(Tabla1[[#This Row],[|]]&gt;=0,"VENCIDA",IF(Tabla1[[#This Row],[|]]&gt;=-14,"POR VENCER","OK"))</f>
        <v>VENCIDA</v>
      </c>
      <c r="P25" s="90" t="s">
        <v>640</v>
      </c>
      <c r="Q25" s="90" t="s">
        <v>312</v>
      </c>
      <c r="R25" s="88" t="s">
        <v>317</v>
      </c>
      <c r="S25" s="88"/>
      <c r="T25" s="88"/>
      <c r="U25" s="88"/>
      <c r="V25" s="88" t="s">
        <v>750</v>
      </c>
      <c r="W25" s="92" t="s">
        <v>751</v>
      </c>
      <c r="X25" s="92"/>
    </row>
    <row r="26" spans="1:24" s="63" customFormat="1" ht="32.25" customHeight="1" x14ac:dyDescent="0.2">
      <c r="A26" s="202">
        <v>26</v>
      </c>
      <c r="B26" s="88" t="s">
        <v>279</v>
      </c>
      <c r="C26" s="89">
        <v>26</v>
      </c>
      <c r="D26" s="88" t="str">
        <f t="shared" si="2"/>
        <v>SUPERMIX26</v>
      </c>
      <c r="E26" s="58" t="s">
        <v>71</v>
      </c>
      <c r="F26" s="58" t="s">
        <v>32</v>
      </c>
      <c r="G26" s="88"/>
      <c r="H26" s="99"/>
      <c r="I26" s="99" t="s">
        <v>3787</v>
      </c>
      <c r="J26" s="92"/>
      <c r="K26" s="88"/>
      <c r="L26" s="91"/>
      <c r="M26" s="91"/>
      <c r="N26" s="88">
        <f t="shared" ca="1" si="3"/>
        <v>46187</v>
      </c>
      <c r="O26" s="84" t="str">
        <f ca="1">IF(Tabla1[[#This Row],[|]]&gt;=0,"VENCIDA",IF(Tabla1[[#This Row],[|]]&gt;=-14,"POR VENCER","OK"))</f>
        <v>VENCIDA</v>
      </c>
      <c r="P26" s="90" t="s">
        <v>323</v>
      </c>
      <c r="Q26" s="90" t="s">
        <v>312</v>
      </c>
      <c r="R26" s="88"/>
      <c r="S26" s="88"/>
      <c r="T26" s="88"/>
      <c r="U26" s="88"/>
      <c r="V26" s="88"/>
      <c r="W26" s="92"/>
      <c r="X26" s="92"/>
    </row>
    <row r="27" spans="1:24" s="63" customFormat="1" ht="32.25" customHeight="1" x14ac:dyDescent="0.2">
      <c r="A27" s="202">
        <v>27</v>
      </c>
      <c r="B27" s="88" t="s">
        <v>279</v>
      </c>
      <c r="C27" s="89">
        <v>27</v>
      </c>
      <c r="D27" s="88" t="str">
        <f t="shared" si="2"/>
        <v>SUPERMIX27</v>
      </c>
      <c r="E27" s="58" t="s">
        <v>752</v>
      </c>
      <c r="F27" s="58" t="s">
        <v>753</v>
      </c>
      <c r="G27" s="88" t="s">
        <v>25</v>
      </c>
      <c r="H27" s="90">
        <v>43419610</v>
      </c>
      <c r="I27" s="90" t="s">
        <v>3787</v>
      </c>
      <c r="J27" s="88" t="s">
        <v>754</v>
      </c>
      <c r="K27" s="88" t="s">
        <v>3142</v>
      </c>
      <c r="L27" s="91">
        <v>42332</v>
      </c>
      <c r="M27" s="91">
        <v>44602</v>
      </c>
      <c r="N27" s="88">
        <f t="shared" ca="1" si="3"/>
        <v>1585</v>
      </c>
      <c r="O27" s="84" t="str">
        <f ca="1">IF(Tabla1[[#This Row],[|]]&gt;=0,"VENCIDA",IF(Tabla1[[#This Row],[|]]&gt;=-14,"POR VENCER","OK"))</f>
        <v>VENCIDA</v>
      </c>
      <c r="P27" s="90" t="s">
        <v>3525</v>
      </c>
      <c r="Q27" s="90" t="s">
        <v>312</v>
      </c>
      <c r="R27" s="88" t="s">
        <v>317</v>
      </c>
      <c r="S27" s="88"/>
      <c r="T27" s="88"/>
      <c r="U27" s="88"/>
      <c r="V27" s="88"/>
      <c r="W27" s="92" t="s">
        <v>511</v>
      </c>
      <c r="X27" s="92"/>
    </row>
    <row r="28" spans="1:24" s="63" customFormat="1" ht="32.25" customHeight="1" x14ac:dyDescent="0.2">
      <c r="A28" s="202">
        <v>28</v>
      </c>
      <c r="B28" s="88" t="s">
        <v>279</v>
      </c>
      <c r="C28" s="89">
        <v>28</v>
      </c>
      <c r="D28" s="88" t="str">
        <f t="shared" si="2"/>
        <v>SUPERMIX28</v>
      </c>
      <c r="E28" s="105" t="s">
        <v>72</v>
      </c>
      <c r="F28" s="58" t="s">
        <v>73</v>
      </c>
      <c r="G28" s="88" t="s">
        <v>25</v>
      </c>
      <c r="H28" s="88">
        <v>29604302</v>
      </c>
      <c r="I28" s="88" t="s">
        <v>3787</v>
      </c>
      <c r="J28" s="88" t="s">
        <v>319</v>
      </c>
      <c r="K28" s="88" t="s">
        <v>281</v>
      </c>
      <c r="L28" s="91">
        <v>37116</v>
      </c>
      <c r="M28" s="91">
        <v>41576</v>
      </c>
      <c r="N28" s="88">
        <f t="shared" ca="1" si="3"/>
        <v>4611</v>
      </c>
      <c r="O28" s="84" t="str">
        <f ca="1">IF(Tabla1[[#This Row],[|]]&gt;=0,"VENCIDA",IF(Tabla1[[#This Row],[|]]&gt;=-14,"POR VENCER","OK"))</f>
        <v>VENCIDA</v>
      </c>
      <c r="P28" s="90" t="s">
        <v>1510</v>
      </c>
      <c r="Q28" s="90" t="s">
        <v>312</v>
      </c>
      <c r="R28" s="88" t="s">
        <v>317</v>
      </c>
      <c r="S28" s="88"/>
      <c r="T28" s="88"/>
      <c r="U28" s="88"/>
      <c r="V28" s="88" t="s">
        <v>306</v>
      </c>
      <c r="W28" s="92" t="s">
        <v>377</v>
      </c>
      <c r="X28" s="203">
        <v>18</v>
      </c>
    </row>
    <row r="29" spans="1:24" s="63" customFormat="1" ht="32.25" customHeight="1" x14ac:dyDescent="0.2">
      <c r="A29" s="202">
        <v>29</v>
      </c>
      <c r="B29" s="88" t="s">
        <v>279</v>
      </c>
      <c r="C29" s="89">
        <v>29</v>
      </c>
      <c r="D29" s="88" t="str">
        <f t="shared" si="2"/>
        <v>SUPERMIX29</v>
      </c>
      <c r="E29" s="58" t="s">
        <v>74</v>
      </c>
      <c r="F29" s="58" t="s">
        <v>75</v>
      </c>
      <c r="G29" s="88" t="s">
        <v>25</v>
      </c>
      <c r="H29" s="107" t="s">
        <v>286</v>
      </c>
      <c r="I29" s="107" t="s">
        <v>3787</v>
      </c>
      <c r="J29" s="88" t="s">
        <v>287</v>
      </c>
      <c r="K29" s="88" t="s">
        <v>281</v>
      </c>
      <c r="L29" s="91">
        <v>32253</v>
      </c>
      <c r="M29" s="91">
        <v>44813</v>
      </c>
      <c r="N29" s="88">
        <f t="shared" ca="1" si="3"/>
        <v>1374</v>
      </c>
      <c r="O29" s="84" t="str">
        <f ca="1">IF(Tabla1[[#This Row],[|]]&gt;=0,"VENCIDA",IF(Tabla1[[#This Row],[|]]&gt;=-14,"POR VENCER","OK"))</f>
        <v>VENCIDA</v>
      </c>
      <c r="P29" s="90" t="s">
        <v>2838</v>
      </c>
      <c r="Q29" s="90" t="s">
        <v>312</v>
      </c>
      <c r="R29" s="88" t="s">
        <v>317</v>
      </c>
      <c r="S29" s="88"/>
      <c r="T29" s="88"/>
      <c r="U29" s="88"/>
      <c r="V29" s="90" t="s">
        <v>928</v>
      </c>
      <c r="W29" s="92" t="s">
        <v>850</v>
      </c>
      <c r="X29" s="203" t="s">
        <v>597</v>
      </c>
    </row>
    <row r="30" spans="1:24" s="63" customFormat="1" ht="32.25" customHeight="1" x14ac:dyDescent="0.2">
      <c r="A30" s="202">
        <v>31</v>
      </c>
      <c r="B30" s="88" t="s">
        <v>279</v>
      </c>
      <c r="C30" s="89">
        <v>31</v>
      </c>
      <c r="D30" s="88" t="str">
        <f t="shared" si="2"/>
        <v>SUPERMIX31</v>
      </c>
      <c r="E30" s="58" t="s">
        <v>76</v>
      </c>
      <c r="F30" s="58" t="s">
        <v>77</v>
      </c>
      <c r="G30" s="88" t="s">
        <v>25</v>
      </c>
      <c r="H30" s="90">
        <v>29723943</v>
      </c>
      <c r="I30" s="90" t="s">
        <v>3787</v>
      </c>
      <c r="J30" s="88" t="s">
        <v>303</v>
      </c>
      <c r="K30" s="88" t="s">
        <v>281</v>
      </c>
      <c r="L30" s="91">
        <v>38094</v>
      </c>
      <c r="M30" s="91">
        <v>41589</v>
      </c>
      <c r="N30" s="88">
        <f t="shared" ca="1" si="3"/>
        <v>4598</v>
      </c>
      <c r="O30" s="84" t="str">
        <f ca="1">IF(Tabla1[[#This Row],[|]]&gt;=0,"VENCIDA",IF(Tabla1[[#This Row],[|]]&gt;=-14,"POR VENCER","OK"))</f>
        <v>VENCIDA</v>
      </c>
      <c r="P30" s="90" t="s">
        <v>597</v>
      </c>
      <c r="Q30" s="90" t="s">
        <v>312</v>
      </c>
      <c r="R30" s="88" t="s">
        <v>317</v>
      </c>
      <c r="S30" s="88"/>
      <c r="T30" s="88"/>
      <c r="U30" s="88"/>
      <c r="V30" s="88" t="s">
        <v>282</v>
      </c>
      <c r="W30" s="92" t="s">
        <v>299</v>
      </c>
      <c r="X30" s="203">
        <v>13</v>
      </c>
    </row>
    <row r="31" spans="1:24" s="63" customFormat="1" ht="32.25" customHeight="1" x14ac:dyDescent="0.2">
      <c r="A31" s="202">
        <v>32</v>
      </c>
      <c r="B31" s="88" t="s">
        <v>279</v>
      </c>
      <c r="C31" s="89">
        <v>32</v>
      </c>
      <c r="D31" s="88" t="str">
        <f t="shared" si="2"/>
        <v>SUPERMIX32</v>
      </c>
      <c r="E31" s="105" t="s">
        <v>78</v>
      </c>
      <c r="F31" s="58" t="s">
        <v>79</v>
      </c>
      <c r="G31" s="88"/>
      <c r="H31" s="88">
        <v>29707420</v>
      </c>
      <c r="I31" s="88" t="s">
        <v>3787</v>
      </c>
      <c r="J31" s="90" t="s">
        <v>626</v>
      </c>
      <c r="K31" s="88" t="s">
        <v>293</v>
      </c>
      <c r="L31" s="91"/>
      <c r="M31" s="91">
        <v>42300</v>
      </c>
      <c r="N31" s="88">
        <f t="shared" ca="1" si="3"/>
        <v>3887</v>
      </c>
      <c r="O31" s="84" t="str">
        <f ca="1">IF(Tabla1[[#This Row],[|]]&gt;=0,"VENCIDA",IF(Tabla1[[#This Row],[|]]&gt;=-14,"POR VENCER","OK"))</f>
        <v>VENCIDA</v>
      </c>
      <c r="P31" s="90" t="s">
        <v>323</v>
      </c>
      <c r="Q31" s="90" t="s">
        <v>312</v>
      </c>
      <c r="R31" s="88"/>
      <c r="S31" s="88"/>
      <c r="T31" s="88"/>
      <c r="U31" s="88"/>
      <c r="V31" s="88" t="s">
        <v>621</v>
      </c>
      <c r="W31" s="92" t="s">
        <v>416</v>
      </c>
      <c r="X31" s="92"/>
    </row>
    <row r="32" spans="1:24" s="63" customFormat="1" ht="32.25" customHeight="1" x14ac:dyDescent="0.2">
      <c r="A32" s="202">
        <v>33</v>
      </c>
      <c r="B32" s="88" t="s">
        <v>279</v>
      </c>
      <c r="C32" s="89">
        <v>33</v>
      </c>
      <c r="D32" s="88" t="str">
        <f t="shared" si="2"/>
        <v>SUPERMIX33</v>
      </c>
      <c r="E32" s="105" t="s">
        <v>391</v>
      </c>
      <c r="F32" s="58" t="s">
        <v>392</v>
      </c>
      <c r="G32" s="88" t="s">
        <v>25</v>
      </c>
      <c r="H32" s="88">
        <v>29373481</v>
      </c>
      <c r="I32" s="88" t="s">
        <v>3787</v>
      </c>
      <c r="J32" s="88" t="s">
        <v>393</v>
      </c>
      <c r="K32" s="88" t="s">
        <v>281</v>
      </c>
      <c r="L32" s="91">
        <v>34463</v>
      </c>
      <c r="M32" s="91">
        <v>44491</v>
      </c>
      <c r="N32" s="88">
        <f t="shared" ca="1" si="3"/>
        <v>1696</v>
      </c>
      <c r="O32" s="84" t="str">
        <f ca="1">IF(Tabla1[[#This Row],[|]]&gt;=0,"VENCIDA",IF(Tabla1[[#This Row],[|]]&gt;=-14,"POR VENCER","OK"))</f>
        <v>VENCIDA</v>
      </c>
      <c r="P32" s="90" t="s">
        <v>597</v>
      </c>
      <c r="Q32" s="90" t="s">
        <v>312</v>
      </c>
      <c r="R32" s="88" t="s">
        <v>317</v>
      </c>
      <c r="S32" s="88"/>
      <c r="T32" s="88"/>
      <c r="U32" s="88"/>
      <c r="V32" s="88" t="s">
        <v>282</v>
      </c>
      <c r="W32" s="92" t="s">
        <v>717</v>
      </c>
      <c r="X32" s="203" t="s">
        <v>597</v>
      </c>
    </row>
    <row r="33" spans="1:24" s="63" customFormat="1" ht="32.25" customHeight="1" x14ac:dyDescent="0.2">
      <c r="A33" s="202">
        <v>34</v>
      </c>
      <c r="B33" s="88" t="s">
        <v>279</v>
      </c>
      <c r="C33" s="89">
        <v>34</v>
      </c>
      <c r="D33" s="88" t="str">
        <f t="shared" si="2"/>
        <v>SUPERMIX34</v>
      </c>
      <c r="E33" s="58" t="s">
        <v>80</v>
      </c>
      <c r="F33" s="58" t="s">
        <v>570</v>
      </c>
      <c r="G33" s="88" t="s">
        <v>25</v>
      </c>
      <c r="H33" s="88">
        <v>42955269</v>
      </c>
      <c r="I33" s="88" t="s">
        <v>3787</v>
      </c>
      <c r="J33" s="88" t="s">
        <v>1505</v>
      </c>
      <c r="K33" s="88" t="s">
        <v>293</v>
      </c>
      <c r="L33" s="91">
        <v>41582</v>
      </c>
      <c r="M33" s="91">
        <v>43755</v>
      </c>
      <c r="N33" s="88">
        <f t="shared" ca="1" si="3"/>
        <v>2432</v>
      </c>
      <c r="O33" s="84" t="str">
        <f ca="1">IF(Tabla1[[#This Row],[|]]&gt;=0,"VENCIDA",IF(Tabla1[[#This Row],[|]]&gt;=-14,"POR VENCER","OK"))</f>
        <v>VENCIDA</v>
      </c>
      <c r="P33" s="90" t="s">
        <v>1506</v>
      </c>
      <c r="Q33" s="90" t="s">
        <v>312</v>
      </c>
      <c r="R33" s="88" t="s">
        <v>317</v>
      </c>
      <c r="S33" s="88"/>
      <c r="T33" s="88"/>
      <c r="U33" s="88"/>
      <c r="V33" s="88" t="s">
        <v>763</v>
      </c>
      <c r="W33" s="92" t="s">
        <v>1480</v>
      </c>
      <c r="X33" s="92"/>
    </row>
    <row r="34" spans="1:24" s="63" customFormat="1" ht="32.25" customHeight="1" x14ac:dyDescent="0.2">
      <c r="A34" s="202">
        <v>35</v>
      </c>
      <c r="B34" s="88" t="s">
        <v>279</v>
      </c>
      <c r="C34" s="89">
        <v>35</v>
      </c>
      <c r="D34" s="88" t="str">
        <f t="shared" si="2"/>
        <v>SUPERMIX35</v>
      </c>
      <c r="E34" s="58" t="s">
        <v>755</v>
      </c>
      <c r="F34" s="58" t="s">
        <v>21</v>
      </c>
      <c r="G34" s="88" t="s">
        <v>25</v>
      </c>
      <c r="H34" s="88">
        <v>42315337</v>
      </c>
      <c r="I34" s="88" t="s">
        <v>3787</v>
      </c>
      <c r="J34" s="88" t="s">
        <v>756</v>
      </c>
      <c r="K34" s="88" t="s">
        <v>343</v>
      </c>
      <c r="L34" s="91">
        <v>41558</v>
      </c>
      <c r="M34" s="91">
        <v>42237</v>
      </c>
      <c r="N34" s="88">
        <f t="shared" ca="1" si="3"/>
        <v>3950</v>
      </c>
      <c r="O34" s="84" t="str">
        <f ca="1">IF(Tabla1[[#This Row],[|]]&gt;=0,"VENCIDA",IF(Tabla1[[#This Row],[|]]&gt;=-14,"POR VENCER","OK"))</f>
        <v>VENCIDA</v>
      </c>
      <c r="P34" s="90" t="s">
        <v>321</v>
      </c>
      <c r="Q34" s="90" t="s">
        <v>312</v>
      </c>
      <c r="R34" s="88" t="s">
        <v>317</v>
      </c>
      <c r="S34" s="88"/>
      <c r="T34" s="88"/>
      <c r="U34" s="88"/>
      <c r="V34" s="88" t="s">
        <v>329</v>
      </c>
      <c r="W34" s="92" t="s">
        <v>700</v>
      </c>
      <c r="X34" s="92"/>
    </row>
    <row r="35" spans="1:24" s="63" customFormat="1" ht="32.25" customHeight="1" x14ac:dyDescent="0.2">
      <c r="A35" s="202">
        <v>36</v>
      </c>
      <c r="B35" s="88" t="s">
        <v>279</v>
      </c>
      <c r="C35" s="89">
        <v>36</v>
      </c>
      <c r="D35" s="88" t="str">
        <f t="shared" si="2"/>
        <v>SUPERMIX36</v>
      </c>
      <c r="E35" s="58" t="s">
        <v>82</v>
      </c>
      <c r="F35" s="58" t="s">
        <v>23</v>
      </c>
      <c r="G35" s="88" t="s">
        <v>310</v>
      </c>
      <c r="H35" s="88">
        <v>24701270</v>
      </c>
      <c r="I35" s="88" t="s">
        <v>3787</v>
      </c>
      <c r="J35" s="92" t="s">
        <v>477</v>
      </c>
      <c r="K35" s="88" t="s">
        <v>281</v>
      </c>
      <c r="L35" s="91">
        <v>40586</v>
      </c>
      <c r="M35" s="91">
        <v>41224</v>
      </c>
      <c r="N35" s="88">
        <f t="shared" ca="1" si="3"/>
        <v>4963</v>
      </c>
      <c r="O35" s="84" t="str">
        <f ca="1">IF(Tabla1[[#This Row],[|]]&gt;=0,"VENCIDA",IF(Tabla1[[#This Row],[|]]&gt;=-14,"POR VENCER","OK"))</f>
        <v>VENCIDA</v>
      </c>
      <c r="P35" s="90" t="s">
        <v>1356</v>
      </c>
      <c r="Q35" s="90" t="s">
        <v>312</v>
      </c>
      <c r="R35" s="88" t="s">
        <v>317</v>
      </c>
      <c r="S35" s="88"/>
      <c r="T35" s="88"/>
      <c r="U35" s="88"/>
      <c r="V35" s="90" t="s">
        <v>474</v>
      </c>
      <c r="W35" s="92" t="s">
        <v>471</v>
      </c>
      <c r="X35" s="203"/>
    </row>
    <row r="36" spans="1:24" s="63" customFormat="1" ht="32.25" customHeight="1" x14ac:dyDescent="0.2">
      <c r="A36" s="202">
        <v>38</v>
      </c>
      <c r="B36" s="88" t="s">
        <v>279</v>
      </c>
      <c r="C36" s="89">
        <v>38</v>
      </c>
      <c r="D36" s="88" t="str">
        <f t="shared" si="2"/>
        <v>SUPERMIX38</v>
      </c>
      <c r="E36" s="105" t="s">
        <v>84</v>
      </c>
      <c r="F36" s="58" t="s">
        <v>50</v>
      </c>
      <c r="G36" s="88" t="s">
        <v>25</v>
      </c>
      <c r="H36" s="90">
        <v>29414798</v>
      </c>
      <c r="I36" s="90" t="s">
        <v>3787</v>
      </c>
      <c r="J36" s="88" t="s">
        <v>283</v>
      </c>
      <c r="K36" s="88" t="s">
        <v>281</v>
      </c>
      <c r="L36" s="91">
        <v>37037</v>
      </c>
      <c r="M36" s="91">
        <v>43554</v>
      </c>
      <c r="N36" s="88">
        <f t="shared" ca="1" si="3"/>
        <v>2633</v>
      </c>
      <c r="O36" s="84" t="str">
        <f ca="1">IF(Tabla1[[#This Row],[|]]&gt;=0,"VENCIDA",IF(Tabla1[[#This Row],[|]]&gt;=-14,"POR VENCER","OK"))</f>
        <v>VENCIDA</v>
      </c>
      <c r="P36" s="90" t="s">
        <v>2669</v>
      </c>
      <c r="Q36" s="90" t="s">
        <v>312</v>
      </c>
      <c r="R36" s="88" t="s">
        <v>317</v>
      </c>
      <c r="S36" s="88"/>
      <c r="T36" s="88"/>
      <c r="U36" s="88"/>
      <c r="V36" s="88" t="s">
        <v>668</v>
      </c>
      <c r="W36" s="92" t="s">
        <v>1112</v>
      </c>
      <c r="X36" s="203">
        <v>18</v>
      </c>
    </row>
    <row r="37" spans="1:24" s="43" customFormat="1" ht="32.25" customHeight="1" x14ac:dyDescent="0.2">
      <c r="A37" s="42">
        <v>39</v>
      </c>
      <c r="B37" s="93" t="s">
        <v>279</v>
      </c>
      <c r="C37" s="94">
        <v>39</v>
      </c>
      <c r="D37" s="93" t="str">
        <f t="shared" si="2"/>
        <v>SUPERMIX39</v>
      </c>
      <c r="E37" s="115" t="s">
        <v>85</v>
      </c>
      <c r="F37" s="115" t="s">
        <v>31</v>
      </c>
      <c r="G37" s="93" t="s">
        <v>25</v>
      </c>
      <c r="H37" s="95">
        <v>23908584</v>
      </c>
      <c r="I37" s="95" t="s">
        <v>3788</v>
      </c>
      <c r="J37" s="97" t="s">
        <v>489</v>
      </c>
      <c r="K37" s="93" t="s">
        <v>281</v>
      </c>
      <c r="L37" s="96">
        <v>30748</v>
      </c>
      <c r="M37" s="96">
        <v>46566</v>
      </c>
      <c r="N37" s="88">
        <f t="shared" ca="1" si="3"/>
        <v>-379</v>
      </c>
      <c r="O37" s="84" t="str">
        <f ca="1">IF(Tabla1[[#This Row],[|]]&gt;=0,"VENCIDA",IF(Tabla1[[#This Row],[|]]&gt;=-14,"POR VENCER","OK"))</f>
        <v>OK</v>
      </c>
      <c r="P37" s="95" t="s">
        <v>3098</v>
      </c>
      <c r="Q37" s="95" t="s">
        <v>312</v>
      </c>
      <c r="R37" s="93" t="s">
        <v>317</v>
      </c>
      <c r="S37" s="93"/>
      <c r="T37" s="93"/>
      <c r="U37" s="93"/>
      <c r="V37" s="95" t="s">
        <v>474</v>
      </c>
      <c r="W37" s="97" t="s">
        <v>2776</v>
      </c>
      <c r="X37" s="204" t="s">
        <v>624</v>
      </c>
    </row>
    <row r="38" spans="1:24" s="63" customFormat="1" ht="32.25" customHeight="1" x14ac:dyDescent="0.2">
      <c r="A38" s="202">
        <v>40</v>
      </c>
      <c r="B38" s="88" t="s">
        <v>279</v>
      </c>
      <c r="C38" s="89">
        <v>40</v>
      </c>
      <c r="D38" s="88" t="str">
        <f t="shared" si="2"/>
        <v>SUPERMIX40</v>
      </c>
      <c r="E38" s="105" t="s">
        <v>86</v>
      </c>
      <c r="F38" s="58" t="s">
        <v>20</v>
      </c>
      <c r="G38" s="88" t="s">
        <v>25</v>
      </c>
      <c r="H38" s="90">
        <v>29559940</v>
      </c>
      <c r="I38" s="90" t="s">
        <v>3787</v>
      </c>
      <c r="J38" s="92" t="s">
        <v>316</v>
      </c>
      <c r="K38" s="88" t="s">
        <v>281</v>
      </c>
      <c r="L38" s="91">
        <v>36756</v>
      </c>
      <c r="M38" s="91">
        <v>44831</v>
      </c>
      <c r="N38" s="88">
        <f t="shared" ca="1" si="3"/>
        <v>1356</v>
      </c>
      <c r="O38" s="84" t="str">
        <f ca="1">IF(Tabla1[[#This Row],[|]]&gt;=0,"VENCIDA",IF(Tabla1[[#This Row],[|]]&gt;=-14,"POR VENCER","OK"))</f>
        <v>VENCIDA</v>
      </c>
      <c r="P38" s="90" t="s">
        <v>3158</v>
      </c>
      <c r="Q38" s="90" t="s">
        <v>312</v>
      </c>
      <c r="R38" s="88" t="s">
        <v>317</v>
      </c>
      <c r="S38" s="88"/>
      <c r="T38" s="88"/>
      <c r="U38" s="88"/>
      <c r="V38" s="90" t="s">
        <v>668</v>
      </c>
      <c r="W38" s="92" t="s">
        <v>2776</v>
      </c>
      <c r="X38" s="203" t="s">
        <v>3078</v>
      </c>
    </row>
    <row r="39" spans="1:24" s="63" customFormat="1" ht="32.25" customHeight="1" x14ac:dyDescent="0.2">
      <c r="A39" s="202">
        <v>41</v>
      </c>
      <c r="B39" s="88" t="s">
        <v>279</v>
      </c>
      <c r="C39" s="89">
        <v>41</v>
      </c>
      <c r="D39" s="88" t="str">
        <f t="shared" si="2"/>
        <v>SUPERMIX41</v>
      </c>
      <c r="E39" s="105" t="s">
        <v>783</v>
      </c>
      <c r="F39" s="58" t="s">
        <v>784</v>
      </c>
      <c r="G39" s="88" t="s">
        <v>25</v>
      </c>
      <c r="H39" s="90">
        <v>29721284</v>
      </c>
      <c r="I39" s="90" t="s">
        <v>3787</v>
      </c>
      <c r="J39" s="92" t="s">
        <v>785</v>
      </c>
      <c r="K39" s="88" t="s">
        <v>281</v>
      </c>
      <c r="L39" s="91">
        <v>41600</v>
      </c>
      <c r="M39" s="91">
        <v>42422</v>
      </c>
      <c r="N39" s="88">
        <f t="shared" ca="1" si="3"/>
        <v>3765</v>
      </c>
      <c r="O39" s="84" t="str">
        <f ca="1">IF(Tabla1[[#This Row],[|]]&gt;=0,"VENCIDA",IF(Tabla1[[#This Row],[|]]&gt;=-14,"POR VENCER","OK"))</f>
        <v>VENCIDA</v>
      </c>
      <c r="P39" s="90" t="s">
        <v>323</v>
      </c>
      <c r="Q39" s="90" t="s">
        <v>312</v>
      </c>
      <c r="R39" s="88" t="s">
        <v>317</v>
      </c>
      <c r="S39" s="88"/>
      <c r="T39" s="88"/>
      <c r="U39" s="88"/>
      <c r="V39" s="88" t="s">
        <v>763</v>
      </c>
      <c r="W39" s="92" t="s">
        <v>416</v>
      </c>
      <c r="X39" s="92"/>
    </row>
    <row r="40" spans="1:24" s="63" customFormat="1" ht="32.25" customHeight="1" x14ac:dyDescent="0.2">
      <c r="A40" s="202">
        <v>44</v>
      </c>
      <c r="B40" s="88" t="s">
        <v>279</v>
      </c>
      <c r="C40" s="89">
        <v>44</v>
      </c>
      <c r="D40" s="88" t="str">
        <f t="shared" si="2"/>
        <v>SUPERMIX44</v>
      </c>
      <c r="E40" s="58" t="s">
        <v>87</v>
      </c>
      <c r="F40" s="58" t="s">
        <v>88</v>
      </c>
      <c r="G40" s="88" t="s">
        <v>25</v>
      </c>
      <c r="H40" s="99">
        <v>42263173</v>
      </c>
      <c r="I40" s="99" t="s">
        <v>3787</v>
      </c>
      <c r="J40" s="58" t="s">
        <v>307</v>
      </c>
      <c r="K40" s="88" t="s">
        <v>293</v>
      </c>
      <c r="L40" s="91">
        <v>40102</v>
      </c>
      <c r="M40" s="91">
        <v>43388</v>
      </c>
      <c r="N40" s="88">
        <f t="shared" ca="1" si="3"/>
        <v>2799</v>
      </c>
      <c r="O40" s="84" t="str">
        <f ca="1">IF(Tabla1[[#This Row],[|]]&gt;=0,"VENCIDA",IF(Tabla1[[#This Row],[|]]&gt;=-14,"POR VENCER","OK"))</f>
        <v>VENCIDA</v>
      </c>
      <c r="P40" s="90" t="s">
        <v>1510</v>
      </c>
      <c r="Q40" s="90" t="s">
        <v>312</v>
      </c>
      <c r="R40" s="88" t="s">
        <v>317</v>
      </c>
      <c r="S40" s="88"/>
      <c r="T40" s="88"/>
      <c r="U40" s="88"/>
      <c r="V40" s="88" t="s">
        <v>306</v>
      </c>
      <c r="W40" s="92" t="s">
        <v>377</v>
      </c>
      <c r="X40" s="203">
        <v>17</v>
      </c>
    </row>
    <row r="41" spans="1:24" s="63" customFormat="1" ht="32.25" customHeight="1" x14ac:dyDescent="0.2">
      <c r="A41" s="202">
        <v>45</v>
      </c>
      <c r="B41" s="88" t="s">
        <v>279</v>
      </c>
      <c r="C41" s="89">
        <v>45</v>
      </c>
      <c r="D41" s="88" t="str">
        <f t="shared" si="2"/>
        <v>SUPERMIX45</v>
      </c>
      <c r="E41" s="105" t="s">
        <v>89</v>
      </c>
      <c r="F41" s="58" t="s">
        <v>90</v>
      </c>
      <c r="G41" s="88" t="s">
        <v>25</v>
      </c>
      <c r="H41" s="90">
        <v>30676957</v>
      </c>
      <c r="I41" s="90" t="s">
        <v>3787</v>
      </c>
      <c r="J41" s="92" t="s">
        <v>555</v>
      </c>
      <c r="K41" s="88" t="s">
        <v>281</v>
      </c>
      <c r="L41" s="91">
        <v>41323</v>
      </c>
      <c r="M41" s="91">
        <v>42418</v>
      </c>
      <c r="N41" s="88">
        <f t="shared" ca="1" si="3"/>
        <v>3769</v>
      </c>
      <c r="O41" s="84" t="str">
        <f ca="1">IF(Tabla1[[#This Row],[|]]&gt;=0,"VENCIDA",IF(Tabla1[[#This Row],[|]]&gt;=-14,"POR VENCER","OK"))</f>
        <v>VENCIDA</v>
      </c>
      <c r="P41" s="90" t="s">
        <v>597</v>
      </c>
      <c r="Q41" s="90" t="s">
        <v>312</v>
      </c>
      <c r="R41" s="88" t="s">
        <v>317</v>
      </c>
      <c r="S41" s="88"/>
      <c r="T41" s="88"/>
      <c r="U41" s="88"/>
      <c r="V41" s="88" t="s">
        <v>986</v>
      </c>
      <c r="W41" s="92" t="s">
        <v>1350</v>
      </c>
      <c r="X41" s="203"/>
    </row>
    <row r="42" spans="1:24" s="63" customFormat="1" ht="32.25" customHeight="1" x14ac:dyDescent="0.2">
      <c r="A42" s="205">
        <v>46</v>
      </c>
      <c r="B42" s="88" t="s">
        <v>279</v>
      </c>
      <c r="C42" s="89">
        <v>46</v>
      </c>
      <c r="D42" s="88" t="str">
        <f t="shared" si="2"/>
        <v>SUPERMIX46</v>
      </c>
      <c r="E42" s="105" t="s">
        <v>91</v>
      </c>
      <c r="F42" s="58" t="s">
        <v>92</v>
      </c>
      <c r="G42" s="88" t="s">
        <v>25</v>
      </c>
      <c r="H42" s="90">
        <v>29630462</v>
      </c>
      <c r="I42" s="90" t="s">
        <v>3787</v>
      </c>
      <c r="J42" s="92" t="s">
        <v>521</v>
      </c>
      <c r="K42" s="88" t="s">
        <v>1954</v>
      </c>
      <c r="L42" s="91">
        <v>38400</v>
      </c>
      <c r="M42" s="91">
        <v>47416</v>
      </c>
      <c r="N42" s="88">
        <f t="shared" ca="1" si="3"/>
        <v>-1229</v>
      </c>
      <c r="O42" s="84" t="str">
        <f ca="1">IF(Tabla1[[#This Row],[|]]&gt;=0,"VENCIDA",IF(Tabla1[[#This Row],[|]]&gt;=-14,"POR VENCER","OK"))</f>
        <v>OK</v>
      </c>
      <c r="P42" s="90" t="s">
        <v>3120</v>
      </c>
      <c r="Q42" s="90" t="s">
        <v>312</v>
      </c>
      <c r="R42" s="88" t="s">
        <v>17</v>
      </c>
      <c r="S42" s="88"/>
      <c r="T42" s="88"/>
      <c r="U42" s="88"/>
      <c r="V42" s="88" t="s">
        <v>763</v>
      </c>
      <c r="W42" s="92" t="s">
        <v>3515</v>
      </c>
      <c r="X42" s="203" t="s">
        <v>2822</v>
      </c>
    </row>
    <row r="43" spans="1:24" s="43" customFormat="1" ht="32.25" customHeight="1" x14ac:dyDescent="0.2">
      <c r="A43" s="42">
        <v>47</v>
      </c>
      <c r="B43" s="93" t="s">
        <v>279</v>
      </c>
      <c r="C43" s="94">
        <v>47</v>
      </c>
      <c r="D43" s="93" t="str">
        <f t="shared" si="2"/>
        <v>SUPERMIX47</v>
      </c>
      <c r="E43" s="115" t="s">
        <v>93</v>
      </c>
      <c r="F43" s="115" t="s">
        <v>94</v>
      </c>
      <c r="G43" s="93" t="s">
        <v>25</v>
      </c>
      <c r="H43" s="95">
        <v>29653034</v>
      </c>
      <c r="I43" s="95" t="s">
        <v>3788</v>
      </c>
      <c r="J43" s="95" t="s">
        <v>1201</v>
      </c>
      <c r="K43" s="93" t="s">
        <v>281</v>
      </c>
      <c r="L43" s="96">
        <v>41309</v>
      </c>
      <c r="M43" s="108">
        <v>44619</v>
      </c>
      <c r="N43" s="88">
        <f t="shared" ca="1" si="3"/>
        <v>1568</v>
      </c>
      <c r="O43" s="84" t="str">
        <f ca="1">IF(Tabla1[[#This Row],[|]]&gt;=0,"VENCIDA",IF(Tabla1[[#This Row],[|]]&gt;=-14,"POR VENCER","OK"))</f>
        <v>VENCIDA</v>
      </c>
      <c r="P43" s="95" t="s">
        <v>2998</v>
      </c>
      <c r="Q43" s="95" t="s">
        <v>312</v>
      </c>
      <c r="R43" s="93" t="s">
        <v>317</v>
      </c>
      <c r="S43" s="93"/>
      <c r="T43" s="93"/>
      <c r="U43" s="93"/>
      <c r="V43" s="93" t="s">
        <v>523</v>
      </c>
      <c r="W43" s="97" t="s">
        <v>3174</v>
      </c>
      <c r="X43" s="97" t="s">
        <v>2819</v>
      </c>
    </row>
    <row r="44" spans="1:24" s="63" customFormat="1" ht="32.25" customHeight="1" x14ac:dyDescent="0.2">
      <c r="A44" s="202">
        <v>48</v>
      </c>
      <c r="B44" s="88" t="s">
        <v>279</v>
      </c>
      <c r="C44" s="89">
        <v>48</v>
      </c>
      <c r="D44" s="88" t="str">
        <f t="shared" si="2"/>
        <v>SUPERMIX48</v>
      </c>
      <c r="E44" s="105" t="s">
        <v>95</v>
      </c>
      <c r="F44" s="58" t="s">
        <v>31</v>
      </c>
      <c r="G44" s="88" t="s">
        <v>25</v>
      </c>
      <c r="H44" s="88">
        <v>29673334</v>
      </c>
      <c r="I44" s="88" t="s">
        <v>3787</v>
      </c>
      <c r="J44" s="58" t="s">
        <v>1531</v>
      </c>
      <c r="K44" s="88" t="s">
        <v>293</v>
      </c>
      <c r="L44" s="91">
        <v>40282</v>
      </c>
      <c r="M44" s="91">
        <v>44701</v>
      </c>
      <c r="N44" s="88">
        <f t="shared" ca="1" si="3"/>
        <v>1486</v>
      </c>
      <c r="O44" s="84" t="str">
        <f ca="1">IF(Tabla1[[#This Row],[|]]&gt;=0,"VENCIDA",IF(Tabla1[[#This Row],[|]]&gt;=-14,"POR VENCER","OK"))</f>
        <v>VENCIDA</v>
      </c>
      <c r="P44" s="90" t="s">
        <v>2847</v>
      </c>
      <c r="Q44" s="90" t="s">
        <v>312</v>
      </c>
      <c r="R44" s="88" t="s">
        <v>317</v>
      </c>
      <c r="S44" s="88"/>
      <c r="T44" s="88"/>
      <c r="U44" s="88"/>
      <c r="V44" s="88" t="s">
        <v>1755</v>
      </c>
      <c r="W44" s="92" t="s">
        <v>2776</v>
      </c>
      <c r="X44" s="92" t="s">
        <v>597</v>
      </c>
    </row>
    <row r="45" spans="1:24" s="63" customFormat="1" ht="32.25" customHeight="1" x14ac:dyDescent="0.2">
      <c r="A45" s="202">
        <v>49</v>
      </c>
      <c r="B45" s="88" t="s">
        <v>279</v>
      </c>
      <c r="C45" s="89">
        <v>49</v>
      </c>
      <c r="D45" s="88" t="str">
        <f t="shared" si="2"/>
        <v>SUPERMIX49</v>
      </c>
      <c r="E45" s="105" t="s">
        <v>96</v>
      </c>
      <c r="F45" s="58" t="s">
        <v>97</v>
      </c>
      <c r="G45" s="88" t="s">
        <v>25</v>
      </c>
      <c r="H45" s="107" t="s">
        <v>371</v>
      </c>
      <c r="I45" s="107" t="s">
        <v>3787</v>
      </c>
      <c r="J45" s="109" t="s">
        <v>709</v>
      </c>
      <c r="K45" s="88" t="s">
        <v>281</v>
      </c>
      <c r="L45" s="91">
        <v>41475</v>
      </c>
      <c r="M45" s="91">
        <v>42449</v>
      </c>
      <c r="N45" s="88">
        <f t="shared" ca="1" si="3"/>
        <v>3738</v>
      </c>
      <c r="O45" s="84" t="str">
        <f ca="1">IF(Tabla1[[#This Row],[|]]&gt;=0,"VENCIDA",IF(Tabla1[[#This Row],[|]]&gt;=-14,"POR VENCER","OK"))</f>
        <v>VENCIDA</v>
      </c>
      <c r="P45" s="90" t="s">
        <v>597</v>
      </c>
      <c r="Q45" s="90" t="s">
        <v>312</v>
      </c>
      <c r="R45" s="88" t="s">
        <v>317</v>
      </c>
      <c r="S45" s="88"/>
      <c r="T45" s="88"/>
      <c r="U45" s="88"/>
      <c r="V45" s="90" t="s">
        <v>656</v>
      </c>
      <c r="W45" s="92" t="s">
        <v>373</v>
      </c>
      <c r="X45" s="203"/>
    </row>
    <row r="46" spans="1:24" s="63" customFormat="1" ht="32.25" customHeight="1" x14ac:dyDescent="0.2">
      <c r="A46" s="202">
        <v>50</v>
      </c>
      <c r="B46" s="88" t="s">
        <v>279</v>
      </c>
      <c r="C46" s="89">
        <v>50</v>
      </c>
      <c r="D46" s="88" t="str">
        <f t="shared" si="2"/>
        <v>SUPERMIX50</v>
      </c>
      <c r="E46" s="105" t="s">
        <v>98</v>
      </c>
      <c r="F46" s="58" t="s">
        <v>99</v>
      </c>
      <c r="G46" s="88"/>
      <c r="H46" s="90"/>
      <c r="I46" s="90" t="s">
        <v>3787</v>
      </c>
      <c r="J46" s="92"/>
      <c r="K46" s="88"/>
      <c r="L46" s="91"/>
      <c r="M46" s="91"/>
      <c r="N46" s="88">
        <f t="shared" ca="1" si="3"/>
        <v>46187</v>
      </c>
      <c r="O46" s="84" t="str">
        <f ca="1">IF(Tabla1[[#This Row],[|]]&gt;=0,"VENCIDA",IF(Tabla1[[#This Row],[|]]&gt;=-14,"POR VENCER","OK"))</f>
        <v>VENCIDA</v>
      </c>
      <c r="P46" s="90" t="s">
        <v>1634</v>
      </c>
      <c r="Q46" s="90" t="s">
        <v>312</v>
      </c>
      <c r="R46" s="88"/>
      <c r="S46" s="88"/>
      <c r="T46" s="88"/>
      <c r="U46" s="88"/>
      <c r="V46" s="88"/>
      <c r="W46" s="92"/>
      <c r="X46" s="92"/>
    </row>
    <row r="47" spans="1:24" s="63" customFormat="1" ht="32.25" customHeight="1" x14ac:dyDescent="0.2">
      <c r="A47" s="202">
        <v>51</v>
      </c>
      <c r="B47" s="88" t="s">
        <v>279</v>
      </c>
      <c r="C47" s="89">
        <v>51</v>
      </c>
      <c r="D47" s="88" t="str">
        <f t="shared" si="2"/>
        <v>SUPERMIX51</v>
      </c>
      <c r="E47" s="105" t="s">
        <v>100</v>
      </c>
      <c r="F47" s="58" t="s">
        <v>101</v>
      </c>
      <c r="G47" s="88" t="s">
        <v>25</v>
      </c>
      <c r="H47" s="90">
        <v>40027198</v>
      </c>
      <c r="I47" s="90" t="s">
        <v>3787</v>
      </c>
      <c r="J47" s="109" t="s">
        <v>650</v>
      </c>
      <c r="K47" s="88" t="s">
        <v>281</v>
      </c>
      <c r="L47" s="91">
        <v>42226</v>
      </c>
      <c r="M47" s="91">
        <v>44418</v>
      </c>
      <c r="N47" s="88">
        <f t="shared" ca="1" si="3"/>
        <v>1769</v>
      </c>
      <c r="O47" s="84" t="str">
        <f ca="1">IF(Tabla1[[#This Row],[|]]&gt;=0,"VENCIDA",IF(Tabla1[[#This Row],[|]]&gt;=-14,"POR VENCER","OK"))</f>
        <v>VENCIDA</v>
      </c>
      <c r="P47" s="90" t="s">
        <v>2773</v>
      </c>
      <c r="Q47" s="90" t="s">
        <v>312</v>
      </c>
      <c r="R47" s="88" t="s">
        <v>17</v>
      </c>
      <c r="S47" s="88"/>
      <c r="T47" s="88"/>
      <c r="U47" s="88"/>
      <c r="V47" s="88" t="s">
        <v>306</v>
      </c>
      <c r="W47" s="92" t="s">
        <v>649</v>
      </c>
      <c r="X47" s="92"/>
    </row>
    <row r="48" spans="1:24" s="63" customFormat="1" ht="32.25" customHeight="1" x14ac:dyDescent="0.2">
      <c r="A48" s="202">
        <v>52</v>
      </c>
      <c r="B48" s="88" t="s">
        <v>279</v>
      </c>
      <c r="C48" s="89">
        <v>52</v>
      </c>
      <c r="D48" s="88" t="str">
        <f t="shared" si="2"/>
        <v>SUPERMIX52</v>
      </c>
      <c r="E48" s="105" t="s">
        <v>102</v>
      </c>
      <c r="F48" s="58" t="s">
        <v>103</v>
      </c>
      <c r="G48" s="88" t="s">
        <v>310</v>
      </c>
      <c r="H48" s="90">
        <v>29480338</v>
      </c>
      <c r="I48" s="90" t="s">
        <v>3787</v>
      </c>
      <c r="J48" s="92" t="s">
        <v>318</v>
      </c>
      <c r="K48" s="88" t="s">
        <v>281</v>
      </c>
      <c r="L48" s="91">
        <v>36691</v>
      </c>
      <c r="M48" s="91">
        <v>41247</v>
      </c>
      <c r="N48" s="88">
        <f t="shared" ca="1" si="3"/>
        <v>4940</v>
      </c>
      <c r="O48" s="84" t="str">
        <f ca="1">IF(Tabla1[[#This Row],[|]]&gt;=0,"VENCIDA",IF(Tabla1[[#This Row],[|]]&gt;=-14,"POR VENCER","OK"))</f>
        <v>VENCIDA</v>
      </c>
      <c r="P48" s="90" t="s">
        <v>1357</v>
      </c>
      <c r="Q48" s="90" t="s">
        <v>312</v>
      </c>
      <c r="R48" s="88" t="s">
        <v>317</v>
      </c>
      <c r="S48" s="88"/>
      <c r="T48" s="88"/>
      <c r="U48" s="88"/>
      <c r="V48" s="90" t="s">
        <v>313</v>
      </c>
      <c r="W48" s="92" t="s">
        <v>314</v>
      </c>
      <c r="X48" s="203">
        <v>18</v>
      </c>
    </row>
    <row r="49" spans="1:24" s="43" customFormat="1" ht="32.25" customHeight="1" x14ac:dyDescent="0.2">
      <c r="A49" s="42">
        <v>53</v>
      </c>
      <c r="B49" s="93" t="s">
        <v>279</v>
      </c>
      <c r="C49" s="94">
        <v>53</v>
      </c>
      <c r="D49" s="93" t="str">
        <f t="shared" si="2"/>
        <v>SUPERMIX53</v>
      </c>
      <c r="E49" s="115" t="s">
        <v>104</v>
      </c>
      <c r="F49" s="115" t="s">
        <v>3122</v>
      </c>
      <c r="G49" s="93" t="s">
        <v>310</v>
      </c>
      <c r="H49" s="95">
        <v>29454109</v>
      </c>
      <c r="I49" s="95" t="s">
        <v>3788</v>
      </c>
      <c r="J49" s="97" t="s">
        <v>311</v>
      </c>
      <c r="K49" s="93" t="s">
        <v>1954</v>
      </c>
      <c r="L49" s="96">
        <v>29123</v>
      </c>
      <c r="M49" s="96">
        <v>46706</v>
      </c>
      <c r="N49" s="88">
        <f t="shared" ca="1" si="3"/>
        <v>-519</v>
      </c>
      <c r="O49" s="84" t="str">
        <f ca="1">IF(Tabla1[[#This Row],[|]]&gt;=0,"VENCIDA",IF(Tabla1[[#This Row],[|]]&gt;=-14,"POR VENCER","OK"))</f>
        <v>OK</v>
      </c>
      <c r="P49" s="95" t="s">
        <v>2827</v>
      </c>
      <c r="Q49" s="95" t="s">
        <v>312</v>
      </c>
      <c r="R49" s="93" t="s">
        <v>17</v>
      </c>
      <c r="S49" s="93"/>
      <c r="T49" s="93"/>
      <c r="U49" s="93"/>
      <c r="V49" s="95" t="s">
        <v>668</v>
      </c>
      <c r="W49" s="97" t="s">
        <v>2776</v>
      </c>
      <c r="X49" s="204" t="s">
        <v>824</v>
      </c>
    </row>
    <row r="50" spans="1:24" s="63" customFormat="1" ht="32.25" customHeight="1" x14ac:dyDescent="0.2">
      <c r="A50" s="202">
        <v>54</v>
      </c>
      <c r="B50" s="88" t="s">
        <v>279</v>
      </c>
      <c r="C50" s="89">
        <v>54</v>
      </c>
      <c r="D50" s="88" t="str">
        <f t="shared" ref="D50:D70" si="4">CONCATENATE(B50,C50)</f>
        <v>SUPERMIX54</v>
      </c>
      <c r="E50" s="105" t="s">
        <v>105</v>
      </c>
      <c r="F50" s="58" t="s">
        <v>106</v>
      </c>
      <c r="G50" s="88"/>
      <c r="H50" s="90"/>
      <c r="I50" s="90" t="s">
        <v>3787</v>
      </c>
      <c r="J50" s="109"/>
      <c r="K50" s="88"/>
      <c r="L50" s="91"/>
      <c r="M50" s="91"/>
      <c r="N50" s="88">
        <f t="shared" ca="1" si="3"/>
        <v>46187</v>
      </c>
      <c r="O50" s="84" t="str">
        <f ca="1">IF(Tabla1[[#This Row],[|]]&gt;=0,"VENCIDA",IF(Tabla1[[#This Row],[|]]&gt;=-14,"POR VENCER","OK"))</f>
        <v>VENCIDA</v>
      </c>
      <c r="P50" s="90" t="s">
        <v>597</v>
      </c>
      <c r="Q50" s="90" t="s">
        <v>312</v>
      </c>
      <c r="R50" s="88"/>
      <c r="S50" s="88"/>
      <c r="T50" s="88"/>
      <c r="U50" s="88"/>
      <c r="V50" s="88"/>
      <c r="W50" s="92"/>
      <c r="X50" s="92"/>
    </row>
    <row r="51" spans="1:24" s="43" customFormat="1" ht="32.25" customHeight="1" x14ac:dyDescent="0.2">
      <c r="A51" s="42">
        <v>55</v>
      </c>
      <c r="B51" s="93" t="s">
        <v>279</v>
      </c>
      <c r="C51" s="94">
        <v>55</v>
      </c>
      <c r="D51" s="93" t="str">
        <f t="shared" si="4"/>
        <v>SUPERMIX55</v>
      </c>
      <c r="E51" s="115" t="s">
        <v>107</v>
      </c>
      <c r="F51" s="115" t="s">
        <v>108</v>
      </c>
      <c r="G51" s="93" t="s">
        <v>310</v>
      </c>
      <c r="H51" s="110" t="s">
        <v>431</v>
      </c>
      <c r="I51" s="110" t="s">
        <v>3788</v>
      </c>
      <c r="J51" s="111" t="s">
        <v>432</v>
      </c>
      <c r="K51" s="93" t="s">
        <v>281</v>
      </c>
      <c r="L51" s="96">
        <v>39470</v>
      </c>
      <c r="M51" s="96">
        <v>46239</v>
      </c>
      <c r="N51" s="88">
        <f t="shared" ca="1" si="3"/>
        <v>-52</v>
      </c>
      <c r="O51" s="84" t="str">
        <f ca="1">IF(Tabla1[[#This Row],[|]]&gt;=0,"VENCIDA",IF(Tabla1[[#This Row],[|]]&gt;=-14,"POR VENCER","OK"))</f>
        <v>OK</v>
      </c>
      <c r="P51" s="95" t="s">
        <v>3514</v>
      </c>
      <c r="Q51" s="95" t="s">
        <v>312</v>
      </c>
      <c r="R51" s="93" t="s">
        <v>17</v>
      </c>
      <c r="S51" s="93"/>
      <c r="T51" s="93"/>
      <c r="U51" s="93"/>
      <c r="V51" s="93" t="s">
        <v>1939</v>
      </c>
      <c r="W51" s="97" t="s">
        <v>3515</v>
      </c>
      <c r="X51" s="204" t="s">
        <v>2198</v>
      </c>
    </row>
    <row r="52" spans="1:24" s="63" customFormat="1" ht="32.25" customHeight="1" x14ac:dyDescent="0.2">
      <c r="A52" s="202">
        <v>56</v>
      </c>
      <c r="B52" s="88" t="s">
        <v>279</v>
      </c>
      <c r="C52" s="89">
        <v>56</v>
      </c>
      <c r="D52" s="88" t="str">
        <f t="shared" si="4"/>
        <v>SUPERMIX56</v>
      </c>
      <c r="E52" s="105" t="s">
        <v>109</v>
      </c>
      <c r="F52" s="58" t="s">
        <v>110</v>
      </c>
      <c r="G52" s="88" t="s">
        <v>25</v>
      </c>
      <c r="H52" s="90">
        <v>29539751</v>
      </c>
      <c r="I52" s="90" t="s">
        <v>3787</v>
      </c>
      <c r="J52" s="58" t="s">
        <v>429</v>
      </c>
      <c r="K52" s="88" t="s">
        <v>281</v>
      </c>
      <c r="L52" s="91">
        <v>37232</v>
      </c>
      <c r="M52" s="91">
        <v>46362</v>
      </c>
      <c r="N52" s="88">
        <f t="shared" ca="1" si="3"/>
        <v>-175</v>
      </c>
      <c r="O52" s="84" t="str">
        <f ca="1">IF(Tabla1[[#This Row],[|]]&gt;=0,"VENCIDA",IF(Tabla1[[#This Row],[|]]&gt;=-14,"POR VENCER","OK"))</f>
        <v>OK</v>
      </c>
      <c r="P52" s="90" t="s">
        <v>2918</v>
      </c>
      <c r="Q52" s="90" t="s">
        <v>312</v>
      </c>
      <c r="R52" s="88" t="s">
        <v>17</v>
      </c>
      <c r="S52" s="88"/>
      <c r="T52" s="88"/>
      <c r="U52" s="88"/>
      <c r="V52" s="88" t="s">
        <v>763</v>
      </c>
      <c r="W52" s="92" t="s">
        <v>2772</v>
      </c>
      <c r="X52" s="203" t="s">
        <v>624</v>
      </c>
    </row>
    <row r="53" spans="1:24" s="63" customFormat="1" ht="32.25" customHeight="1" x14ac:dyDescent="0.2">
      <c r="A53" s="202">
        <v>57</v>
      </c>
      <c r="B53" s="88" t="s">
        <v>279</v>
      </c>
      <c r="C53" s="89">
        <v>57</v>
      </c>
      <c r="D53" s="88" t="str">
        <f t="shared" si="4"/>
        <v>SUPERMIX57</v>
      </c>
      <c r="E53" s="105" t="s">
        <v>733</v>
      </c>
      <c r="F53" s="58" t="s">
        <v>734</v>
      </c>
      <c r="G53" s="88" t="s">
        <v>25</v>
      </c>
      <c r="H53" s="90">
        <v>29291358</v>
      </c>
      <c r="I53" s="90" t="s">
        <v>3787</v>
      </c>
      <c r="J53" s="92" t="s">
        <v>735</v>
      </c>
      <c r="K53" s="88" t="s">
        <v>281</v>
      </c>
      <c r="L53" s="91">
        <v>41533</v>
      </c>
      <c r="M53" s="91">
        <v>42461</v>
      </c>
      <c r="N53" s="88">
        <f t="shared" ca="1" si="3"/>
        <v>3726</v>
      </c>
      <c r="O53" s="84" t="str">
        <f ca="1">IF(Tabla1[[#This Row],[|]]&gt;=0,"VENCIDA",IF(Tabla1[[#This Row],[|]]&gt;=-14,"POR VENCER","OK"))</f>
        <v>VENCIDA</v>
      </c>
      <c r="P53" s="90" t="s">
        <v>1509</v>
      </c>
      <c r="Q53" s="90" t="s">
        <v>312</v>
      </c>
      <c r="R53" s="88" t="s">
        <v>317</v>
      </c>
      <c r="S53" s="88"/>
      <c r="T53" s="88"/>
      <c r="U53" s="88"/>
      <c r="V53" s="88" t="s">
        <v>334</v>
      </c>
      <c r="W53" s="92" t="s">
        <v>335</v>
      </c>
      <c r="X53" s="203"/>
    </row>
    <row r="54" spans="1:24" s="63" customFormat="1" ht="32.25" customHeight="1" x14ac:dyDescent="0.2">
      <c r="A54" s="202">
        <v>58</v>
      </c>
      <c r="B54" s="88" t="s">
        <v>279</v>
      </c>
      <c r="C54" s="89">
        <v>58</v>
      </c>
      <c r="D54" s="88" t="str">
        <f t="shared" si="4"/>
        <v>SUPERMIX58</v>
      </c>
      <c r="E54" s="105" t="s">
        <v>111</v>
      </c>
      <c r="F54" s="58" t="s">
        <v>112</v>
      </c>
      <c r="G54" s="88" t="s">
        <v>25</v>
      </c>
      <c r="H54" s="112" t="s">
        <v>375</v>
      </c>
      <c r="I54" s="112" t="s">
        <v>3787</v>
      </c>
      <c r="J54" s="92" t="s">
        <v>376</v>
      </c>
      <c r="K54" s="88" t="s">
        <v>293</v>
      </c>
      <c r="L54" s="91">
        <v>40882</v>
      </c>
      <c r="M54" s="91">
        <v>41978</v>
      </c>
      <c r="N54" s="88">
        <f t="shared" ca="1" si="3"/>
        <v>4209</v>
      </c>
      <c r="O54" s="84" t="str">
        <f ca="1">IF(Tabla1[[#This Row],[|]]&gt;=0,"VENCIDA",IF(Tabla1[[#This Row],[|]]&gt;=-14,"POR VENCER","OK"))</f>
        <v>VENCIDA</v>
      </c>
      <c r="P54" s="90" t="s">
        <v>325</v>
      </c>
      <c r="Q54" s="90" t="s">
        <v>312</v>
      </c>
      <c r="R54" s="88" t="s">
        <v>17</v>
      </c>
      <c r="S54" s="88"/>
      <c r="T54" s="88"/>
      <c r="U54" s="88"/>
      <c r="V54" s="88" t="s">
        <v>306</v>
      </c>
      <c r="W54" s="92" t="s">
        <v>377</v>
      </c>
      <c r="X54" s="203"/>
    </row>
    <row r="55" spans="1:24" s="63" customFormat="1" ht="32.25" customHeight="1" x14ac:dyDescent="0.2">
      <c r="A55" s="202">
        <v>59</v>
      </c>
      <c r="B55" s="88" t="s">
        <v>279</v>
      </c>
      <c r="C55" s="89">
        <v>59</v>
      </c>
      <c r="D55" s="88" t="str">
        <f t="shared" si="4"/>
        <v>SUPERMIX59</v>
      </c>
      <c r="E55" s="105" t="s">
        <v>113</v>
      </c>
      <c r="F55" s="58" t="s">
        <v>114</v>
      </c>
      <c r="G55" s="88" t="s">
        <v>25</v>
      </c>
      <c r="H55" s="90">
        <v>29454393</v>
      </c>
      <c r="I55" s="90" t="s">
        <v>3787</v>
      </c>
      <c r="J55" s="92" t="s">
        <v>1533</v>
      </c>
      <c r="K55" s="88" t="s">
        <v>281</v>
      </c>
      <c r="L55" s="91">
        <v>28845</v>
      </c>
      <c r="M55" s="91">
        <v>44303</v>
      </c>
      <c r="N55" s="88">
        <f t="shared" ca="1" si="3"/>
        <v>1884</v>
      </c>
      <c r="O55" s="84" t="str">
        <f ca="1">IF(Tabla1[[#This Row],[|]]&gt;=0,"VENCIDA",IF(Tabla1[[#This Row],[|]]&gt;=-14,"POR VENCER","OK"))</f>
        <v>VENCIDA</v>
      </c>
      <c r="P55" s="90" t="s">
        <v>1926</v>
      </c>
      <c r="Q55" s="90" t="s">
        <v>312</v>
      </c>
      <c r="R55" s="88" t="s">
        <v>17</v>
      </c>
      <c r="S55" s="88"/>
      <c r="T55" s="88"/>
      <c r="U55" s="88"/>
      <c r="V55" s="88" t="s">
        <v>1102</v>
      </c>
      <c r="W55" s="92" t="s">
        <v>1534</v>
      </c>
      <c r="X55" s="92" t="s">
        <v>2963</v>
      </c>
    </row>
    <row r="56" spans="1:24" s="63" customFormat="1" ht="32.25" customHeight="1" x14ac:dyDescent="0.2">
      <c r="A56" s="202">
        <v>60</v>
      </c>
      <c r="B56" s="88" t="s">
        <v>279</v>
      </c>
      <c r="C56" s="89">
        <v>60</v>
      </c>
      <c r="D56" s="88" t="str">
        <f t="shared" si="4"/>
        <v>SUPERMIX60</v>
      </c>
      <c r="E56" s="105" t="s">
        <v>358</v>
      </c>
      <c r="F56" s="58" t="s">
        <v>359</v>
      </c>
      <c r="G56" s="88" t="s">
        <v>25</v>
      </c>
      <c r="H56" s="90">
        <v>42290372</v>
      </c>
      <c r="I56" s="90" t="s">
        <v>3787</v>
      </c>
      <c r="J56" s="92" t="s">
        <v>360</v>
      </c>
      <c r="K56" s="88" t="s">
        <v>281</v>
      </c>
      <c r="L56" s="91">
        <v>41494</v>
      </c>
      <c r="M56" s="91">
        <v>41609</v>
      </c>
      <c r="N56" s="88">
        <f t="shared" ca="1" si="3"/>
        <v>4578</v>
      </c>
      <c r="O56" s="84" t="str">
        <f ca="1">IF(Tabla1[[#This Row],[|]]&gt;=0,"VENCIDA",IF(Tabla1[[#This Row],[|]]&gt;=-14,"POR VENCER","OK"))</f>
        <v>VENCIDA</v>
      </c>
      <c r="P56" s="90" t="s">
        <v>321</v>
      </c>
      <c r="Q56" s="90" t="s">
        <v>312</v>
      </c>
      <c r="R56" s="88" t="s">
        <v>317</v>
      </c>
      <c r="S56" s="88"/>
      <c r="T56" s="88"/>
      <c r="U56" s="88"/>
      <c r="V56" s="90" t="s">
        <v>282</v>
      </c>
      <c r="W56" s="92" t="s">
        <v>471</v>
      </c>
      <c r="X56" s="203">
        <v>18</v>
      </c>
    </row>
    <row r="57" spans="1:24" s="63" customFormat="1" ht="32.25" customHeight="1" x14ac:dyDescent="0.2">
      <c r="A57" s="202">
        <v>61</v>
      </c>
      <c r="B57" s="88" t="s">
        <v>279</v>
      </c>
      <c r="C57" s="89">
        <v>61</v>
      </c>
      <c r="D57" s="88" t="str">
        <f t="shared" si="4"/>
        <v>SUPERMIX61</v>
      </c>
      <c r="E57" s="105" t="s">
        <v>115</v>
      </c>
      <c r="F57" s="58" t="s">
        <v>116</v>
      </c>
      <c r="G57" s="88" t="s">
        <v>25</v>
      </c>
      <c r="H57" s="88">
        <v>29227612</v>
      </c>
      <c r="I57" s="88" t="s">
        <v>3787</v>
      </c>
      <c r="J57" s="58" t="s">
        <v>305</v>
      </c>
      <c r="K57" s="88" t="s">
        <v>293</v>
      </c>
      <c r="L57" s="91">
        <v>28817</v>
      </c>
      <c r="M57" s="91">
        <v>44596</v>
      </c>
      <c r="N57" s="88">
        <f t="shared" ca="1" si="3"/>
        <v>1591</v>
      </c>
      <c r="O57" s="84" t="str">
        <f ca="1">IF(Tabla1[[#This Row],[|]]&gt;=0,"VENCIDA",IF(Tabla1[[#This Row],[|]]&gt;=-14,"POR VENCER","OK"))</f>
        <v>VENCIDA</v>
      </c>
      <c r="P57" s="90" t="s">
        <v>2817</v>
      </c>
      <c r="Q57" s="90" t="s">
        <v>312</v>
      </c>
      <c r="R57" s="88" t="s">
        <v>17</v>
      </c>
      <c r="S57" s="88"/>
      <c r="T57" s="88"/>
      <c r="U57" s="88"/>
      <c r="V57" s="88" t="s">
        <v>306</v>
      </c>
      <c r="W57" s="92" t="s">
        <v>2776</v>
      </c>
      <c r="X57" s="203" t="s">
        <v>2819</v>
      </c>
    </row>
    <row r="58" spans="1:24" s="43" customFormat="1" ht="32.25" customHeight="1" x14ac:dyDescent="0.2">
      <c r="A58" s="42">
        <v>62</v>
      </c>
      <c r="B58" s="93" t="s">
        <v>279</v>
      </c>
      <c r="C58" s="94">
        <v>62</v>
      </c>
      <c r="D58" s="93" t="str">
        <f t="shared" si="4"/>
        <v>SUPERMIX62</v>
      </c>
      <c r="E58" s="115" t="s">
        <v>722</v>
      </c>
      <c r="F58" s="115" t="s">
        <v>723</v>
      </c>
      <c r="G58" s="93" t="s">
        <v>25</v>
      </c>
      <c r="H58" s="95">
        <v>29625075</v>
      </c>
      <c r="I58" s="95" t="s">
        <v>3788</v>
      </c>
      <c r="J58" s="97" t="s">
        <v>724</v>
      </c>
      <c r="K58" s="93" t="s">
        <v>1954</v>
      </c>
      <c r="L58" s="96">
        <v>40494</v>
      </c>
      <c r="M58" s="96">
        <v>46673</v>
      </c>
      <c r="N58" s="88">
        <f t="shared" ca="1" si="3"/>
        <v>-486</v>
      </c>
      <c r="O58" s="84" t="str">
        <f ca="1">IF(Tabla1[[#This Row],[|]]&gt;=0,"VENCIDA",IF(Tabla1[[#This Row],[|]]&gt;=-14,"POR VENCER","OK"))</f>
        <v>OK</v>
      </c>
      <c r="P58" s="95" t="s">
        <v>1992</v>
      </c>
      <c r="Q58" s="95" t="s">
        <v>312</v>
      </c>
      <c r="R58" s="93" t="s">
        <v>17</v>
      </c>
      <c r="S58" s="93"/>
      <c r="T58" s="93"/>
      <c r="U58" s="93"/>
      <c r="V58" s="93" t="s">
        <v>1755</v>
      </c>
      <c r="W58" s="97" t="s">
        <v>2776</v>
      </c>
      <c r="X58" s="204" t="s">
        <v>597</v>
      </c>
    </row>
    <row r="59" spans="1:24" s="63" customFormat="1" ht="32.25" customHeight="1" x14ac:dyDescent="0.2">
      <c r="A59" s="202">
        <v>63</v>
      </c>
      <c r="B59" s="88" t="s">
        <v>279</v>
      </c>
      <c r="C59" s="89">
        <v>63</v>
      </c>
      <c r="D59" s="88" t="str">
        <f t="shared" si="4"/>
        <v>SUPERMIX63</v>
      </c>
      <c r="E59" s="105" t="s">
        <v>117</v>
      </c>
      <c r="F59" s="58" t="s">
        <v>118</v>
      </c>
      <c r="G59" s="88" t="s">
        <v>25</v>
      </c>
      <c r="H59" s="90">
        <v>29704932</v>
      </c>
      <c r="I59" s="90" t="s">
        <v>3787</v>
      </c>
      <c r="J59" s="92" t="s">
        <v>289</v>
      </c>
      <c r="K59" s="88" t="s">
        <v>281</v>
      </c>
      <c r="L59" s="91">
        <v>42416</v>
      </c>
      <c r="M59" s="91">
        <v>44838</v>
      </c>
      <c r="N59" s="88">
        <f t="shared" ca="1" si="3"/>
        <v>1349</v>
      </c>
      <c r="O59" s="84" t="str">
        <f ca="1">IF(Tabla1[[#This Row],[|]]&gt;=0,"VENCIDA",IF(Tabla1[[#This Row],[|]]&gt;=-14,"POR VENCER","OK"))</f>
        <v>VENCIDA</v>
      </c>
      <c r="P59" s="90" t="s">
        <v>2838</v>
      </c>
      <c r="Q59" s="90" t="s">
        <v>312</v>
      </c>
      <c r="R59" s="88" t="s">
        <v>317</v>
      </c>
      <c r="S59" s="88"/>
      <c r="T59" s="88"/>
      <c r="U59" s="88"/>
      <c r="V59" s="88" t="s">
        <v>282</v>
      </c>
      <c r="W59" s="92" t="s">
        <v>732</v>
      </c>
      <c r="X59" s="203" t="s">
        <v>597</v>
      </c>
    </row>
    <row r="60" spans="1:24" s="63" customFormat="1" ht="32.25" customHeight="1" x14ac:dyDescent="0.2">
      <c r="A60" s="202">
        <v>64</v>
      </c>
      <c r="B60" s="88" t="s">
        <v>279</v>
      </c>
      <c r="C60" s="89">
        <v>64</v>
      </c>
      <c r="D60" s="88" t="str">
        <f t="shared" si="4"/>
        <v>SUPERMIX64</v>
      </c>
      <c r="E60" s="105" t="s">
        <v>119</v>
      </c>
      <c r="F60" s="58" t="s">
        <v>30</v>
      </c>
      <c r="G60" s="88"/>
      <c r="H60" s="99"/>
      <c r="I60" s="99" t="s">
        <v>3787</v>
      </c>
      <c r="J60" s="92"/>
      <c r="K60" s="88"/>
      <c r="L60" s="91"/>
      <c r="M60" s="91"/>
      <c r="N60" s="88">
        <f t="shared" ca="1" si="3"/>
        <v>46187</v>
      </c>
      <c r="O60" s="84" t="str">
        <f ca="1">IF(Tabla1[[#This Row],[|]]&gt;=0,"VENCIDA",IF(Tabla1[[#This Row],[|]]&gt;=-14,"POR VENCER","OK"))</f>
        <v>VENCIDA</v>
      </c>
      <c r="P60" s="90" t="s">
        <v>323</v>
      </c>
      <c r="Q60" s="90" t="s">
        <v>312</v>
      </c>
      <c r="R60" s="88"/>
      <c r="S60" s="88"/>
      <c r="T60" s="88"/>
      <c r="U60" s="88"/>
      <c r="V60" s="88"/>
      <c r="W60" s="92"/>
      <c r="X60" s="92"/>
    </row>
    <row r="61" spans="1:24" s="63" customFormat="1" ht="32.25" customHeight="1" x14ac:dyDescent="0.2">
      <c r="A61" s="202">
        <v>65</v>
      </c>
      <c r="B61" s="88" t="s">
        <v>279</v>
      </c>
      <c r="C61" s="89">
        <v>65</v>
      </c>
      <c r="D61" s="88" t="str">
        <f t="shared" si="4"/>
        <v>SUPERMIX65</v>
      </c>
      <c r="E61" s="105" t="s">
        <v>387</v>
      </c>
      <c r="F61" s="58" t="s">
        <v>388</v>
      </c>
      <c r="G61" s="88" t="s">
        <v>25</v>
      </c>
      <c r="H61" s="99">
        <v>29250802</v>
      </c>
      <c r="I61" s="99" t="s">
        <v>3787</v>
      </c>
      <c r="J61" s="92" t="s">
        <v>389</v>
      </c>
      <c r="K61" s="88" t="s">
        <v>281</v>
      </c>
      <c r="L61" s="91">
        <v>36990</v>
      </c>
      <c r="M61" s="91">
        <v>41373</v>
      </c>
      <c r="N61" s="88">
        <f t="shared" ca="1" si="3"/>
        <v>4814</v>
      </c>
      <c r="O61" s="84" t="str">
        <f ca="1">IF(Tabla1[[#This Row],[|]]&gt;=0,"VENCIDA",IF(Tabla1[[#This Row],[|]]&gt;=-14,"POR VENCER","OK"))</f>
        <v>VENCIDA</v>
      </c>
      <c r="P61" s="90" t="s">
        <v>390</v>
      </c>
      <c r="Q61" s="90" t="s">
        <v>312</v>
      </c>
      <c r="R61" s="88" t="s">
        <v>317</v>
      </c>
      <c r="S61" s="88"/>
      <c r="T61" s="88"/>
      <c r="U61" s="88"/>
      <c r="V61" s="88" t="s">
        <v>282</v>
      </c>
      <c r="W61" s="92" t="s">
        <v>309</v>
      </c>
      <c r="X61" s="203"/>
    </row>
    <row r="62" spans="1:24" s="63" customFormat="1" ht="32.25" customHeight="1" x14ac:dyDescent="0.2">
      <c r="A62" s="202">
        <v>66</v>
      </c>
      <c r="B62" s="88" t="s">
        <v>279</v>
      </c>
      <c r="C62" s="89">
        <v>66</v>
      </c>
      <c r="D62" s="88" t="str">
        <f t="shared" si="4"/>
        <v>SUPERMIX66</v>
      </c>
      <c r="E62" s="105" t="s">
        <v>120</v>
      </c>
      <c r="F62" s="58" t="s">
        <v>121</v>
      </c>
      <c r="G62" s="58" t="s">
        <v>25</v>
      </c>
      <c r="H62" s="90">
        <v>29293520</v>
      </c>
      <c r="I62" s="90" t="s">
        <v>3787</v>
      </c>
      <c r="J62" s="92" t="s">
        <v>294</v>
      </c>
      <c r="K62" s="88" t="s">
        <v>281</v>
      </c>
      <c r="L62" s="91">
        <v>34435</v>
      </c>
      <c r="M62" s="91">
        <v>44831</v>
      </c>
      <c r="N62" s="88">
        <f t="shared" ca="1" si="3"/>
        <v>1356</v>
      </c>
      <c r="O62" s="84" t="str">
        <f ca="1">IF(Tabla1[[#This Row],[|]]&gt;=0,"VENCIDA",IF(Tabla1[[#This Row],[|]]&gt;=-14,"POR VENCER","OK"))</f>
        <v>VENCIDA</v>
      </c>
      <c r="P62" s="90" t="s">
        <v>2847</v>
      </c>
      <c r="Q62" s="90" t="s">
        <v>312</v>
      </c>
      <c r="R62" s="88" t="s">
        <v>17</v>
      </c>
      <c r="S62" s="88"/>
      <c r="T62" s="88"/>
      <c r="U62" s="88"/>
      <c r="V62" s="88" t="s">
        <v>668</v>
      </c>
      <c r="W62" s="92" t="s">
        <v>2776</v>
      </c>
      <c r="X62" s="203" t="s">
        <v>597</v>
      </c>
    </row>
    <row r="63" spans="1:24" s="43" customFormat="1" ht="32.25" customHeight="1" x14ac:dyDescent="0.2">
      <c r="A63" s="42">
        <v>67</v>
      </c>
      <c r="B63" s="93" t="s">
        <v>279</v>
      </c>
      <c r="C63" s="94">
        <v>67</v>
      </c>
      <c r="D63" s="93" t="str">
        <f t="shared" si="4"/>
        <v>SUPERMIX67</v>
      </c>
      <c r="E63" s="115" t="s">
        <v>336</v>
      </c>
      <c r="F63" s="115" t="s">
        <v>337</v>
      </c>
      <c r="G63" s="93" t="s">
        <v>25</v>
      </c>
      <c r="H63" s="95">
        <v>29653657</v>
      </c>
      <c r="I63" s="95" t="s">
        <v>3788</v>
      </c>
      <c r="J63" s="97" t="s">
        <v>338</v>
      </c>
      <c r="K63" s="93" t="s">
        <v>343</v>
      </c>
      <c r="L63" s="96">
        <v>42577</v>
      </c>
      <c r="M63" s="96">
        <v>46655</v>
      </c>
      <c r="N63" s="88">
        <f t="shared" ca="1" si="3"/>
        <v>-468</v>
      </c>
      <c r="O63" s="84" t="str">
        <f ca="1">IF(Tabla1[[#This Row],[|]]&gt;=0,"VENCIDA",IF(Tabla1[[#This Row],[|]]&gt;=-14,"POR VENCER","OK"))</f>
        <v>OK</v>
      </c>
      <c r="P63" s="95" t="s">
        <v>2827</v>
      </c>
      <c r="Q63" s="95" t="s">
        <v>312</v>
      </c>
      <c r="R63" s="93" t="s">
        <v>317</v>
      </c>
      <c r="S63" s="93"/>
      <c r="T63" s="93"/>
      <c r="U63" s="93"/>
      <c r="V63" s="93" t="s">
        <v>334</v>
      </c>
      <c r="W63" s="97" t="s">
        <v>2997</v>
      </c>
      <c r="X63" s="97" t="s">
        <v>3073</v>
      </c>
    </row>
    <row r="64" spans="1:24" s="63" customFormat="1" ht="32.25" customHeight="1" x14ac:dyDescent="0.2">
      <c r="A64" s="202">
        <v>68</v>
      </c>
      <c r="B64" s="88" t="s">
        <v>279</v>
      </c>
      <c r="C64" s="89">
        <v>68</v>
      </c>
      <c r="D64" s="88" t="str">
        <f t="shared" si="4"/>
        <v>SUPERMIX68</v>
      </c>
      <c r="E64" s="105" t="s">
        <v>122</v>
      </c>
      <c r="F64" s="58" t="s">
        <v>35</v>
      </c>
      <c r="G64" s="88" t="s">
        <v>310</v>
      </c>
      <c r="H64" s="90">
        <v>25300413</v>
      </c>
      <c r="I64" s="90" t="s">
        <v>3787</v>
      </c>
      <c r="J64" s="109" t="s">
        <v>481</v>
      </c>
      <c r="K64" s="88" t="s">
        <v>281</v>
      </c>
      <c r="L64" s="91">
        <v>34458</v>
      </c>
      <c r="M64" s="91">
        <v>41693</v>
      </c>
      <c r="N64" s="88">
        <f t="shared" ca="1" si="3"/>
        <v>4494</v>
      </c>
      <c r="O64" s="84" t="str">
        <f ca="1">IF(Tabla1[[#This Row],[|]]&gt;=0,"VENCIDA",IF(Tabla1[[#This Row],[|]]&gt;=-14,"POR VENCER","OK"))</f>
        <v>VENCIDA</v>
      </c>
      <c r="P64" s="90" t="s">
        <v>1356</v>
      </c>
      <c r="Q64" s="90" t="s">
        <v>312</v>
      </c>
      <c r="R64" s="88" t="s">
        <v>317</v>
      </c>
      <c r="S64" s="88"/>
      <c r="T64" s="88"/>
      <c r="U64" s="88"/>
      <c r="V64" s="90" t="s">
        <v>474</v>
      </c>
      <c r="W64" s="92" t="s">
        <v>471</v>
      </c>
      <c r="X64" s="203"/>
    </row>
    <row r="65" spans="1:24" s="63" customFormat="1" ht="32.25" customHeight="1" x14ac:dyDescent="0.2">
      <c r="A65" s="202">
        <v>70</v>
      </c>
      <c r="B65" s="88" t="s">
        <v>279</v>
      </c>
      <c r="C65" s="89">
        <v>70</v>
      </c>
      <c r="D65" s="88" t="str">
        <f t="shared" si="4"/>
        <v>SUPERMIX70</v>
      </c>
      <c r="E65" s="105" t="s">
        <v>123</v>
      </c>
      <c r="F65" s="58" t="s">
        <v>124</v>
      </c>
      <c r="G65" s="88" t="s">
        <v>25</v>
      </c>
      <c r="H65" s="99">
        <v>30963860</v>
      </c>
      <c r="I65" s="99" t="s">
        <v>3787</v>
      </c>
      <c r="J65" s="109" t="s">
        <v>469</v>
      </c>
      <c r="K65" s="88" t="s">
        <v>281</v>
      </c>
      <c r="L65" s="91">
        <v>38779</v>
      </c>
      <c r="M65" s="91">
        <v>41624</v>
      </c>
      <c r="N65" s="88">
        <f t="shared" ca="1" si="3"/>
        <v>4563</v>
      </c>
      <c r="O65" s="84" t="str">
        <f ca="1">IF(Tabla1[[#This Row],[|]]&gt;=0,"VENCIDA",IF(Tabla1[[#This Row],[|]]&gt;=-14,"POR VENCER","OK"))</f>
        <v>VENCIDA</v>
      </c>
      <c r="P65" s="90" t="s">
        <v>437</v>
      </c>
      <c r="Q65" s="90" t="s">
        <v>312</v>
      </c>
      <c r="R65" s="88" t="s">
        <v>317</v>
      </c>
      <c r="S65" s="88"/>
      <c r="T65" s="88"/>
      <c r="U65" s="88"/>
      <c r="V65" s="88" t="s">
        <v>423</v>
      </c>
      <c r="W65" s="92" t="s">
        <v>416</v>
      </c>
      <c r="X65" s="203">
        <v>16</v>
      </c>
    </row>
    <row r="66" spans="1:24" s="43" customFormat="1" ht="32.25" customHeight="1" x14ac:dyDescent="0.2">
      <c r="A66" s="42">
        <v>71</v>
      </c>
      <c r="B66" s="93" t="s">
        <v>279</v>
      </c>
      <c r="C66" s="94">
        <v>71</v>
      </c>
      <c r="D66" s="93" t="str">
        <f t="shared" si="4"/>
        <v>SUPERMIX71</v>
      </c>
      <c r="E66" s="115" t="s">
        <v>125</v>
      </c>
      <c r="F66" s="115" t="s">
        <v>126</v>
      </c>
      <c r="G66" s="93" t="s">
        <v>25</v>
      </c>
      <c r="H66" s="93">
        <v>30863933</v>
      </c>
      <c r="I66" s="93" t="s">
        <v>3788</v>
      </c>
      <c r="J66" s="97" t="s">
        <v>426</v>
      </c>
      <c r="K66" s="93" t="s">
        <v>1954</v>
      </c>
      <c r="L66" s="96">
        <v>38779</v>
      </c>
      <c r="M66" s="96">
        <v>46520</v>
      </c>
      <c r="N66" s="88">
        <f t="shared" ca="1" si="3"/>
        <v>-333</v>
      </c>
      <c r="O66" s="84" t="str">
        <f ca="1">IF(Tabla1[[#This Row],[|]]&gt;=0,"VENCIDA",IF(Tabla1[[#This Row],[|]]&gt;=-14,"POR VENCER","OK"))</f>
        <v>OK</v>
      </c>
      <c r="P66" s="95" t="s">
        <v>1489</v>
      </c>
      <c r="Q66" s="95" t="s">
        <v>312</v>
      </c>
      <c r="R66" s="93" t="s">
        <v>317</v>
      </c>
      <c r="S66" s="93"/>
      <c r="T66" s="93"/>
      <c r="U66" s="93"/>
      <c r="V66" s="93" t="s">
        <v>763</v>
      </c>
      <c r="W66" s="97" t="s">
        <v>1480</v>
      </c>
      <c r="X66" s="204" t="s">
        <v>3234</v>
      </c>
    </row>
    <row r="67" spans="1:24" s="43" customFormat="1" ht="32.25" customHeight="1" x14ac:dyDescent="0.2">
      <c r="A67" s="42">
        <v>72</v>
      </c>
      <c r="B67" s="93" t="s">
        <v>279</v>
      </c>
      <c r="C67" s="94">
        <v>72</v>
      </c>
      <c r="D67" s="93" t="str">
        <f t="shared" si="4"/>
        <v>SUPERMIX72</v>
      </c>
      <c r="E67" s="171" t="s">
        <v>127</v>
      </c>
      <c r="F67" s="115" t="s">
        <v>20</v>
      </c>
      <c r="G67" s="93" t="s">
        <v>25</v>
      </c>
      <c r="H67" s="95">
        <v>29580267</v>
      </c>
      <c r="I67" s="95" t="s">
        <v>3788</v>
      </c>
      <c r="J67" s="97" t="s">
        <v>301</v>
      </c>
      <c r="K67" s="93" t="s">
        <v>281</v>
      </c>
      <c r="L67" s="96">
        <v>37236</v>
      </c>
      <c r="M67" s="96">
        <v>47473</v>
      </c>
      <c r="N67" s="88">
        <f t="shared" ca="1" si="3"/>
        <v>-1286</v>
      </c>
      <c r="O67" s="84" t="str">
        <f ca="1">IF(Tabla1[[#This Row],[|]]&gt;=0,"VENCIDA",IF(Tabla1[[#This Row],[|]]&gt;=-14,"POR VENCER","OK"))</f>
        <v>OK</v>
      </c>
      <c r="P67" s="95" t="s">
        <v>3187</v>
      </c>
      <c r="Q67" s="95" t="s">
        <v>312</v>
      </c>
      <c r="R67" s="93" t="s">
        <v>17</v>
      </c>
      <c r="S67" s="93"/>
      <c r="T67" s="93"/>
      <c r="U67" s="93"/>
      <c r="V67" s="93" t="s">
        <v>282</v>
      </c>
      <c r="W67" s="97" t="s">
        <v>2776</v>
      </c>
      <c r="X67" s="204" t="s">
        <v>2819</v>
      </c>
    </row>
    <row r="68" spans="1:24" s="59" customFormat="1" ht="32.25" customHeight="1" x14ac:dyDescent="0.2">
      <c r="A68" s="200">
        <v>73</v>
      </c>
      <c r="B68" s="61" t="s">
        <v>279</v>
      </c>
      <c r="C68" s="87">
        <v>73</v>
      </c>
      <c r="D68" s="61" t="str">
        <f t="shared" si="4"/>
        <v>SUPERMIX73</v>
      </c>
      <c r="E68" s="113" t="s">
        <v>128</v>
      </c>
      <c r="F68" s="82" t="s">
        <v>383</v>
      </c>
      <c r="G68" s="61" t="s">
        <v>341</v>
      </c>
      <c r="H68" s="114">
        <v>40124602</v>
      </c>
      <c r="I68" s="114" t="s">
        <v>3787</v>
      </c>
      <c r="J68" s="86" t="s">
        <v>384</v>
      </c>
      <c r="K68" s="61" t="s">
        <v>281</v>
      </c>
      <c r="L68" s="62">
        <v>38224</v>
      </c>
      <c r="M68" s="62">
        <v>41471</v>
      </c>
      <c r="N68" s="88">
        <f t="shared" ca="1" si="3"/>
        <v>4716</v>
      </c>
      <c r="O68" s="84" t="str">
        <f ca="1">IF(Tabla1[[#This Row],[|]]&gt;=0,"VENCIDA",IF(Tabla1[[#This Row],[|]]&gt;=-14,"POR VENCER","OK"))</f>
        <v>VENCIDA</v>
      </c>
      <c r="P68" s="60" t="s">
        <v>597</v>
      </c>
      <c r="Q68" s="60" t="s">
        <v>312</v>
      </c>
      <c r="R68" s="61" t="s">
        <v>317</v>
      </c>
      <c r="S68" s="61"/>
      <c r="T68" s="61"/>
      <c r="U68" s="61"/>
      <c r="V68" s="61" t="s">
        <v>282</v>
      </c>
      <c r="W68" s="86" t="s">
        <v>471</v>
      </c>
      <c r="X68" s="201">
        <v>18</v>
      </c>
    </row>
    <row r="69" spans="1:24" s="63" customFormat="1" ht="32.25" customHeight="1" x14ac:dyDescent="0.2">
      <c r="A69" s="202">
        <v>74</v>
      </c>
      <c r="B69" s="88" t="s">
        <v>279</v>
      </c>
      <c r="C69" s="89">
        <v>74</v>
      </c>
      <c r="D69" s="88" t="str">
        <f t="shared" si="4"/>
        <v>SUPERMIX74</v>
      </c>
      <c r="E69" s="105" t="s">
        <v>129</v>
      </c>
      <c r="F69" s="58" t="s">
        <v>130</v>
      </c>
      <c r="G69" s="88" t="s">
        <v>25</v>
      </c>
      <c r="H69" s="90">
        <v>29467898</v>
      </c>
      <c r="I69" s="90" t="s">
        <v>3787</v>
      </c>
      <c r="J69" s="58" t="s">
        <v>1538</v>
      </c>
      <c r="K69" s="88" t="s">
        <v>281</v>
      </c>
      <c r="L69" s="91">
        <v>28692</v>
      </c>
      <c r="M69" s="91">
        <v>44102</v>
      </c>
      <c r="N69" s="88">
        <f t="shared" ca="1" si="3"/>
        <v>2085</v>
      </c>
      <c r="O69" s="84" t="str">
        <f ca="1">IF(Tabla1[[#This Row],[|]]&gt;=0,"VENCIDA",IF(Tabla1[[#This Row],[|]]&gt;=-14,"POR VENCER","OK"))</f>
        <v>VENCIDA</v>
      </c>
      <c r="P69" s="90" t="s">
        <v>2519</v>
      </c>
      <c r="Q69" s="90" t="s">
        <v>312</v>
      </c>
      <c r="R69" s="88" t="s">
        <v>317</v>
      </c>
      <c r="S69" s="88"/>
      <c r="T69" s="88"/>
      <c r="U69" s="88"/>
      <c r="V69" s="88" t="s">
        <v>306</v>
      </c>
      <c r="W69" s="92" t="s">
        <v>649</v>
      </c>
      <c r="X69" s="92"/>
    </row>
    <row r="70" spans="1:24" s="63" customFormat="1" ht="32.25" customHeight="1" x14ac:dyDescent="0.2">
      <c r="A70" s="202">
        <v>75</v>
      </c>
      <c r="B70" s="88" t="s">
        <v>279</v>
      </c>
      <c r="C70" s="89">
        <v>75</v>
      </c>
      <c r="D70" s="88" t="str">
        <f t="shared" si="4"/>
        <v>SUPERMIX75</v>
      </c>
      <c r="E70" s="105" t="s">
        <v>131</v>
      </c>
      <c r="F70" s="58" t="s">
        <v>132</v>
      </c>
      <c r="G70" s="88" t="s">
        <v>25</v>
      </c>
      <c r="H70" s="90">
        <v>40379475</v>
      </c>
      <c r="I70" s="90" t="s">
        <v>3787</v>
      </c>
      <c r="J70" s="88" t="s">
        <v>292</v>
      </c>
      <c r="K70" s="88" t="s">
        <v>293</v>
      </c>
      <c r="L70" s="91">
        <v>40102</v>
      </c>
      <c r="M70" s="91">
        <v>42661</v>
      </c>
      <c r="N70" s="88">
        <f t="shared" ca="1" si="3"/>
        <v>3526</v>
      </c>
      <c r="O70" s="84" t="str">
        <f ca="1">IF(Tabla1[[#This Row],[|]]&gt;=0,"VENCIDA",IF(Tabla1[[#This Row],[|]]&gt;=-14,"POR VENCER","OK"))</f>
        <v>VENCIDA</v>
      </c>
      <c r="P70" s="90" t="s">
        <v>321</v>
      </c>
      <c r="Q70" s="90" t="s">
        <v>312</v>
      </c>
      <c r="R70" s="88" t="s">
        <v>317</v>
      </c>
      <c r="S70" s="88"/>
      <c r="T70" s="88"/>
      <c r="U70" s="88"/>
      <c r="V70" s="88" t="s">
        <v>282</v>
      </c>
      <c r="W70" s="92" t="s">
        <v>613</v>
      </c>
      <c r="X70" s="203">
        <v>16</v>
      </c>
    </row>
    <row r="71" spans="1:24" s="63" customFormat="1" ht="32.25" customHeight="1" x14ac:dyDescent="0.2">
      <c r="A71" s="202">
        <v>76</v>
      </c>
      <c r="B71" s="88" t="s">
        <v>279</v>
      </c>
      <c r="C71" s="89">
        <v>76</v>
      </c>
      <c r="D71" s="88" t="str">
        <f>CONCATENATE(B69,C69)</f>
        <v>SUPERMIX74</v>
      </c>
      <c r="E71" s="105" t="s">
        <v>133</v>
      </c>
      <c r="F71" s="58" t="s">
        <v>134</v>
      </c>
      <c r="G71" s="88" t="s">
        <v>25</v>
      </c>
      <c r="H71" s="90">
        <v>29708689</v>
      </c>
      <c r="I71" s="90" t="s">
        <v>3787</v>
      </c>
      <c r="J71" s="90" t="s">
        <v>296</v>
      </c>
      <c r="K71" s="88" t="s">
        <v>281</v>
      </c>
      <c r="L71" s="91">
        <v>40638</v>
      </c>
      <c r="M71" s="91">
        <v>41734</v>
      </c>
      <c r="N71" s="88">
        <f t="shared" ca="1" si="3"/>
        <v>4453</v>
      </c>
      <c r="O71" s="84" t="str">
        <f ca="1">IF(Tabla1[[#This Row],[|]]&gt;=0,"VENCIDA",IF(Tabla1[[#This Row],[|]]&gt;=-14,"POR VENCER","OK"))</f>
        <v>VENCIDA</v>
      </c>
      <c r="P71" s="90" t="s">
        <v>597</v>
      </c>
      <c r="Q71" s="90" t="s">
        <v>312</v>
      </c>
      <c r="R71" s="88" t="s">
        <v>317</v>
      </c>
      <c r="S71" s="88"/>
      <c r="T71" s="88"/>
      <c r="U71" s="88"/>
      <c r="V71" s="88" t="s">
        <v>282</v>
      </c>
      <c r="W71" s="92" t="s">
        <v>471</v>
      </c>
      <c r="X71" s="203"/>
    </row>
    <row r="72" spans="1:24" s="63" customFormat="1" ht="32.25" customHeight="1" x14ac:dyDescent="0.2">
      <c r="A72" s="202">
        <v>77</v>
      </c>
      <c r="B72" s="88" t="s">
        <v>279</v>
      </c>
      <c r="C72" s="89">
        <v>77</v>
      </c>
      <c r="D72" s="88" t="str">
        <f t="shared" ref="D72:D135" si="5">CONCATENATE(B72,C72)</f>
        <v>SUPERMIX77</v>
      </c>
      <c r="E72" s="105" t="s">
        <v>411</v>
      </c>
      <c r="F72" s="58" t="s">
        <v>412</v>
      </c>
      <c r="G72" s="88" t="s">
        <v>25</v>
      </c>
      <c r="H72" s="107" t="s">
        <v>413</v>
      </c>
      <c r="I72" s="107" t="s">
        <v>3787</v>
      </c>
      <c r="J72" s="90" t="s">
        <v>414</v>
      </c>
      <c r="K72" s="88" t="s">
        <v>281</v>
      </c>
      <c r="L72" s="91">
        <v>37882</v>
      </c>
      <c r="M72" s="91">
        <v>43694</v>
      </c>
      <c r="N72" s="88">
        <f t="shared" ca="1" si="3"/>
        <v>2493</v>
      </c>
      <c r="O72" s="84" t="str">
        <f ca="1">IF(Tabla1[[#This Row],[|]]&gt;=0,"VENCIDA",IF(Tabla1[[#This Row],[|]]&gt;=-14,"POR VENCER","OK"))</f>
        <v>VENCIDA</v>
      </c>
      <c r="P72" s="90" t="s">
        <v>1138</v>
      </c>
      <c r="Q72" s="90" t="s">
        <v>312</v>
      </c>
      <c r="R72" s="88" t="s">
        <v>317</v>
      </c>
      <c r="S72" s="88"/>
      <c r="T72" s="88"/>
      <c r="U72" s="88"/>
      <c r="V72" s="88" t="s">
        <v>334</v>
      </c>
      <c r="W72" s="92" t="s">
        <v>335</v>
      </c>
      <c r="X72" s="92"/>
    </row>
    <row r="73" spans="1:24" s="63" customFormat="1" ht="32.25" customHeight="1" x14ac:dyDescent="0.2">
      <c r="A73" s="202">
        <v>78</v>
      </c>
      <c r="B73" s="88" t="s">
        <v>279</v>
      </c>
      <c r="C73" s="89">
        <v>78</v>
      </c>
      <c r="D73" s="88" t="str">
        <f t="shared" si="5"/>
        <v>SUPERMIX78</v>
      </c>
      <c r="E73" s="105" t="s">
        <v>135</v>
      </c>
      <c r="F73" s="58" t="s">
        <v>136</v>
      </c>
      <c r="G73" s="88" t="s">
        <v>310</v>
      </c>
      <c r="H73" s="90">
        <v>29698555</v>
      </c>
      <c r="I73" s="90" t="s">
        <v>3787</v>
      </c>
      <c r="J73" s="90" t="s">
        <v>657</v>
      </c>
      <c r="K73" s="88" t="s">
        <v>293</v>
      </c>
      <c r="L73" s="91"/>
      <c r="M73" s="91">
        <v>42483</v>
      </c>
      <c r="N73" s="88">
        <f t="shared" ca="1" si="3"/>
        <v>3704</v>
      </c>
      <c r="O73" s="84" t="str">
        <f ca="1">IF(Tabla1[[#This Row],[|]]&gt;=0,"VENCIDA",IF(Tabla1[[#This Row],[|]]&gt;=-14,"POR VENCER","OK"))</f>
        <v>VENCIDA</v>
      </c>
      <c r="P73" s="90" t="s">
        <v>1358</v>
      </c>
      <c r="Q73" s="90" t="s">
        <v>312</v>
      </c>
      <c r="R73" s="88" t="s">
        <v>17</v>
      </c>
      <c r="S73" s="88"/>
      <c r="T73" s="88"/>
      <c r="U73" s="88"/>
      <c r="V73" s="88" t="s">
        <v>656</v>
      </c>
      <c r="W73" s="92" t="s">
        <v>658</v>
      </c>
      <c r="X73" s="92"/>
    </row>
    <row r="74" spans="1:24" s="43" customFormat="1" ht="32.25" customHeight="1" x14ac:dyDescent="0.2">
      <c r="A74" s="42">
        <v>79</v>
      </c>
      <c r="B74" s="93" t="s">
        <v>279</v>
      </c>
      <c r="C74" s="94">
        <v>79</v>
      </c>
      <c r="D74" s="93" t="str">
        <f t="shared" si="5"/>
        <v>SUPERMIX79</v>
      </c>
      <c r="E74" s="115" t="s">
        <v>137</v>
      </c>
      <c r="F74" s="115" t="s">
        <v>138</v>
      </c>
      <c r="G74" s="93" t="s">
        <v>25</v>
      </c>
      <c r="H74" s="93">
        <v>24709179</v>
      </c>
      <c r="I74" s="93" t="s">
        <v>3788</v>
      </c>
      <c r="J74" s="93" t="s">
        <v>556</v>
      </c>
      <c r="K74" s="93" t="s">
        <v>281</v>
      </c>
      <c r="L74" s="96">
        <v>36776</v>
      </c>
      <c r="M74" s="96">
        <v>46686</v>
      </c>
      <c r="N74" s="88">
        <f t="shared" ca="1" si="3"/>
        <v>-499</v>
      </c>
      <c r="O74" s="84" t="str">
        <f ca="1">IF(Tabla1[[#This Row],[|]]&gt;=0,"VENCIDA",IF(Tabla1[[#This Row],[|]]&gt;=-14,"POR VENCER","OK"))</f>
        <v>OK</v>
      </c>
      <c r="P74" s="95" t="s">
        <v>3724</v>
      </c>
      <c r="Q74" s="95" t="s">
        <v>312</v>
      </c>
      <c r="R74" s="93" t="s">
        <v>17</v>
      </c>
      <c r="S74" s="93"/>
      <c r="T74" s="93"/>
      <c r="U74" s="93"/>
      <c r="V74" s="93" t="s">
        <v>282</v>
      </c>
      <c r="W74" s="97" t="s">
        <v>2776</v>
      </c>
      <c r="X74" s="204" t="s">
        <v>624</v>
      </c>
    </row>
    <row r="75" spans="1:24" s="63" customFormat="1" ht="32.25" customHeight="1" x14ac:dyDescent="0.2">
      <c r="A75" s="202">
        <v>81</v>
      </c>
      <c r="B75" s="88" t="s">
        <v>279</v>
      </c>
      <c r="C75" s="89">
        <v>81</v>
      </c>
      <c r="D75" s="88" t="str">
        <f t="shared" si="5"/>
        <v>SUPERMIX81</v>
      </c>
      <c r="E75" s="105" t="s">
        <v>139</v>
      </c>
      <c r="F75" s="58" t="s">
        <v>140</v>
      </c>
      <c r="G75" s="88"/>
      <c r="H75" s="88"/>
      <c r="I75" s="88" t="s">
        <v>3787</v>
      </c>
      <c r="J75" s="58"/>
      <c r="K75" s="88"/>
      <c r="L75" s="91"/>
      <c r="M75" s="91"/>
      <c r="N75" s="88">
        <f t="shared" ca="1" si="3"/>
        <v>46187</v>
      </c>
      <c r="O75" s="84" t="str">
        <f ca="1">IF(Tabla1[[#This Row],[|]]&gt;=0,"VENCIDA",IF(Tabla1[[#This Row],[|]]&gt;=-14,"POR VENCER","OK"))</f>
        <v>VENCIDA</v>
      </c>
      <c r="P75" s="90" t="s">
        <v>597</v>
      </c>
      <c r="Q75" s="90" t="s">
        <v>312</v>
      </c>
      <c r="R75" s="88"/>
      <c r="S75" s="88"/>
      <c r="T75" s="88"/>
      <c r="U75" s="88"/>
      <c r="V75" s="88"/>
      <c r="W75" s="92"/>
      <c r="X75" s="92"/>
    </row>
    <row r="76" spans="1:24" s="63" customFormat="1" ht="32.25" customHeight="1" x14ac:dyDescent="0.2">
      <c r="A76" s="202">
        <v>82</v>
      </c>
      <c r="B76" s="88" t="s">
        <v>279</v>
      </c>
      <c r="C76" s="89">
        <v>82</v>
      </c>
      <c r="D76" s="88" t="str">
        <f t="shared" si="5"/>
        <v>SUPERMIX82</v>
      </c>
      <c r="E76" s="105" t="s">
        <v>141</v>
      </c>
      <c r="F76" s="58" t="s">
        <v>142</v>
      </c>
      <c r="G76" s="88" t="s">
        <v>25</v>
      </c>
      <c r="H76" s="90">
        <v>29569955</v>
      </c>
      <c r="I76" s="90" t="s">
        <v>3787</v>
      </c>
      <c r="J76" s="109" t="s">
        <v>447</v>
      </c>
      <c r="K76" s="88" t="s">
        <v>281</v>
      </c>
      <c r="L76" s="91">
        <v>37217</v>
      </c>
      <c r="M76" s="91">
        <v>42140</v>
      </c>
      <c r="N76" s="88">
        <f t="shared" ca="1" si="3"/>
        <v>4047</v>
      </c>
      <c r="O76" s="84" t="str">
        <f ca="1">IF(Tabla1[[#This Row],[|]]&gt;=0,"VENCIDA",IF(Tabla1[[#This Row],[|]]&gt;=-14,"POR VENCER","OK"))</f>
        <v>VENCIDA</v>
      </c>
      <c r="P76" s="90" t="s">
        <v>1786</v>
      </c>
      <c r="Q76" s="90" t="s">
        <v>312</v>
      </c>
      <c r="R76" s="88" t="s">
        <v>317</v>
      </c>
      <c r="S76" s="88"/>
      <c r="T76" s="88"/>
      <c r="U76" s="88"/>
      <c r="V76" s="88" t="s">
        <v>306</v>
      </c>
      <c r="W76" s="92" t="s">
        <v>649</v>
      </c>
      <c r="X76" s="203">
        <v>17</v>
      </c>
    </row>
    <row r="77" spans="1:24" s="63" customFormat="1" ht="32.25" customHeight="1" x14ac:dyDescent="0.2">
      <c r="A77" s="202">
        <v>83</v>
      </c>
      <c r="B77" s="88" t="s">
        <v>279</v>
      </c>
      <c r="C77" s="89">
        <v>83</v>
      </c>
      <c r="D77" s="88" t="str">
        <f t="shared" si="5"/>
        <v>SUPERMIX83</v>
      </c>
      <c r="E77" s="105" t="s">
        <v>143</v>
      </c>
      <c r="F77" s="58" t="s">
        <v>144</v>
      </c>
      <c r="G77" s="88" t="s">
        <v>1923</v>
      </c>
      <c r="H77" s="90">
        <v>41633294</v>
      </c>
      <c r="I77" s="90" t="s">
        <v>3787</v>
      </c>
      <c r="J77" s="90" t="s">
        <v>1924</v>
      </c>
      <c r="K77" s="88" t="s">
        <v>343</v>
      </c>
      <c r="L77" s="91">
        <v>40697</v>
      </c>
      <c r="M77" s="91">
        <v>44103</v>
      </c>
      <c r="N77" s="88">
        <f t="shared" ca="1" si="3"/>
        <v>2084</v>
      </c>
      <c r="O77" s="84" t="str">
        <f ca="1">IF(Tabla1[[#This Row],[|]]&gt;=0,"VENCIDA",IF(Tabla1[[#This Row],[|]]&gt;=-14,"POR VENCER","OK"))</f>
        <v>VENCIDA</v>
      </c>
      <c r="P77" s="90" t="s">
        <v>1925</v>
      </c>
      <c r="Q77" s="90" t="s">
        <v>312</v>
      </c>
      <c r="R77" s="88" t="s">
        <v>317</v>
      </c>
      <c r="S77" s="88"/>
      <c r="T77" s="88"/>
      <c r="U77" s="88"/>
      <c r="V77" s="88" t="s">
        <v>334</v>
      </c>
      <c r="W77" s="92" t="s">
        <v>971</v>
      </c>
      <c r="X77" s="92"/>
    </row>
    <row r="78" spans="1:24" s="63" customFormat="1" ht="32.25" customHeight="1" x14ac:dyDescent="0.2">
      <c r="A78" s="202">
        <v>84</v>
      </c>
      <c r="B78" s="88" t="s">
        <v>279</v>
      </c>
      <c r="C78" s="89">
        <v>84</v>
      </c>
      <c r="D78" s="88" t="str">
        <f t="shared" si="5"/>
        <v>SUPERMIX84</v>
      </c>
      <c r="E78" s="105" t="s">
        <v>145</v>
      </c>
      <c r="F78" s="58" t="s">
        <v>146</v>
      </c>
      <c r="G78" s="88"/>
      <c r="H78" s="90"/>
      <c r="I78" s="90" t="s">
        <v>3787</v>
      </c>
      <c r="J78" s="109"/>
      <c r="K78" s="88"/>
      <c r="L78" s="91"/>
      <c r="M78" s="91"/>
      <c r="N78" s="88">
        <f t="shared" ca="1" si="3"/>
        <v>46187</v>
      </c>
      <c r="O78" s="84" t="str">
        <f ca="1">IF(Tabla1[[#This Row],[|]]&gt;=0,"VENCIDA",IF(Tabla1[[#This Row],[|]]&gt;=-14,"POR VENCER","OK"))</f>
        <v>VENCIDA</v>
      </c>
      <c r="P78" s="90" t="s">
        <v>1508</v>
      </c>
      <c r="Q78" s="90" t="s">
        <v>312</v>
      </c>
      <c r="R78" s="88"/>
      <c r="S78" s="88"/>
      <c r="T78" s="88"/>
      <c r="U78" s="88"/>
      <c r="V78" s="88"/>
      <c r="W78" s="92"/>
      <c r="X78" s="92"/>
    </row>
    <row r="79" spans="1:24" s="59" customFormat="1" ht="32.25" customHeight="1" x14ac:dyDescent="0.2">
      <c r="A79" s="200">
        <v>85</v>
      </c>
      <c r="B79" s="61" t="s">
        <v>279</v>
      </c>
      <c r="C79" s="87">
        <v>85</v>
      </c>
      <c r="D79" s="61" t="str">
        <f t="shared" si="5"/>
        <v>SUPERMIX85</v>
      </c>
      <c r="E79" s="113" t="s">
        <v>147</v>
      </c>
      <c r="F79" s="82" t="s">
        <v>148</v>
      </c>
      <c r="G79" s="61" t="s">
        <v>566</v>
      </c>
      <c r="H79" s="60">
        <v>29723716</v>
      </c>
      <c r="I79" s="60" t="s">
        <v>3787</v>
      </c>
      <c r="J79" s="82" t="s">
        <v>567</v>
      </c>
      <c r="K79" s="61" t="s">
        <v>281</v>
      </c>
      <c r="L79" s="62">
        <v>39004</v>
      </c>
      <c r="M79" s="62">
        <v>41679</v>
      </c>
      <c r="N79" s="88">
        <f t="shared" ca="1" si="3"/>
        <v>4508</v>
      </c>
      <c r="O79" s="84" t="str">
        <f ca="1">IF(Tabla1[[#This Row],[|]]&gt;=0,"VENCIDA",IF(Tabla1[[#This Row],[|]]&gt;=-14,"POR VENCER","OK"))</f>
        <v>VENCIDA</v>
      </c>
      <c r="P79" s="60" t="s">
        <v>1359</v>
      </c>
      <c r="Q79" s="60" t="s">
        <v>312</v>
      </c>
      <c r="R79" s="61" t="s">
        <v>17</v>
      </c>
      <c r="S79" s="61"/>
      <c r="T79" s="61"/>
      <c r="U79" s="61"/>
      <c r="V79" s="61" t="s">
        <v>282</v>
      </c>
      <c r="W79" s="86" t="s">
        <v>471</v>
      </c>
      <c r="X79" s="201">
        <v>18</v>
      </c>
    </row>
    <row r="80" spans="1:24" s="63" customFormat="1" ht="32.25" customHeight="1" x14ac:dyDescent="0.2">
      <c r="A80" s="202">
        <v>86</v>
      </c>
      <c r="B80" s="88" t="s">
        <v>279</v>
      </c>
      <c r="C80" s="89">
        <v>86</v>
      </c>
      <c r="D80" s="88" t="str">
        <f t="shared" si="5"/>
        <v>SUPERMIX86</v>
      </c>
      <c r="E80" s="105" t="s">
        <v>149</v>
      </c>
      <c r="F80" s="58" t="s">
        <v>150</v>
      </c>
      <c r="G80" s="88" t="s">
        <v>25</v>
      </c>
      <c r="H80" s="90">
        <v>29335955</v>
      </c>
      <c r="I80" s="90" t="s">
        <v>3787</v>
      </c>
      <c r="J80" s="92" t="s">
        <v>295</v>
      </c>
      <c r="K80" s="88" t="s">
        <v>281</v>
      </c>
      <c r="L80" s="91">
        <v>36787</v>
      </c>
      <c r="M80" s="91">
        <v>44032</v>
      </c>
      <c r="N80" s="88">
        <f t="shared" ca="1" si="3"/>
        <v>2155</v>
      </c>
      <c r="O80" s="84" t="str">
        <f ca="1">IF(Tabla1[[#This Row],[|]]&gt;=0,"VENCIDA",IF(Tabla1[[#This Row],[|]]&gt;=-14,"POR VENCER","OK"))</f>
        <v>VENCIDA</v>
      </c>
      <c r="P80" s="90" t="s">
        <v>2777</v>
      </c>
      <c r="Q80" s="90" t="s">
        <v>312</v>
      </c>
      <c r="R80" s="88" t="s">
        <v>17</v>
      </c>
      <c r="S80" s="88"/>
      <c r="T80" s="88"/>
      <c r="U80" s="88"/>
      <c r="V80" s="88" t="s">
        <v>986</v>
      </c>
      <c r="W80" s="92" t="s">
        <v>702</v>
      </c>
      <c r="X80" s="203">
        <v>16</v>
      </c>
    </row>
    <row r="81" spans="1:24" s="63" customFormat="1" ht="32.25" customHeight="1" x14ac:dyDescent="0.2">
      <c r="A81" s="202">
        <v>87</v>
      </c>
      <c r="B81" s="88" t="s">
        <v>279</v>
      </c>
      <c r="C81" s="89">
        <v>87</v>
      </c>
      <c r="D81" s="88" t="str">
        <f t="shared" si="5"/>
        <v>SUPERMIX87</v>
      </c>
      <c r="E81" s="105" t="s">
        <v>151</v>
      </c>
      <c r="F81" s="58" t="s">
        <v>152</v>
      </c>
      <c r="G81" s="88" t="s">
        <v>25</v>
      </c>
      <c r="H81" s="107" t="s">
        <v>394</v>
      </c>
      <c r="I81" s="107" t="s">
        <v>3787</v>
      </c>
      <c r="J81" s="58" t="s">
        <v>395</v>
      </c>
      <c r="K81" s="88" t="s">
        <v>281</v>
      </c>
      <c r="L81" s="91">
        <v>39316</v>
      </c>
      <c r="M81" s="91">
        <v>41567</v>
      </c>
      <c r="N81" s="88">
        <f t="shared" ca="1" si="3"/>
        <v>4620</v>
      </c>
      <c r="O81" s="84" t="str">
        <f ca="1">IF(Tabla1[[#This Row],[|]]&gt;=0,"VENCIDA",IF(Tabla1[[#This Row],[|]]&gt;=-14,"POR VENCER","OK"))</f>
        <v>VENCIDA</v>
      </c>
      <c r="P81" s="90" t="s">
        <v>597</v>
      </c>
      <c r="Q81" s="90" t="s">
        <v>312</v>
      </c>
      <c r="R81" s="88" t="s">
        <v>317</v>
      </c>
      <c r="S81" s="88"/>
      <c r="T81" s="88"/>
      <c r="U81" s="88"/>
      <c r="V81" s="88" t="s">
        <v>282</v>
      </c>
      <c r="W81" s="92" t="s">
        <v>299</v>
      </c>
      <c r="X81" s="203"/>
    </row>
    <row r="82" spans="1:24" s="63" customFormat="1" ht="32.25" customHeight="1" x14ac:dyDescent="0.2">
      <c r="A82" s="202">
        <v>88</v>
      </c>
      <c r="B82" s="88" t="s">
        <v>279</v>
      </c>
      <c r="C82" s="89">
        <v>88</v>
      </c>
      <c r="D82" s="88" t="str">
        <f t="shared" si="5"/>
        <v>SUPERMIX88</v>
      </c>
      <c r="E82" s="105" t="s">
        <v>764</v>
      </c>
      <c r="F82" s="58" t="s">
        <v>765</v>
      </c>
      <c r="G82" s="88" t="s">
        <v>25</v>
      </c>
      <c r="H82" s="107" t="s">
        <v>766</v>
      </c>
      <c r="I82" s="107" t="s">
        <v>3787</v>
      </c>
      <c r="J82" s="58" t="s">
        <v>767</v>
      </c>
      <c r="K82" s="88" t="s">
        <v>293</v>
      </c>
      <c r="L82" s="91">
        <v>40085</v>
      </c>
      <c r="M82" s="91">
        <v>43367</v>
      </c>
      <c r="N82" s="88">
        <f t="shared" ref="N82:N145" ca="1" si="6">TODAY()-M82</f>
        <v>2820</v>
      </c>
      <c r="O82" s="84" t="str">
        <f ca="1">IF(Tabla1[[#This Row],[|]]&gt;=0,"VENCIDA",IF(Tabla1[[#This Row],[|]]&gt;=-14,"POR VENCER","OK"))</f>
        <v>VENCIDA</v>
      </c>
      <c r="P82" s="90" t="s">
        <v>323</v>
      </c>
      <c r="Q82" s="90" t="s">
        <v>312</v>
      </c>
      <c r="R82" s="88" t="s">
        <v>17</v>
      </c>
      <c r="S82" s="88"/>
      <c r="T82" s="88"/>
      <c r="U82" s="88"/>
      <c r="V82" s="88" t="s">
        <v>763</v>
      </c>
      <c r="W82" s="92" t="s">
        <v>416</v>
      </c>
      <c r="X82" s="203">
        <v>14</v>
      </c>
    </row>
    <row r="83" spans="1:24" s="63" customFormat="1" ht="32.25" customHeight="1" x14ac:dyDescent="0.2">
      <c r="A83" s="202">
        <v>89</v>
      </c>
      <c r="B83" s="88" t="s">
        <v>279</v>
      </c>
      <c r="C83" s="89">
        <v>89</v>
      </c>
      <c r="D83" s="88" t="str">
        <f t="shared" si="5"/>
        <v>SUPERMIX89</v>
      </c>
      <c r="E83" s="105" t="s">
        <v>153</v>
      </c>
      <c r="F83" s="58" t="s">
        <v>29</v>
      </c>
      <c r="G83" s="88" t="s">
        <v>25</v>
      </c>
      <c r="H83" s="107" t="s">
        <v>400</v>
      </c>
      <c r="I83" s="107" t="s">
        <v>3787</v>
      </c>
      <c r="J83" s="92" t="s">
        <v>401</v>
      </c>
      <c r="K83" s="88" t="s">
        <v>402</v>
      </c>
      <c r="L83" s="91">
        <v>30498</v>
      </c>
      <c r="M83" s="91">
        <v>40900</v>
      </c>
      <c r="N83" s="88">
        <f t="shared" ca="1" si="6"/>
        <v>5287</v>
      </c>
      <c r="O83" s="84" t="str">
        <f ca="1">IF(Tabla1[[#This Row],[|]]&gt;=0,"VENCIDA",IF(Tabla1[[#This Row],[|]]&gt;=-14,"POR VENCER","OK"))</f>
        <v>VENCIDA</v>
      </c>
      <c r="P83" s="90" t="s">
        <v>597</v>
      </c>
      <c r="Q83" s="90" t="s">
        <v>312</v>
      </c>
      <c r="R83" s="88" t="s">
        <v>17</v>
      </c>
      <c r="S83" s="88"/>
      <c r="T83" s="88"/>
      <c r="U83" s="88"/>
      <c r="V83" s="88" t="s">
        <v>282</v>
      </c>
      <c r="W83" s="92" t="s">
        <v>299</v>
      </c>
      <c r="X83" s="203"/>
    </row>
    <row r="84" spans="1:24" s="63" customFormat="1" ht="32.25" customHeight="1" x14ac:dyDescent="0.2">
      <c r="A84" s="202">
        <v>90</v>
      </c>
      <c r="B84" s="88" t="s">
        <v>279</v>
      </c>
      <c r="C84" s="89">
        <v>90</v>
      </c>
      <c r="D84" s="88" t="str">
        <f t="shared" si="5"/>
        <v>SUPERMIX90</v>
      </c>
      <c r="E84" s="105" t="s">
        <v>406</v>
      </c>
      <c r="F84" s="58" t="s">
        <v>407</v>
      </c>
      <c r="G84" s="88"/>
      <c r="H84" s="107" t="s">
        <v>408</v>
      </c>
      <c r="I84" s="107" t="s">
        <v>3787</v>
      </c>
      <c r="J84" s="92"/>
      <c r="K84" s="88"/>
      <c r="L84" s="91"/>
      <c r="M84" s="91"/>
      <c r="N84" s="88">
        <f t="shared" ca="1" si="6"/>
        <v>46187</v>
      </c>
      <c r="O84" s="84" t="str">
        <f ca="1">IF(Tabla1[[#This Row],[|]]&gt;=0,"VENCIDA",IF(Tabla1[[#This Row],[|]]&gt;=-14,"POR VENCER","OK"))</f>
        <v>VENCIDA</v>
      </c>
      <c r="P84" s="90" t="s">
        <v>321</v>
      </c>
      <c r="Q84" s="90" t="s">
        <v>312</v>
      </c>
      <c r="R84" s="88"/>
      <c r="S84" s="88"/>
      <c r="T84" s="88"/>
      <c r="U84" s="88"/>
      <c r="V84" s="88" t="s">
        <v>282</v>
      </c>
      <c r="W84" s="92" t="s">
        <v>299</v>
      </c>
      <c r="X84" s="203"/>
    </row>
    <row r="85" spans="1:24" s="43" customFormat="1" ht="32.25" customHeight="1" x14ac:dyDescent="0.2">
      <c r="A85" s="42">
        <v>91</v>
      </c>
      <c r="B85" s="93" t="s">
        <v>279</v>
      </c>
      <c r="C85" s="94">
        <v>91</v>
      </c>
      <c r="D85" s="93" t="str">
        <f t="shared" si="5"/>
        <v>SUPERMIX91</v>
      </c>
      <c r="E85" s="166" t="s">
        <v>154</v>
      </c>
      <c r="F85" s="115" t="s">
        <v>155</v>
      </c>
      <c r="G85" s="93" t="s">
        <v>25</v>
      </c>
      <c r="H85" s="95">
        <v>29419432</v>
      </c>
      <c r="I85" s="95" t="s">
        <v>3788</v>
      </c>
      <c r="J85" s="97" t="s">
        <v>436</v>
      </c>
      <c r="K85" s="93" t="s">
        <v>281</v>
      </c>
      <c r="L85" s="96">
        <v>37043</v>
      </c>
      <c r="M85" s="96">
        <v>46573</v>
      </c>
      <c r="N85" s="88">
        <f t="shared" ca="1" si="6"/>
        <v>-386</v>
      </c>
      <c r="O85" s="84" t="str">
        <f ca="1">IF(Tabla1[[#This Row],[|]]&gt;=0,"VENCIDA",IF(Tabla1[[#This Row],[|]]&gt;=-14,"POR VENCER","OK"))</f>
        <v>OK</v>
      </c>
      <c r="P85" s="95" t="s">
        <v>3714</v>
      </c>
      <c r="Q85" s="95" t="s">
        <v>312</v>
      </c>
      <c r="R85" s="93" t="s">
        <v>17</v>
      </c>
      <c r="S85" s="93"/>
      <c r="T85" s="93"/>
      <c r="U85" s="93"/>
      <c r="V85" s="93" t="s">
        <v>668</v>
      </c>
      <c r="W85" s="97" t="s">
        <v>2776</v>
      </c>
      <c r="X85" s="204" t="s">
        <v>3078</v>
      </c>
    </row>
    <row r="86" spans="1:24" s="43" customFormat="1" ht="32.25" customHeight="1" x14ac:dyDescent="0.2">
      <c r="A86" s="42">
        <v>92</v>
      </c>
      <c r="B86" s="93" t="s">
        <v>279</v>
      </c>
      <c r="C86" s="94">
        <v>92</v>
      </c>
      <c r="D86" s="93" t="str">
        <f t="shared" si="5"/>
        <v>SUPERMIX92</v>
      </c>
      <c r="E86" s="166" t="s">
        <v>156</v>
      </c>
      <c r="F86" s="115" t="s">
        <v>157</v>
      </c>
      <c r="G86" s="93" t="s">
        <v>310</v>
      </c>
      <c r="H86" s="95">
        <v>42414646</v>
      </c>
      <c r="I86" s="95" t="s">
        <v>3788</v>
      </c>
      <c r="J86" s="115" t="s">
        <v>482</v>
      </c>
      <c r="K86" s="93" t="s">
        <v>3443</v>
      </c>
      <c r="L86" s="96">
        <v>42292</v>
      </c>
      <c r="M86" s="96">
        <v>46280</v>
      </c>
      <c r="N86" s="88">
        <f t="shared" ca="1" si="6"/>
        <v>-93</v>
      </c>
      <c r="O86" s="84" t="str">
        <f ca="1">IF(Tabla1[[#This Row],[|]]&gt;=0,"VENCIDA",IF(Tabla1[[#This Row],[|]]&gt;=-14,"POR VENCER","OK"))</f>
        <v>OK</v>
      </c>
      <c r="P86" s="95" t="s">
        <v>2787</v>
      </c>
      <c r="Q86" s="95" t="s">
        <v>312</v>
      </c>
      <c r="R86" s="93" t="s">
        <v>317</v>
      </c>
      <c r="S86" s="93"/>
      <c r="T86" s="93"/>
      <c r="U86" s="93"/>
      <c r="V86" s="95" t="s">
        <v>1939</v>
      </c>
      <c r="W86" s="97" t="s">
        <v>3515</v>
      </c>
      <c r="X86" s="204" t="s">
        <v>640</v>
      </c>
    </row>
    <row r="87" spans="1:24" s="43" customFormat="1" ht="32.25" customHeight="1" x14ac:dyDescent="0.2">
      <c r="A87" s="42">
        <v>93</v>
      </c>
      <c r="B87" s="93" t="s">
        <v>279</v>
      </c>
      <c r="C87" s="94">
        <v>93</v>
      </c>
      <c r="D87" s="93" t="str">
        <f t="shared" si="5"/>
        <v>SUPERMIX93</v>
      </c>
      <c r="E87" s="166" t="s">
        <v>158</v>
      </c>
      <c r="F87" s="115" t="s">
        <v>159</v>
      </c>
      <c r="G87" s="93" t="s">
        <v>25</v>
      </c>
      <c r="H87" s="95">
        <v>41545619</v>
      </c>
      <c r="I87" s="95" t="s">
        <v>3788</v>
      </c>
      <c r="J87" s="97" t="s">
        <v>438</v>
      </c>
      <c r="K87" s="93" t="s">
        <v>281</v>
      </c>
      <c r="L87" s="96">
        <v>39504</v>
      </c>
      <c r="M87" s="96">
        <v>46096</v>
      </c>
      <c r="N87" s="88">
        <f t="shared" ca="1" si="6"/>
        <v>91</v>
      </c>
      <c r="O87" s="84" t="str">
        <f ca="1">IF(Tabla1[[#This Row],[|]]&gt;=0,"VENCIDA",IF(Tabla1[[#This Row],[|]]&gt;=-14,"POR VENCER","OK"))</f>
        <v>VENCIDA</v>
      </c>
      <c r="P87" s="95" t="s">
        <v>3401</v>
      </c>
      <c r="Q87" s="95" t="s">
        <v>312</v>
      </c>
      <c r="R87" s="93" t="s">
        <v>17</v>
      </c>
      <c r="S87" s="93"/>
      <c r="T87" s="93"/>
      <c r="U87" s="93"/>
      <c r="V87" s="93" t="s">
        <v>1957</v>
      </c>
      <c r="W87" s="97" t="s">
        <v>3402</v>
      </c>
      <c r="X87" s="204" t="s">
        <v>3078</v>
      </c>
    </row>
    <row r="88" spans="1:24" s="43" customFormat="1" ht="32.25" customHeight="1" x14ac:dyDescent="0.2">
      <c r="A88" s="42">
        <v>95</v>
      </c>
      <c r="B88" s="93" t="s">
        <v>279</v>
      </c>
      <c r="C88" s="94">
        <v>95</v>
      </c>
      <c r="D88" s="93" t="str">
        <f t="shared" si="5"/>
        <v>SUPERMIX95</v>
      </c>
      <c r="E88" s="166" t="s">
        <v>160</v>
      </c>
      <c r="F88" s="115" t="s">
        <v>161</v>
      </c>
      <c r="G88" s="93" t="s">
        <v>25</v>
      </c>
      <c r="H88" s="95">
        <v>80573004</v>
      </c>
      <c r="I88" s="95" t="s">
        <v>3788</v>
      </c>
      <c r="J88" s="97" t="s">
        <v>535</v>
      </c>
      <c r="K88" s="93" t="s">
        <v>1954</v>
      </c>
      <c r="L88" s="96">
        <v>39150</v>
      </c>
      <c r="M88" s="96">
        <v>46561</v>
      </c>
      <c r="N88" s="88">
        <f t="shared" ca="1" si="6"/>
        <v>-374</v>
      </c>
      <c r="O88" s="84" t="str">
        <f ca="1">IF(Tabla1[[#This Row],[|]]&gt;=0,"VENCIDA",IF(Tabla1[[#This Row],[|]]&gt;=-14,"POR VENCER","OK"))</f>
        <v>OK</v>
      </c>
      <c r="P88" s="95" t="s">
        <v>2909</v>
      </c>
      <c r="Q88" s="95" t="s">
        <v>312</v>
      </c>
      <c r="R88" s="93" t="s">
        <v>317</v>
      </c>
      <c r="S88" s="93"/>
      <c r="T88" s="93"/>
      <c r="U88" s="93"/>
      <c r="V88" s="100" t="s">
        <v>282</v>
      </c>
      <c r="W88" s="97" t="s">
        <v>2776</v>
      </c>
      <c r="X88" s="204" t="s">
        <v>597</v>
      </c>
    </row>
    <row r="89" spans="1:24" s="43" customFormat="1" ht="32.25" customHeight="1" x14ac:dyDescent="0.2">
      <c r="A89" s="42">
        <v>96</v>
      </c>
      <c r="B89" s="93" t="s">
        <v>279</v>
      </c>
      <c r="C89" s="94">
        <v>96</v>
      </c>
      <c r="D89" s="93" t="str">
        <f t="shared" si="5"/>
        <v>SUPERMIX96</v>
      </c>
      <c r="E89" s="166" t="s">
        <v>162</v>
      </c>
      <c r="F89" s="115" t="s">
        <v>163</v>
      </c>
      <c r="G89" s="93" t="s">
        <v>25</v>
      </c>
      <c r="H89" s="95">
        <v>29644578</v>
      </c>
      <c r="I89" s="95" t="s">
        <v>3788</v>
      </c>
      <c r="J89" s="97" t="s">
        <v>645</v>
      </c>
      <c r="K89" s="93" t="s">
        <v>281</v>
      </c>
      <c r="L89" s="96">
        <v>41072</v>
      </c>
      <c r="M89" s="96">
        <v>46196</v>
      </c>
      <c r="N89" s="88">
        <f t="shared" ca="1" si="6"/>
        <v>-9</v>
      </c>
      <c r="O89" s="84" t="str">
        <f ca="1">IF(Tabla1[[#This Row],[|]]&gt;=0,"VENCIDA",IF(Tabla1[[#This Row],[|]]&gt;=-14,"POR VENCER","OK"))</f>
        <v>POR VENCER</v>
      </c>
      <c r="P89" s="95" t="s">
        <v>2798</v>
      </c>
      <c r="Q89" s="95" t="s">
        <v>312</v>
      </c>
      <c r="R89" s="93" t="s">
        <v>317</v>
      </c>
      <c r="S89" s="93"/>
      <c r="T89" s="93"/>
      <c r="U89" s="93"/>
      <c r="V89" s="93" t="s">
        <v>1702</v>
      </c>
      <c r="W89" s="97" t="s">
        <v>850</v>
      </c>
      <c r="X89" s="204" t="s">
        <v>597</v>
      </c>
    </row>
    <row r="90" spans="1:24" s="63" customFormat="1" ht="32.25" customHeight="1" x14ac:dyDescent="0.2">
      <c r="A90" s="202">
        <v>98</v>
      </c>
      <c r="B90" s="88" t="s">
        <v>279</v>
      </c>
      <c r="C90" s="89">
        <v>98</v>
      </c>
      <c r="D90" s="88" t="str">
        <f t="shared" si="5"/>
        <v>SUPERMIX98</v>
      </c>
      <c r="E90" s="105" t="s">
        <v>792</v>
      </c>
      <c r="F90" s="58" t="s">
        <v>793</v>
      </c>
      <c r="G90" s="88" t="s">
        <v>25</v>
      </c>
      <c r="H90" s="90">
        <v>44079529</v>
      </c>
      <c r="I90" s="90" t="s">
        <v>3787</v>
      </c>
      <c r="J90" s="58" t="s">
        <v>794</v>
      </c>
      <c r="K90" s="88" t="s">
        <v>293</v>
      </c>
      <c r="L90" s="91">
        <v>41608</v>
      </c>
      <c r="M90" s="91">
        <v>42107</v>
      </c>
      <c r="N90" s="88">
        <f t="shared" ca="1" si="6"/>
        <v>4080</v>
      </c>
      <c r="O90" s="84" t="str">
        <f ca="1">IF(Tabla1[[#This Row],[|]]&gt;=0,"VENCIDA",IF(Tabla1[[#This Row],[|]]&gt;=-14,"POR VENCER","OK"))</f>
        <v>VENCIDA</v>
      </c>
      <c r="P90" s="90" t="s">
        <v>326</v>
      </c>
      <c r="Q90" s="90" t="s">
        <v>312</v>
      </c>
      <c r="R90" s="88"/>
      <c r="S90" s="88"/>
      <c r="T90" s="88"/>
      <c r="U90" s="88"/>
      <c r="V90" s="88" t="s">
        <v>763</v>
      </c>
      <c r="W90" s="92" t="s">
        <v>416</v>
      </c>
      <c r="X90" s="92"/>
    </row>
    <row r="91" spans="1:24" s="63" customFormat="1" ht="32.25" customHeight="1" x14ac:dyDescent="0.2">
      <c r="A91" s="202">
        <v>99</v>
      </c>
      <c r="B91" s="88" t="s">
        <v>279</v>
      </c>
      <c r="C91" s="89">
        <v>99</v>
      </c>
      <c r="D91" s="88" t="str">
        <f t="shared" si="5"/>
        <v>SUPERMIX99</v>
      </c>
      <c r="E91" s="105" t="s">
        <v>164</v>
      </c>
      <c r="F91" s="58" t="s">
        <v>165</v>
      </c>
      <c r="G91" s="88"/>
      <c r="H91" s="90"/>
      <c r="I91" s="90" t="s">
        <v>3787</v>
      </c>
      <c r="J91" s="92"/>
      <c r="K91" s="88"/>
      <c r="L91" s="91"/>
      <c r="M91" s="91"/>
      <c r="N91" s="88">
        <f t="shared" ca="1" si="6"/>
        <v>46187</v>
      </c>
      <c r="O91" s="84" t="str">
        <f ca="1">IF(Tabla1[[#This Row],[|]]&gt;=0,"VENCIDA",IF(Tabla1[[#This Row],[|]]&gt;=-14,"POR VENCER","OK"))</f>
        <v>VENCIDA</v>
      </c>
      <c r="P91" s="90" t="s">
        <v>323</v>
      </c>
      <c r="Q91" s="90" t="s">
        <v>312</v>
      </c>
      <c r="R91" s="88"/>
      <c r="S91" s="88"/>
      <c r="T91" s="88"/>
      <c r="U91" s="88"/>
      <c r="V91" s="88"/>
      <c r="W91" s="92"/>
      <c r="X91" s="92"/>
    </row>
    <row r="92" spans="1:24" s="63" customFormat="1" ht="32.25" customHeight="1" x14ac:dyDescent="0.2">
      <c r="A92" s="202">
        <v>100</v>
      </c>
      <c r="B92" s="88" t="s">
        <v>279</v>
      </c>
      <c r="C92" s="89">
        <v>100</v>
      </c>
      <c r="D92" s="88" t="str">
        <f t="shared" si="5"/>
        <v>SUPERMIX100</v>
      </c>
      <c r="E92" s="105" t="s">
        <v>166</v>
      </c>
      <c r="F92" s="58" t="s">
        <v>167</v>
      </c>
      <c r="G92" s="88" t="s">
        <v>25</v>
      </c>
      <c r="H92" s="90">
        <v>30839919</v>
      </c>
      <c r="I92" s="90" t="s">
        <v>3787</v>
      </c>
      <c r="J92" s="88" t="s">
        <v>470</v>
      </c>
      <c r="K92" s="88" t="s">
        <v>281</v>
      </c>
      <c r="L92" s="91">
        <v>30378</v>
      </c>
      <c r="M92" s="91">
        <v>41318</v>
      </c>
      <c r="N92" s="88">
        <f t="shared" ca="1" si="6"/>
        <v>4869</v>
      </c>
      <c r="O92" s="84" t="str">
        <f ca="1">IF(Tabla1[[#This Row],[|]]&gt;=0,"VENCIDA",IF(Tabla1[[#This Row],[|]]&gt;=-14,"POR VENCER","OK"))</f>
        <v>VENCIDA</v>
      </c>
      <c r="P92" s="90" t="s">
        <v>321</v>
      </c>
      <c r="Q92" s="90" t="s">
        <v>312</v>
      </c>
      <c r="R92" s="88" t="s">
        <v>317</v>
      </c>
      <c r="S92" s="88"/>
      <c r="T92" s="88"/>
      <c r="U92" s="88"/>
      <c r="V92" s="88" t="s">
        <v>423</v>
      </c>
      <c r="W92" s="92" t="s">
        <v>416</v>
      </c>
      <c r="X92" s="203"/>
    </row>
    <row r="93" spans="1:24" s="43" customFormat="1" ht="32.25" customHeight="1" x14ac:dyDescent="0.2">
      <c r="A93" s="42">
        <v>101</v>
      </c>
      <c r="B93" s="93" t="s">
        <v>279</v>
      </c>
      <c r="C93" s="94">
        <v>101</v>
      </c>
      <c r="D93" s="93" t="str">
        <f t="shared" si="5"/>
        <v>SUPERMIX101</v>
      </c>
      <c r="E93" s="166" t="s">
        <v>168</v>
      </c>
      <c r="F93" s="115" t="s">
        <v>169</v>
      </c>
      <c r="G93" s="93" t="s">
        <v>25</v>
      </c>
      <c r="H93" s="95">
        <v>41492721</v>
      </c>
      <c r="I93" s="95" t="s">
        <v>3788</v>
      </c>
      <c r="J93" s="115" t="s">
        <v>675</v>
      </c>
      <c r="K93" s="93" t="s">
        <v>281</v>
      </c>
      <c r="L93" s="96">
        <v>40463</v>
      </c>
      <c r="M93" s="96">
        <v>46653</v>
      </c>
      <c r="N93" s="88">
        <f t="shared" ca="1" si="6"/>
        <v>-466</v>
      </c>
      <c r="O93" s="84" t="str">
        <f ca="1">IF(Tabla1[[#This Row],[|]]&gt;=0,"VENCIDA",IF(Tabla1[[#This Row],[|]]&gt;=-14,"POR VENCER","OK"))</f>
        <v>OK</v>
      </c>
      <c r="P93" s="95" t="s">
        <v>1511</v>
      </c>
      <c r="Q93" s="95" t="s">
        <v>312</v>
      </c>
      <c r="R93" s="93" t="s">
        <v>317</v>
      </c>
      <c r="S93" s="93"/>
      <c r="T93" s="93"/>
      <c r="U93" s="93"/>
      <c r="V93" s="95" t="s">
        <v>306</v>
      </c>
      <c r="W93" s="97" t="s">
        <v>1222</v>
      </c>
      <c r="X93" s="204" t="s">
        <v>1511</v>
      </c>
    </row>
    <row r="94" spans="1:24" s="63" customFormat="1" ht="32.25" customHeight="1" x14ac:dyDescent="0.2">
      <c r="A94" s="205">
        <v>102</v>
      </c>
      <c r="B94" s="88" t="s">
        <v>279</v>
      </c>
      <c r="C94" s="89">
        <v>102</v>
      </c>
      <c r="D94" s="88" t="str">
        <f t="shared" si="5"/>
        <v>SUPERMIX102</v>
      </c>
      <c r="E94" s="105" t="s">
        <v>789</v>
      </c>
      <c r="F94" s="58" t="s">
        <v>790</v>
      </c>
      <c r="G94" s="88" t="s">
        <v>25</v>
      </c>
      <c r="H94" s="99">
        <v>29447907</v>
      </c>
      <c r="I94" s="99" t="s">
        <v>3787</v>
      </c>
      <c r="J94" s="58" t="s">
        <v>791</v>
      </c>
      <c r="K94" s="88" t="s">
        <v>281</v>
      </c>
      <c r="L94" s="91">
        <v>41600</v>
      </c>
      <c r="M94" s="91">
        <v>42437</v>
      </c>
      <c r="N94" s="88">
        <f t="shared" ca="1" si="6"/>
        <v>3750</v>
      </c>
      <c r="O94" s="84" t="str">
        <f ca="1">IF(Tabla1[[#This Row],[|]]&gt;=0,"VENCIDA",IF(Tabla1[[#This Row],[|]]&gt;=-14,"POR VENCER","OK"))</f>
        <v>VENCIDA</v>
      </c>
      <c r="P94" s="90" t="s">
        <v>624</v>
      </c>
      <c r="Q94" s="90" t="s">
        <v>312</v>
      </c>
      <c r="R94" s="88" t="s">
        <v>317</v>
      </c>
      <c r="S94" s="88"/>
      <c r="T94" s="88"/>
      <c r="U94" s="88"/>
      <c r="V94" s="88" t="s">
        <v>763</v>
      </c>
      <c r="W94" s="92" t="s">
        <v>416</v>
      </c>
      <c r="X94" s="203"/>
    </row>
    <row r="95" spans="1:24" s="63" customFormat="1" ht="32.25" customHeight="1" x14ac:dyDescent="0.2">
      <c r="A95" s="202">
        <v>104</v>
      </c>
      <c r="B95" s="88" t="s">
        <v>279</v>
      </c>
      <c r="C95" s="89">
        <v>104</v>
      </c>
      <c r="D95" s="88" t="str">
        <f t="shared" si="5"/>
        <v>SUPERMIX104</v>
      </c>
      <c r="E95" s="105" t="s">
        <v>170</v>
      </c>
      <c r="F95" s="58" t="s">
        <v>31</v>
      </c>
      <c r="G95" s="88"/>
      <c r="H95" s="99"/>
      <c r="I95" s="99" t="s">
        <v>3787</v>
      </c>
      <c r="J95" s="92"/>
      <c r="K95" s="88"/>
      <c r="L95" s="91"/>
      <c r="M95" s="91"/>
      <c r="N95" s="88">
        <f t="shared" ca="1" si="6"/>
        <v>46187</v>
      </c>
      <c r="O95" s="84" t="str">
        <f ca="1">IF(Tabla1[[#This Row],[|]]&gt;=0,"VENCIDA",IF(Tabla1[[#This Row],[|]]&gt;=-14,"POR VENCER","OK"))</f>
        <v>VENCIDA</v>
      </c>
      <c r="P95" s="90" t="s">
        <v>322</v>
      </c>
      <c r="Q95" s="90" t="s">
        <v>312</v>
      </c>
      <c r="R95" s="88"/>
      <c r="S95" s="88"/>
      <c r="T95" s="88"/>
      <c r="U95" s="88"/>
      <c r="V95" s="90" t="s">
        <v>372</v>
      </c>
      <c r="W95" s="92" t="s">
        <v>373</v>
      </c>
      <c r="X95" s="203"/>
    </row>
    <row r="96" spans="1:24" s="63" customFormat="1" ht="32.25" customHeight="1" x14ac:dyDescent="0.2">
      <c r="A96" s="202">
        <v>105</v>
      </c>
      <c r="B96" s="88" t="s">
        <v>279</v>
      </c>
      <c r="C96" s="89">
        <v>105</v>
      </c>
      <c r="D96" s="88" t="str">
        <f t="shared" si="5"/>
        <v>SUPERMIX105</v>
      </c>
      <c r="E96" s="105" t="s">
        <v>171</v>
      </c>
      <c r="F96" s="58" t="s">
        <v>172</v>
      </c>
      <c r="G96" s="88"/>
      <c r="H96" s="90"/>
      <c r="I96" s="90" t="s">
        <v>3787</v>
      </c>
      <c r="J96" s="90"/>
      <c r="K96" s="88"/>
      <c r="L96" s="91"/>
      <c r="M96" s="91"/>
      <c r="N96" s="88">
        <f t="shared" ca="1" si="6"/>
        <v>46187</v>
      </c>
      <c r="O96" s="84" t="str">
        <f ca="1">IF(Tabla1[[#This Row],[|]]&gt;=0,"VENCIDA",IF(Tabla1[[#This Row],[|]]&gt;=-14,"POR VENCER","OK"))</f>
        <v>VENCIDA</v>
      </c>
      <c r="P96" s="90" t="s">
        <v>327</v>
      </c>
      <c r="Q96" s="90" t="s">
        <v>312</v>
      </c>
      <c r="R96" s="88"/>
      <c r="S96" s="88"/>
      <c r="T96" s="88"/>
      <c r="U96" s="88"/>
      <c r="V96" s="88" t="s">
        <v>423</v>
      </c>
      <c r="W96" s="92" t="s">
        <v>416</v>
      </c>
      <c r="X96" s="203"/>
    </row>
    <row r="97" spans="1:24" s="43" customFormat="1" ht="32.25" customHeight="1" x14ac:dyDescent="0.2">
      <c r="A97" s="42">
        <v>106</v>
      </c>
      <c r="B97" s="93" t="s">
        <v>279</v>
      </c>
      <c r="C97" s="94">
        <v>106</v>
      </c>
      <c r="D97" s="93" t="str">
        <f t="shared" si="5"/>
        <v>SUPERMIX106</v>
      </c>
      <c r="E97" s="115" t="s">
        <v>744</v>
      </c>
      <c r="F97" s="115" t="s">
        <v>745</v>
      </c>
      <c r="G97" s="93" t="s">
        <v>25</v>
      </c>
      <c r="H97" s="98">
        <v>40702381</v>
      </c>
      <c r="I97" s="98" t="s">
        <v>3788</v>
      </c>
      <c r="J97" s="97" t="s">
        <v>746</v>
      </c>
      <c r="K97" s="93" t="s">
        <v>281</v>
      </c>
      <c r="L97" s="96">
        <v>41376</v>
      </c>
      <c r="M97" s="96">
        <v>46700</v>
      </c>
      <c r="N97" s="88">
        <f t="shared" ca="1" si="6"/>
        <v>-513</v>
      </c>
      <c r="O97" s="84" t="str">
        <f ca="1">IF(Tabla1[[#This Row],[|]]&gt;=0,"VENCIDA",IF(Tabla1[[#This Row],[|]]&gt;=-14,"POR VENCER","OK"))</f>
        <v>OK</v>
      </c>
      <c r="P97" s="95" t="s">
        <v>2778</v>
      </c>
      <c r="Q97" s="95" t="s">
        <v>312</v>
      </c>
      <c r="R97" s="93" t="s">
        <v>317</v>
      </c>
      <c r="S97" s="93"/>
      <c r="T97" s="93"/>
      <c r="U97" s="93"/>
      <c r="V97" s="93" t="s">
        <v>282</v>
      </c>
      <c r="W97" s="97" t="s">
        <v>2776</v>
      </c>
      <c r="X97" s="204" t="s">
        <v>2865</v>
      </c>
    </row>
    <row r="98" spans="1:24" s="63" customFormat="1" ht="32.25" customHeight="1" x14ac:dyDescent="0.2">
      <c r="A98" s="202">
        <v>107</v>
      </c>
      <c r="B98" s="88" t="s">
        <v>279</v>
      </c>
      <c r="C98" s="89">
        <v>107</v>
      </c>
      <c r="D98" s="88" t="str">
        <f t="shared" si="5"/>
        <v>SUPERMIX107</v>
      </c>
      <c r="E98" s="105" t="s">
        <v>173</v>
      </c>
      <c r="F98" s="58" t="s">
        <v>174</v>
      </c>
      <c r="G98" s="88"/>
      <c r="H98" s="99"/>
      <c r="I98" s="99" t="s">
        <v>3787</v>
      </c>
      <c r="J98" s="92"/>
      <c r="K98" s="88"/>
      <c r="L98" s="91"/>
      <c r="M98" s="91"/>
      <c r="N98" s="88">
        <f t="shared" ca="1" si="6"/>
        <v>46187</v>
      </c>
      <c r="O98" s="84" t="str">
        <f ca="1">IF(Tabla1[[#This Row],[|]]&gt;=0,"VENCIDA",IF(Tabla1[[#This Row],[|]]&gt;=-14,"POR VENCER","OK"))</f>
        <v>VENCIDA</v>
      </c>
      <c r="P98" s="90" t="s">
        <v>321</v>
      </c>
      <c r="Q98" s="90" t="s">
        <v>312</v>
      </c>
      <c r="R98" s="88"/>
      <c r="S98" s="88"/>
      <c r="T98" s="88"/>
      <c r="U98" s="88"/>
      <c r="V98" s="88"/>
      <c r="W98" s="92"/>
      <c r="X98" s="92"/>
    </row>
    <row r="99" spans="1:24" s="59" customFormat="1" ht="32.25" customHeight="1" x14ac:dyDescent="0.2">
      <c r="A99" s="200">
        <v>108</v>
      </c>
      <c r="B99" s="61" t="s">
        <v>279</v>
      </c>
      <c r="C99" s="87">
        <v>108</v>
      </c>
      <c r="D99" s="61" t="str">
        <f t="shared" si="5"/>
        <v>SUPERMIX108</v>
      </c>
      <c r="E99" s="113" t="s">
        <v>339</v>
      </c>
      <c r="F99" s="82" t="s">
        <v>340</v>
      </c>
      <c r="G99" s="61" t="s">
        <v>341</v>
      </c>
      <c r="H99" s="114">
        <v>40697060</v>
      </c>
      <c r="I99" s="114" t="s">
        <v>3787</v>
      </c>
      <c r="J99" s="86" t="s">
        <v>342</v>
      </c>
      <c r="K99" s="61" t="s">
        <v>343</v>
      </c>
      <c r="L99" s="62">
        <v>39099</v>
      </c>
      <c r="M99" s="62">
        <v>41672</v>
      </c>
      <c r="N99" s="88">
        <f t="shared" ca="1" si="6"/>
        <v>4515</v>
      </c>
      <c r="O99" s="84" t="str">
        <f ca="1">IF(Tabla1[[#This Row],[|]]&gt;=0,"VENCIDA",IF(Tabla1[[#This Row],[|]]&gt;=-14,"POR VENCER","OK"))</f>
        <v>VENCIDA</v>
      </c>
      <c r="P99" s="60" t="s">
        <v>520</v>
      </c>
      <c r="Q99" s="60" t="s">
        <v>312</v>
      </c>
      <c r="R99" s="61" t="s">
        <v>317</v>
      </c>
      <c r="S99" s="61"/>
      <c r="T99" s="61"/>
      <c r="U99" s="61"/>
      <c r="V99" s="61" t="s">
        <v>334</v>
      </c>
      <c r="W99" s="86" t="s">
        <v>335</v>
      </c>
      <c r="X99" s="201"/>
    </row>
    <row r="100" spans="1:24" s="63" customFormat="1" ht="32.25" customHeight="1" x14ac:dyDescent="0.2">
      <c r="A100" s="202">
        <v>111</v>
      </c>
      <c r="B100" s="88" t="s">
        <v>279</v>
      </c>
      <c r="C100" s="89">
        <v>111</v>
      </c>
      <c r="D100" s="88" t="str">
        <f t="shared" si="5"/>
        <v>SUPERMIX111</v>
      </c>
      <c r="E100" s="105" t="s">
        <v>175</v>
      </c>
      <c r="F100" s="58" t="s">
        <v>176</v>
      </c>
      <c r="G100" s="88" t="s">
        <v>25</v>
      </c>
      <c r="H100" s="90">
        <v>40303472</v>
      </c>
      <c r="I100" s="90" t="s">
        <v>3787</v>
      </c>
      <c r="J100" s="58" t="s">
        <v>284</v>
      </c>
      <c r="K100" s="88" t="s">
        <v>281</v>
      </c>
      <c r="L100" s="91">
        <v>38415</v>
      </c>
      <c r="M100" s="91">
        <v>41821</v>
      </c>
      <c r="N100" s="88">
        <f t="shared" ca="1" si="6"/>
        <v>4366</v>
      </c>
      <c r="O100" s="84" t="str">
        <f ca="1">IF(Tabla1[[#This Row],[|]]&gt;=0,"VENCIDA",IF(Tabla1[[#This Row],[|]]&gt;=-14,"POR VENCER","OK"))</f>
        <v>VENCIDA</v>
      </c>
      <c r="P100" s="90" t="s">
        <v>597</v>
      </c>
      <c r="Q100" s="90" t="s">
        <v>312</v>
      </c>
      <c r="R100" s="88" t="s">
        <v>317</v>
      </c>
      <c r="S100" s="88"/>
      <c r="T100" s="88"/>
      <c r="U100" s="88"/>
      <c r="V100" s="88" t="s">
        <v>282</v>
      </c>
      <c r="W100" s="92" t="s">
        <v>471</v>
      </c>
      <c r="X100" s="203">
        <v>18</v>
      </c>
    </row>
    <row r="101" spans="1:24" s="63" customFormat="1" ht="32.25" customHeight="1" x14ac:dyDescent="0.2">
      <c r="A101" s="202">
        <v>112</v>
      </c>
      <c r="B101" s="88" t="s">
        <v>279</v>
      </c>
      <c r="C101" s="89">
        <v>112</v>
      </c>
      <c r="D101" s="88" t="str">
        <f t="shared" si="5"/>
        <v>SUPERMIX112</v>
      </c>
      <c r="E101" s="105" t="s">
        <v>177</v>
      </c>
      <c r="F101" s="58" t="s">
        <v>22</v>
      </c>
      <c r="G101" s="88" t="s">
        <v>25</v>
      </c>
      <c r="H101" s="90">
        <v>29554853</v>
      </c>
      <c r="I101" s="90" t="s">
        <v>3787</v>
      </c>
      <c r="J101" s="92" t="s">
        <v>378</v>
      </c>
      <c r="K101" s="88" t="s">
        <v>281</v>
      </c>
      <c r="L101" s="91">
        <v>39133</v>
      </c>
      <c r="M101" s="91">
        <v>41638</v>
      </c>
      <c r="N101" s="88">
        <f t="shared" ca="1" si="6"/>
        <v>4549</v>
      </c>
      <c r="O101" s="84" t="str">
        <f ca="1">IF(Tabla1[[#This Row],[|]]&gt;=0,"VENCIDA",IF(Tabla1[[#This Row],[|]]&gt;=-14,"POR VENCER","OK"))</f>
        <v>VENCIDA</v>
      </c>
      <c r="P101" s="90" t="s">
        <v>1510</v>
      </c>
      <c r="Q101" s="90" t="s">
        <v>312</v>
      </c>
      <c r="R101" s="88" t="s">
        <v>317</v>
      </c>
      <c r="S101" s="88"/>
      <c r="T101" s="88"/>
      <c r="U101" s="88"/>
      <c r="V101" s="88" t="s">
        <v>306</v>
      </c>
      <c r="W101" s="92" t="s">
        <v>377</v>
      </c>
      <c r="X101" s="203"/>
    </row>
    <row r="102" spans="1:24" s="63" customFormat="1" ht="32.25" customHeight="1" x14ac:dyDescent="0.2">
      <c r="A102" s="202">
        <v>113</v>
      </c>
      <c r="B102" s="88" t="s">
        <v>279</v>
      </c>
      <c r="C102" s="89">
        <v>113</v>
      </c>
      <c r="D102" s="88" t="str">
        <f t="shared" si="5"/>
        <v>SUPERMIX113</v>
      </c>
      <c r="E102" s="105" t="s">
        <v>725</v>
      </c>
      <c r="F102" s="58" t="s">
        <v>726</v>
      </c>
      <c r="G102" s="88" t="s">
        <v>25</v>
      </c>
      <c r="H102" s="90">
        <v>29381466</v>
      </c>
      <c r="I102" s="90" t="s">
        <v>3787</v>
      </c>
      <c r="J102" s="92" t="s">
        <v>727</v>
      </c>
      <c r="K102" s="88" t="s">
        <v>281</v>
      </c>
      <c r="L102" s="91">
        <v>41494</v>
      </c>
      <c r="M102" s="91">
        <v>43422</v>
      </c>
      <c r="N102" s="88">
        <f t="shared" ca="1" si="6"/>
        <v>2765</v>
      </c>
      <c r="O102" s="84" t="str">
        <f ca="1">IF(Tabla1[[#This Row],[|]]&gt;=0,"VENCIDA",IF(Tabla1[[#This Row],[|]]&gt;=-14,"POR VENCER","OK"))</f>
        <v>VENCIDA</v>
      </c>
      <c r="P102" s="90" t="s">
        <v>597</v>
      </c>
      <c r="Q102" s="90" t="s">
        <v>312</v>
      </c>
      <c r="R102" s="88" t="s">
        <v>317</v>
      </c>
      <c r="S102" s="88"/>
      <c r="T102" s="88"/>
      <c r="U102" s="88"/>
      <c r="V102" s="88" t="s">
        <v>282</v>
      </c>
      <c r="W102" s="92" t="s">
        <v>704</v>
      </c>
      <c r="X102" s="203"/>
    </row>
    <row r="103" spans="1:24" s="59" customFormat="1" ht="32.25" customHeight="1" x14ac:dyDescent="0.2">
      <c r="A103" s="200">
        <v>114</v>
      </c>
      <c r="B103" s="61" t="s">
        <v>279</v>
      </c>
      <c r="C103" s="87">
        <v>114</v>
      </c>
      <c r="D103" s="61" t="str">
        <f t="shared" si="5"/>
        <v>SUPERMIX114</v>
      </c>
      <c r="E103" s="113" t="s">
        <v>178</v>
      </c>
      <c r="F103" s="82" t="s">
        <v>27</v>
      </c>
      <c r="G103" s="61" t="s">
        <v>341</v>
      </c>
      <c r="H103" s="60">
        <v>15746034</v>
      </c>
      <c r="I103" s="60" t="s">
        <v>3787</v>
      </c>
      <c r="J103" s="61"/>
      <c r="K103" s="61" t="s">
        <v>281</v>
      </c>
      <c r="L103" s="62">
        <v>37784</v>
      </c>
      <c r="M103" s="62">
        <v>41399</v>
      </c>
      <c r="N103" s="88">
        <f t="shared" ca="1" si="6"/>
        <v>4788</v>
      </c>
      <c r="O103" s="84" t="str">
        <f ca="1">IF(Tabla1[[#This Row],[|]]&gt;=0,"VENCIDA",IF(Tabla1[[#This Row],[|]]&gt;=-14,"POR VENCER","OK"))</f>
        <v>VENCIDA</v>
      </c>
      <c r="P103" s="60" t="s">
        <v>1510</v>
      </c>
      <c r="Q103" s="60" t="s">
        <v>312</v>
      </c>
      <c r="R103" s="61"/>
      <c r="S103" s="61"/>
      <c r="T103" s="61"/>
      <c r="U103" s="61"/>
      <c r="V103" s="61" t="s">
        <v>306</v>
      </c>
      <c r="W103" s="86" t="s">
        <v>377</v>
      </c>
      <c r="X103" s="201"/>
    </row>
    <row r="104" spans="1:24" s="63" customFormat="1" ht="32.25" customHeight="1" x14ac:dyDescent="0.2">
      <c r="A104" s="202">
        <v>115</v>
      </c>
      <c r="B104" s="88" t="s">
        <v>279</v>
      </c>
      <c r="C104" s="89">
        <v>115</v>
      </c>
      <c r="D104" s="88" t="str">
        <f t="shared" si="5"/>
        <v>SUPERMIX115</v>
      </c>
      <c r="E104" s="105" t="s">
        <v>396</v>
      </c>
      <c r="F104" s="58" t="s">
        <v>397</v>
      </c>
      <c r="G104" s="88" t="s">
        <v>398</v>
      </c>
      <c r="H104" s="90">
        <v>29551774</v>
      </c>
      <c r="I104" s="90" t="s">
        <v>3787</v>
      </c>
      <c r="J104" s="88" t="s">
        <v>399</v>
      </c>
      <c r="K104" s="88" t="s">
        <v>281</v>
      </c>
      <c r="L104" s="91">
        <v>36724</v>
      </c>
      <c r="M104" s="91">
        <v>41253</v>
      </c>
      <c r="N104" s="88">
        <f t="shared" ca="1" si="6"/>
        <v>4934</v>
      </c>
      <c r="O104" s="84" t="str">
        <f ca="1">IF(Tabla1[[#This Row],[|]]&gt;=0,"VENCIDA",IF(Tabla1[[#This Row],[|]]&gt;=-14,"POR VENCER","OK"))</f>
        <v>VENCIDA</v>
      </c>
      <c r="P104" s="90" t="s">
        <v>597</v>
      </c>
      <c r="Q104" s="90" t="s">
        <v>312</v>
      </c>
      <c r="R104" s="88" t="s">
        <v>317</v>
      </c>
      <c r="S104" s="88"/>
      <c r="T104" s="88"/>
      <c r="U104" s="88"/>
      <c r="V104" s="88" t="s">
        <v>282</v>
      </c>
      <c r="W104" s="92" t="s">
        <v>299</v>
      </c>
      <c r="X104" s="203"/>
    </row>
    <row r="105" spans="1:24" s="63" customFormat="1" ht="32.25" customHeight="1" x14ac:dyDescent="0.2">
      <c r="A105" s="202">
        <v>116</v>
      </c>
      <c r="B105" s="88" t="s">
        <v>279</v>
      </c>
      <c r="C105" s="89">
        <v>116</v>
      </c>
      <c r="D105" s="88" t="str">
        <f t="shared" si="5"/>
        <v>SUPERMIX116</v>
      </c>
      <c r="E105" s="105" t="s">
        <v>179</v>
      </c>
      <c r="F105" s="58" t="s">
        <v>33</v>
      </c>
      <c r="G105" s="88"/>
      <c r="H105" s="90"/>
      <c r="I105" s="90" t="s">
        <v>3787</v>
      </c>
      <c r="J105" s="58"/>
      <c r="K105" s="88"/>
      <c r="L105" s="91"/>
      <c r="M105" s="91"/>
      <c r="N105" s="88">
        <f t="shared" ca="1" si="6"/>
        <v>46187</v>
      </c>
      <c r="O105" s="84" t="str">
        <f ca="1">IF(Tabla1[[#This Row],[|]]&gt;=0,"VENCIDA",IF(Tabla1[[#This Row],[|]]&gt;=-14,"POR VENCER","OK"))</f>
        <v>VENCIDA</v>
      </c>
      <c r="P105" s="90" t="s">
        <v>321</v>
      </c>
      <c r="Q105" s="90" t="s">
        <v>312</v>
      </c>
      <c r="R105" s="88"/>
      <c r="S105" s="88"/>
      <c r="T105" s="88"/>
      <c r="U105" s="88"/>
      <c r="V105" s="88"/>
      <c r="W105" s="92"/>
      <c r="X105" s="92"/>
    </row>
    <row r="106" spans="1:24" s="63" customFormat="1" ht="32.25" customHeight="1" x14ac:dyDescent="0.2">
      <c r="A106" s="202">
        <v>117</v>
      </c>
      <c r="B106" s="88" t="s">
        <v>279</v>
      </c>
      <c r="C106" s="89">
        <v>117</v>
      </c>
      <c r="D106" s="88" t="str">
        <f t="shared" si="5"/>
        <v>SUPERMIX117</v>
      </c>
      <c r="E106" s="105" t="s">
        <v>718</v>
      </c>
      <c r="F106" s="58" t="s">
        <v>719</v>
      </c>
      <c r="G106" s="88" t="s">
        <v>310</v>
      </c>
      <c r="H106" s="99">
        <v>29738369</v>
      </c>
      <c r="I106" s="99" t="s">
        <v>3787</v>
      </c>
      <c r="J106" s="92" t="s">
        <v>720</v>
      </c>
      <c r="K106" s="88" t="s">
        <v>281</v>
      </c>
      <c r="L106" s="91">
        <v>41486</v>
      </c>
      <c r="M106" s="91">
        <v>42454</v>
      </c>
      <c r="N106" s="88">
        <f t="shared" ca="1" si="6"/>
        <v>3733</v>
      </c>
      <c r="O106" s="84" t="str">
        <f ca="1">IF(Tabla1[[#This Row],[|]]&gt;=0,"VENCIDA",IF(Tabla1[[#This Row],[|]]&gt;=-14,"POR VENCER","OK"))</f>
        <v>VENCIDA</v>
      </c>
      <c r="P106" s="90" t="s">
        <v>597</v>
      </c>
      <c r="Q106" s="90" t="s">
        <v>312</v>
      </c>
      <c r="R106" s="88" t="s">
        <v>317</v>
      </c>
      <c r="S106" s="88"/>
      <c r="T106" s="88"/>
      <c r="U106" s="88"/>
      <c r="V106" s="88" t="s">
        <v>282</v>
      </c>
      <c r="W106" s="92" t="s">
        <v>717</v>
      </c>
      <c r="X106" s="203">
        <v>13</v>
      </c>
    </row>
    <row r="107" spans="1:24" s="63" customFormat="1" ht="32.25" customHeight="1" x14ac:dyDescent="0.2">
      <c r="A107" s="202">
        <v>118</v>
      </c>
      <c r="B107" s="88" t="s">
        <v>279</v>
      </c>
      <c r="C107" s="89">
        <v>118</v>
      </c>
      <c r="D107" s="88" t="str">
        <f t="shared" si="5"/>
        <v>SUPERMIX118</v>
      </c>
      <c r="E107" s="105" t="s">
        <v>344</v>
      </c>
      <c r="F107" s="58" t="s">
        <v>81</v>
      </c>
      <c r="G107" s="88" t="s">
        <v>25</v>
      </c>
      <c r="H107" s="99">
        <v>42512772</v>
      </c>
      <c r="I107" s="99" t="s">
        <v>3787</v>
      </c>
      <c r="J107" s="92" t="s">
        <v>345</v>
      </c>
      <c r="K107" s="88" t="s">
        <v>3142</v>
      </c>
      <c r="L107" s="91">
        <v>38569</v>
      </c>
      <c r="M107" s="91">
        <v>42138</v>
      </c>
      <c r="N107" s="88">
        <f t="shared" ca="1" si="6"/>
        <v>4049</v>
      </c>
      <c r="O107" s="84" t="str">
        <f ca="1">IF(Tabla1[[#This Row],[|]]&gt;=0,"VENCIDA",IF(Tabla1[[#This Row],[|]]&gt;=-14,"POR VENCER","OK"))</f>
        <v>VENCIDA</v>
      </c>
      <c r="P107" s="90" t="s">
        <v>520</v>
      </c>
      <c r="Q107" s="90" t="s">
        <v>312</v>
      </c>
      <c r="R107" s="88" t="s">
        <v>317</v>
      </c>
      <c r="S107" s="88"/>
      <c r="T107" s="88"/>
      <c r="U107" s="88"/>
      <c r="V107" s="88" t="s">
        <v>334</v>
      </c>
      <c r="W107" s="92" t="s">
        <v>335</v>
      </c>
      <c r="X107" s="203">
        <v>16</v>
      </c>
    </row>
    <row r="108" spans="1:24" s="43" customFormat="1" ht="32.25" customHeight="1" x14ac:dyDescent="0.2">
      <c r="A108" s="42">
        <v>120</v>
      </c>
      <c r="B108" s="93" t="s">
        <v>279</v>
      </c>
      <c r="C108" s="94">
        <v>120</v>
      </c>
      <c r="D108" s="93" t="str">
        <f t="shared" si="5"/>
        <v>SUPERMIX120</v>
      </c>
      <c r="E108" s="166" t="s">
        <v>180</v>
      </c>
      <c r="F108" s="115" t="s">
        <v>181</v>
      </c>
      <c r="G108" s="93" t="s">
        <v>310</v>
      </c>
      <c r="H108" s="95">
        <v>29474265</v>
      </c>
      <c r="I108" s="95" t="s">
        <v>3788</v>
      </c>
      <c r="J108" s="111" t="s">
        <v>419</v>
      </c>
      <c r="K108" s="93" t="s">
        <v>1954</v>
      </c>
      <c r="L108" s="96">
        <v>37280</v>
      </c>
      <c r="M108" s="96">
        <v>45932</v>
      </c>
      <c r="N108" s="88">
        <f t="shared" ca="1" si="6"/>
        <v>255</v>
      </c>
      <c r="O108" s="84" t="str">
        <f ca="1">IF(Tabla1[[#This Row],[|]]&gt;=0,"VENCIDA",IF(Tabla1[[#This Row],[|]]&gt;=-14,"POR VENCER","OK"))</f>
        <v>VENCIDA</v>
      </c>
      <c r="P108" s="95" t="s">
        <v>3822</v>
      </c>
      <c r="Q108" s="95" t="s">
        <v>312</v>
      </c>
      <c r="R108" s="93" t="s">
        <v>17</v>
      </c>
      <c r="S108" s="93"/>
      <c r="T108" s="93"/>
      <c r="U108" s="93"/>
      <c r="V108" s="93" t="s">
        <v>763</v>
      </c>
      <c r="W108" s="97" t="s">
        <v>1411</v>
      </c>
      <c r="X108" s="204" t="s">
        <v>624</v>
      </c>
    </row>
    <row r="109" spans="1:24" s="63" customFormat="1" ht="32.25" customHeight="1" x14ac:dyDescent="0.2">
      <c r="A109" s="202">
        <v>121</v>
      </c>
      <c r="B109" s="88" t="s">
        <v>279</v>
      </c>
      <c r="C109" s="89">
        <v>121</v>
      </c>
      <c r="D109" s="88" t="str">
        <f t="shared" si="5"/>
        <v>SUPERMIX121</v>
      </c>
      <c r="E109" s="105" t="s">
        <v>182</v>
      </c>
      <c r="F109" s="58" t="s">
        <v>183</v>
      </c>
      <c r="G109" s="88"/>
      <c r="H109" s="90"/>
      <c r="I109" s="90" t="s">
        <v>3787</v>
      </c>
      <c r="J109" s="88"/>
      <c r="K109" s="88"/>
      <c r="L109" s="91"/>
      <c r="M109" s="91"/>
      <c r="N109" s="88">
        <f t="shared" ca="1" si="6"/>
        <v>46187</v>
      </c>
      <c r="O109" s="84" t="str">
        <f ca="1">IF(Tabla1[[#This Row],[|]]&gt;=0,"VENCIDA",IF(Tabla1[[#This Row],[|]]&gt;=-14,"POR VENCER","OK"))</f>
        <v>VENCIDA</v>
      </c>
      <c r="P109" s="90" t="s">
        <v>321</v>
      </c>
      <c r="Q109" s="90" t="s">
        <v>312</v>
      </c>
      <c r="R109" s="88"/>
      <c r="S109" s="88"/>
      <c r="T109" s="88"/>
      <c r="U109" s="88"/>
      <c r="V109" s="88"/>
      <c r="W109" s="92"/>
      <c r="X109" s="92"/>
    </row>
    <row r="110" spans="1:24" s="43" customFormat="1" ht="32.25" customHeight="1" x14ac:dyDescent="0.2">
      <c r="A110" s="42">
        <v>122</v>
      </c>
      <c r="B110" s="93" t="s">
        <v>279</v>
      </c>
      <c r="C110" s="94">
        <v>122</v>
      </c>
      <c r="D110" s="93" t="str">
        <f t="shared" si="5"/>
        <v>SUPERMIX122</v>
      </c>
      <c r="E110" s="166" t="s">
        <v>184</v>
      </c>
      <c r="F110" s="115" t="s">
        <v>185</v>
      </c>
      <c r="G110" s="93" t="s">
        <v>2825</v>
      </c>
      <c r="H110" s="110" t="s">
        <v>403</v>
      </c>
      <c r="I110" s="110" t="s">
        <v>3788</v>
      </c>
      <c r="J110" s="93" t="s">
        <v>743</v>
      </c>
      <c r="K110" s="93" t="s">
        <v>3443</v>
      </c>
      <c r="L110" s="96">
        <v>40184</v>
      </c>
      <c r="M110" s="96">
        <v>46670</v>
      </c>
      <c r="N110" s="88">
        <f t="shared" ca="1" si="6"/>
        <v>-483</v>
      </c>
      <c r="O110" s="84" t="str">
        <f ca="1">IF(Tabla1[[#This Row],[|]]&gt;=0,"VENCIDA",IF(Tabla1[[#This Row],[|]]&gt;=-14,"POR VENCER","OK"))</f>
        <v>OK</v>
      </c>
      <c r="P110" s="95" t="s">
        <v>4266</v>
      </c>
      <c r="Q110" s="95" t="s">
        <v>312</v>
      </c>
      <c r="R110" s="93" t="s">
        <v>317</v>
      </c>
      <c r="S110" s="93"/>
      <c r="T110" s="93"/>
      <c r="U110" s="93"/>
      <c r="V110" s="93" t="s">
        <v>306</v>
      </c>
      <c r="W110" s="97" t="s">
        <v>1709</v>
      </c>
      <c r="X110" s="204" t="s">
        <v>2819</v>
      </c>
    </row>
    <row r="111" spans="1:24" s="43" customFormat="1" ht="32.25" customHeight="1" x14ac:dyDescent="0.2">
      <c r="A111" s="42">
        <v>123</v>
      </c>
      <c r="B111" s="93" t="s">
        <v>279</v>
      </c>
      <c r="C111" s="94">
        <v>123</v>
      </c>
      <c r="D111" s="93" t="str">
        <f t="shared" si="5"/>
        <v>SUPERMIX123</v>
      </c>
      <c r="E111" s="171" t="s">
        <v>186</v>
      </c>
      <c r="F111" s="115" t="s">
        <v>187</v>
      </c>
      <c r="G111" s="93" t="s">
        <v>25</v>
      </c>
      <c r="H111" s="95">
        <v>29702810</v>
      </c>
      <c r="I111" s="95" t="s">
        <v>3788</v>
      </c>
      <c r="J111" s="93" t="s">
        <v>757</v>
      </c>
      <c r="K111" s="93" t="s">
        <v>281</v>
      </c>
      <c r="L111" s="96">
        <v>38370</v>
      </c>
      <c r="M111" s="96">
        <v>45611</v>
      </c>
      <c r="N111" s="88">
        <f t="shared" ca="1" si="6"/>
        <v>576</v>
      </c>
      <c r="O111" s="84" t="str">
        <f ca="1">IF(Tabla1[[#This Row],[|]]&gt;=0,"VENCIDA",IF(Tabla1[[#This Row],[|]]&gt;=-14,"POR VENCER","OK"))</f>
        <v>VENCIDA</v>
      </c>
      <c r="P111" s="95" t="s">
        <v>2909</v>
      </c>
      <c r="Q111" s="95" t="s">
        <v>312</v>
      </c>
      <c r="R111" s="93" t="s">
        <v>17</v>
      </c>
      <c r="S111" s="93"/>
      <c r="T111" s="93"/>
      <c r="U111" s="93"/>
      <c r="V111" s="93" t="s">
        <v>282</v>
      </c>
      <c r="W111" s="97" t="s">
        <v>1350</v>
      </c>
      <c r="X111" s="204" t="s">
        <v>597</v>
      </c>
    </row>
    <row r="112" spans="1:24" s="63" customFormat="1" ht="32.25" customHeight="1" x14ac:dyDescent="0.2">
      <c r="A112" s="202">
        <v>124</v>
      </c>
      <c r="B112" s="88" t="s">
        <v>279</v>
      </c>
      <c r="C112" s="89">
        <v>124</v>
      </c>
      <c r="D112" s="88" t="str">
        <f t="shared" si="5"/>
        <v>SUPERMIX124</v>
      </c>
      <c r="E112" s="105" t="s">
        <v>188</v>
      </c>
      <c r="F112" s="58" t="s">
        <v>189</v>
      </c>
      <c r="G112" s="88"/>
      <c r="H112" s="90">
        <v>43703823</v>
      </c>
      <c r="I112" s="90" t="s">
        <v>3787</v>
      </c>
      <c r="J112" s="92" t="s">
        <v>440</v>
      </c>
      <c r="K112" s="88" t="s">
        <v>343</v>
      </c>
      <c r="L112" s="91">
        <v>40115</v>
      </c>
      <c r="M112" s="91">
        <v>41211</v>
      </c>
      <c r="N112" s="88">
        <f t="shared" ca="1" si="6"/>
        <v>4976</v>
      </c>
      <c r="O112" s="84" t="str">
        <f ca="1">IF(Tabla1[[#This Row],[|]]&gt;=0,"VENCIDA",IF(Tabla1[[#This Row],[|]]&gt;=-14,"POR VENCER","OK"))</f>
        <v>VENCIDA</v>
      </c>
      <c r="P112" s="90" t="s">
        <v>1790</v>
      </c>
      <c r="Q112" s="90" t="s">
        <v>312</v>
      </c>
      <c r="R112" s="88" t="s">
        <v>317</v>
      </c>
      <c r="S112" s="88"/>
      <c r="T112" s="88"/>
      <c r="U112" s="88"/>
      <c r="V112" s="88" t="s">
        <v>423</v>
      </c>
      <c r="W112" s="92" t="s">
        <v>416</v>
      </c>
      <c r="X112" s="203">
        <v>16</v>
      </c>
    </row>
    <row r="113" spans="1:24" s="63" customFormat="1" ht="32.25" customHeight="1" x14ac:dyDescent="0.2">
      <c r="A113" s="202">
        <v>125</v>
      </c>
      <c r="B113" s="88" t="s">
        <v>279</v>
      </c>
      <c r="C113" s="89">
        <v>125</v>
      </c>
      <c r="D113" s="88" t="str">
        <f t="shared" si="5"/>
        <v>SUPERMIX125</v>
      </c>
      <c r="E113" s="105" t="s">
        <v>190</v>
      </c>
      <c r="F113" s="58" t="s">
        <v>191</v>
      </c>
      <c r="G113" s="88" t="s">
        <v>25</v>
      </c>
      <c r="H113" s="88">
        <v>29231941</v>
      </c>
      <c r="I113" s="88" t="s">
        <v>3787</v>
      </c>
      <c r="J113" s="92" t="s">
        <v>430</v>
      </c>
      <c r="K113" s="88" t="s">
        <v>281</v>
      </c>
      <c r="L113" s="91">
        <v>28808</v>
      </c>
      <c r="M113" s="91">
        <v>43752</v>
      </c>
      <c r="N113" s="88">
        <f t="shared" ca="1" si="6"/>
        <v>2435</v>
      </c>
      <c r="O113" s="84" t="str">
        <f ca="1">IF(Tabla1[[#This Row],[|]]&gt;=0,"VENCIDA",IF(Tabla1[[#This Row],[|]]&gt;=-14,"POR VENCER","OK"))</f>
        <v>VENCIDA</v>
      </c>
      <c r="P113" s="90" t="s">
        <v>1486</v>
      </c>
      <c r="Q113" s="90" t="s">
        <v>312</v>
      </c>
      <c r="R113" s="88" t="s">
        <v>17</v>
      </c>
      <c r="S113" s="88"/>
      <c r="T113" s="88"/>
      <c r="U113" s="88"/>
      <c r="V113" s="88" t="s">
        <v>763</v>
      </c>
      <c r="W113" s="92" t="s">
        <v>1480</v>
      </c>
      <c r="X113" s="203">
        <v>12</v>
      </c>
    </row>
    <row r="114" spans="1:24" s="63" customFormat="1" ht="32.25" customHeight="1" x14ac:dyDescent="0.2">
      <c r="A114" s="202">
        <v>127</v>
      </c>
      <c r="B114" s="88" t="s">
        <v>279</v>
      </c>
      <c r="C114" s="89">
        <v>127</v>
      </c>
      <c r="D114" s="88" t="str">
        <f t="shared" si="5"/>
        <v>SUPERMIX127</v>
      </c>
      <c r="E114" s="105" t="s">
        <v>192</v>
      </c>
      <c r="F114" s="58" t="s">
        <v>193</v>
      </c>
      <c r="G114" s="88"/>
      <c r="H114" s="90"/>
      <c r="I114" s="90" t="s">
        <v>3787</v>
      </c>
      <c r="J114" s="58"/>
      <c r="K114" s="88"/>
      <c r="L114" s="91"/>
      <c r="M114" s="91"/>
      <c r="N114" s="88">
        <f t="shared" ca="1" si="6"/>
        <v>46187</v>
      </c>
      <c r="O114" s="84" t="str">
        <f ca="1">IF(Tabla1[[#This Row],[|]]&gt;=0,"VENCIDA",IF(Tabla1[[#This Row],[|]]&gt;=-14,"POR VENCER","OK"))</f>
        <v>VENCIDA</v>
      </c>
      <c r="P114" s="90" t="s">
        <v>323</v>
      </c>
      <c r="Q114" s="90" t="s">
        <v>312</v>
      </c>
      <c r="R114" s="88"/>
      <c r="S114" s="88"/>
      <c r="T114" s="88"/>
      <c r="U114" s="88"/>
      <c r="V114" s="88"/>
      <c r="W114" s="92"/>
      <c r="X114" s="92"/>
    </row>
    <row r="115" spans="1:24" s="63" customFormat="1" ht="32.25" customHeight="1" x14ac:dyDescent="0.2">
      <c r="A115" s="202">
        <v>130</v>
      </c>
      <c r="B115" s="88" t="s">
        <v>279</v>
      </c>
      <c r="C115" s="89">
        <v>130</v>
      </c>
      <c r="D115" s="88" t="str">
        <f t="shared" si="5"/>
        <v>SUPERMIX130</v>
      </c>
      <c r="E115" s="105" t="s">
        <v>194</v>
      </c>
      <c r="F115" s="58" t="s">
        <v>195</v>
      </c>
      <c r="G115" s="88" t="s">
        <v>25</v>
      </c>
      <c r="H115" s="90">
        <v>43358639</v>
      </c>
      <c r="I115" s="90" t="s">
        <v>3787</v>
      </c>
      <c r="J115" s="92" t="s">
        <v>422</v>
      </c>
      <c r="K115" s="88" t="s">
        <v>281</v>
      </c>
      <c r="L115" s="91">
        <v>38225</v>
      </c>
      <c r="M115" s="91">
        <v>44684</v>
      </c>
      <c r="N115" s="88">
        <f t="shared" ca="1" si="6"/>
        <v>1503</v>
      </c>
      <c r="O115" s="84" t="str">
        <f ca="1">IF(Tabla1[[#This Row],[|]]&gt;=0,"VENCIDA",IF(Tabla1[[#This Row],[|]]&gt;=-14,"POR VENCER","OK"))</f>
        <v>VENCIDA</v>
      </c>
      <c r="P115" s="90" t="s">
        <v>3134</v>
      </c>
      <c r="Q115" s="90" t="s">
        <v>312</v>
      </c>
      <c r="R115" s="88" t="s">
        <v>17</v>
      </c>
      <c r="S115" s="88"/>
      <c r="T115" s="88"/>
      <c r="U115" s="88"/>
      <c r="V115" s="88" t="s">
        <v>2104</v>
      </c>
      <c r="W115" s="92" t="s">
        <v>2772</v>
      </c>
      <c r="X115" s="203" t="s">
        <v>624</v>
      </c>
    </row>
    <row r="116" spans="1:24" s="43" customFormat="1" ht="32.25" customHeight="1" x14ac:dyDescent="0.2">
      <c r="A116" s="42">
        <v>131</v>
      </c>
      <c r="B116" s="93" t="s">
        <v>279</v>
      </c>
      <c r="C116" s="94">
        <v>131</v>
      </c>
      <c r="D116" s="93" t="str">
        <f t="shared" si="5"/>
        <v>SUPERMIX131</v>
      </c>
      <c r="E116" s="166" t="s">
        <v>427</v>
      </c>
      <c r="F116" s="115" t="s">
        <v>23</v>
      </c>
      <c r="G116" s="93" t="s">
        <v>25</v>
      </c>
      <c r="H116" s="95">
        <v>29222872</v>
      </c>
      <c r="I116" s="95" t="s">
        <v>3788</v>
      </c>
      <c r="J116" s="97" t="s">
        <v>428</v>
      </c>
      <c r="K116" s="93" t="s">
        <v>1954</v>
      </c>
      <c r="L116" s="96">
        <v>37138</v>
      </c>
      <c r="M116" s="96">
        <v>46490</v>
      </c>
      <c r="N116" s="88">
        <f t="shared" ca="1" si="6"/>
        <v>-303</v>
      </c>
      <c r="O116" s="84" t="str">
        <f ca="1">IF(Tabla1[[#This Row],[|]]&gt;=0,"VENCIDA",IF(Tabla1[[#This Row],[|]]&gt;=-14,"POR VENCER","OK"))</f>
        <v>OK</v>
      </c>
      <c r="P116" s="95" t="s">
        <v>2827</v>
      </c>
      <c r="Q116" s="95" t="s">
        <v>312</v>
      </c>
      <c r="R116" s="93" t="s">
        <v>317</v>
      </c>
      <c r="S116" s="93"/>
      <c r="T116" s="93"/>
      <c r="U116" s="93"/>
      <c r="V116" s="93" t="s">
        <v>1939</v>
      </c>
      <c r="W116" s="97" t="s">
        <v>3690</v>
      </c>
      <c r="X116" s="204" t="s">
        <v>2989</v>
      </c>
    </row>
    <row r="117" spans="1:24" s="63" customFormat="1" ht="32.25" customHeight="1" x14ac:dyDescent="0.2">
      <c r="A117" s="202">
        <v>132</v>
      </c>
      <c r="B117" s="88" t="s">
        <v>279</v>
      </c>
      <c r="C117" s="89">
        <v>132</v>
      </c>
      <c r="D117" s="88" t="str">
        <f t="shared" si="5"/>
        <v>SUPERMIX132</v>
      </c>
      <c r="E117" s="105" t="s">
        <v>196</v>
      </c>
      <c r="F117" s="58" t="s">
        <v>197</v>
      </c>
      <c r="G117" s="88"/>
      <c r="H117" s="90"/>
      <c r="I117" s="90" t="s">
        <v>3787</v>
      </c>
      <c r="J117" s="58"/>
      <c r="K117" s="88"/>
      <c r="L117" s="91"/>
      <c r="M117" s="91"/>
      <c r="N117" s="88">
        <f t="shared" ca="1" si="6"/>
        <v>46187</v>
      </c>
      <c r="O117" s="84" t="str">
        <f ca="1">IF(Tabla1[[#This Row],[|]]&gt;=0,"VENCIDA",IF(Tabla1[[#This Row],[|]]&gt;=-14,"POR VENCER","OK"))</f>
        <v>VENCIDA</v>
      </c>
      <c r="P117" s="90" t="s">
        <v>526</v>
      </c>
      <c r="Q117" s="90" t="s">
        <v>312</v>
      </c>
      <c r="R117" s="88"/>
      <c r="S117" s="88"/>
      <c r="T117" s="88"/>
      <c r="U117" s="88"/>
      <c r="V117" s="88" t="s">
        <v>524</v>
      </c>
      <c r="W117" s="92" t="s">
        <v>525</v>
      </c>
      <c r="X117" s="203"/>
    </row>
    <row r="118" spans="1:24" s="63" customFormat="1" ht="32.25" customHeight="1" x14ac:dyDescent="0.2">
      <c r="A118" s="202">
        <v>133</v>
      </c>
      <c r="B118" s="88" t="s">
        <v>279</v>
      </c>
      <c r="C118" s="116">
        <v>133</v>
      </c>
      <c r="D118" s="88" t="str">
        <f t="shared" si="5"/>
        <v>SUPERMIX133</v>
      </c>
      <c r="E118" s="105" t="s">
        <v>198</v>
      </c>
      <c r="F118" s="58" t="s">
        <v>199</v>
      </c>
      <c r="G118" s="88"/>
      <c r="H118" s="90"/>
      <c r="I118" s="90" t="s">
        <v>3787</v>
      </c>
      <c r="J118" s="92"/>
      <c r="K118" s="88"/>
      <c r="L118" s="91"/>
      <c r="M118" s="91"/>
      <c r="N118" s="88">
        <f t="shared" ca="1" si="6"/>
        <v>46187</v>
      </c>
      <c r="O118" s="84" t="str">
        <f ca="1">IF(Tabla1[[#This Row],[|]]&gt;=0,"VENCIDA",IF(Tabla1[[#This Row],[|]]&gt;=-14,"POR VENCER","OK"))</f>
        <v>VENCIDA</v>
      </c>
      <c r="P118" s="90" t="s">
        <v>597</v>
      </c>
      <c r="Q118" s="90" t="s">
        <v>312</v>
      </c>
      <c r="R118" s="88"/>
      <c r="S118" s="88"/>
      <c r="T118" s="88"/>
      <c r="U118" s="88"/>
      <c r="V118" s="88"/>
      <c r="W118" s="92"/>
      <c r="X118" s="92"/>
    </row>
    <row r="119" spans="1:24" s="63" customFormat="1" ht="32.25" customHeight="1" x14ac:dyDescent="0.2">
      <c r="A119" s="202">
        <v>136</v>
      </c>
      <c r="B119" s="88" t="s">
        <v>279</v>
      </c>
      <c r="C119" s="89">
        <v>136</v>
      </c>
      <c r="D119" s="88" t="str">
        <f t="shared" si="5"/>
        <v>SUPERMIX136</v>
      </c>
      <c r="E119" s="105" t="s">
        <v>354</v>
      </c>
      <c r="F119" s="58" t="s">
        <v>355</v>
      </c>
      <c r="G119" s="88" t="s">
        <v>356</v>
      </c>
      <c r="H119" s="90">
        <v>40787115</v>
      </c>
      <c r="I119" s="90" t="s">
        <v>3787</v>
      </c>
      <c r="J119" s="88" t="s">
        <v>357</v>
      </c>
      <c r="K119" s="88" t="s">
        <v>281</v>
      </c>
      <c r="L119" s="91">
        <v>39066</v>
      </c>
      <c r="M119" s="91">
        <v>41434</v>
      </c>
      <c r="N119" s="88">
        <f t="shared" ca="1" si="6"/>
        <v>4753</v>
      </c>
      <c r="O119" s="84" t="str">
        <f ca="1">IF(Tabla1[[#This Row],[|]]&gt;=0,"VENCIDA",IF(Tabla1[[#This Row],[|]]&gt;=-14,"POR VENCER","OK"))</f>
        <v>VENCIDA</v>
      </c>
      <c r="P119" s="90" t="s">
        <v>321</v>
      </c>
      <c r="Q119" s="90" t="s">
        <v>312</v>
      </c>
      <c r="R119" s="88" t="s">
        <v>317</v>
      </c>
      <c r="S119" s="88"/>
      <c r="T119" s="88"/>
      <c r="U119" s="88"/>
      <c r="V119" s="90" t="s">
        <v>352</v>
      </c>
      <c r="W119" s="92" t="s">
        <v>353</v>
      </c>
      <c r="X119" s="92"/>
    </row>
    <row r="120" spans="1:24" s="63" customFormat="1" ht="32.25" customHeight="1" x14ac:dyDescent="0.2">
      <c r="A120" s="202">
        <v>138</v>
      </c>
      <c r="B120" s="88" t="s">
        <v>279</v>
      </c>
      <c r="C120" s="89">
        <v>138</v>
      </c>
      <c r="D120" s="88" t="str">
        <f t="shared" si="5"/>
        <v>SUPERMIX138</v>
      </c>
      <c r="E120" s="105" t="s">
        <v>365</v>
      </c>
      <c r="F120" s="58" t="s">
        <v>366</v>
      </c>
      <c r="G120" s="88" t="s">
        <v>25</v>
      </c>
      <c r="H120" s="90">
        <v>45061080</v>
      </c>
      <c r="I120" s="90" t="s">
        <v>3787</v>
      </c>
      <c r="J120" s="92" t="s">
        <v>367</v>
      </c>
      <c r="K120" s="88" t="s">
        <v>368</v>
      </c>
      <c r="L120" s="91">
        <v>40309</v>
      </c>
      <c r="M120" s="91">
        <v>41405</v>
      </c>
      <c r="N120" s="88">
        <f t="shared" ca="1" si="6"/>
        <v>4782</v>
      </c>
      <c r="O120" s="84" t="str">
        <f ca="1">IF(Tabla1[[#This Row],[|]]&gt;=0,"VENCIDA",IF(Tabla1[[#This Row],[|]]&gt;=-14,"POR VENCER","OK"))</f>
        <v>VENCIDA</v>
      </c>
      <c r="P120" s="90" t="s">
        <v>322</v>
      </c>
      <c r="Q120" s="90" t="s">
        <v>312</v>
      </c>
      <c r="R120" s="88" t="s">
        <v>317</v>
      </c>
      <c r="S120" s="88"/>
      <c r="T120" s="88"/>
      <c r="U120" s="88"/>
      <c r="V120" s="88" t="s">
        <v>369</v>
      </c>
      <c r="W120" s="92" t="s">
        <v>370</v>
      </c>
      <c r="X120" s="203">
        <v>12</v>
      </c>
    </row>
    <row r="121" spans="1:24" s="63" customFormat="1" ht="32.25" customHeight="1" x14ac:dyDescent="0.2">
      <c r="A121" s="202">
        <v>139</v>
      </c>
      <c r="B121" s="88" t="s">
        <v>279</v>
      </c>
      <c r="C121" s="89">
        <v>139</v>
      </c>
      <c r="D121" s="88" t="str">
        <f t="shared" si="5"/>
        <v>SUPERMIX139</v>
      </c>
      <c r="E121" s="105" t="s">
        <v>200</v>
      </c>
      <c r="F121" s="58" t="s">
        <v>201</v>
      </c>
      <c r="G121" s="88" t="s">
        <v>25</v>
      </c>
      <c r="H121" s="90">
        <v>29307303</v>
      </c>
      <c r="I121" s="90" t="s">
        <v>3787</v>
      </c>
      <c r="J121" s="58" t="s">
        <v>298</v>
      </c>
      <c r="K121" s="88" t="s">
        <v>281</v>
      </c>
      <c r="L121" s="91">
        <v>41467</v>
      </c>
      <c r="M121" s="91">
        <v>42462</v>
      </c>
      <c r="N121" s="88">
        <f t="shared" ca="1" si="6"/>
        <v>3725</v>
      </c>
      <c r="O121" s="84" t="str">
        <f ca="1">IF(Tabla1[[#This Row],[|]]&gt;=0,"VENCIDA",IF(Tabla1[[#This Row],[|]]&gt;=-14,"POR VENCER","OK"))</f>
        <v>VENCIDA</v>
      </c>
      <c r="P121" s="90" t="s">
        <v>597</v>
      </c>
      <c r="Q121" s="90" t="s">
        <v>312</v>
      </c>
      <c r="R121" s="88" t="s">
        <v>17</v>
      </c>
      <c r="S121" s="88"/>
      <c r="T121" s="88"/>
      <c r="U121" s="88"/>
      <c r="V121" s="88" t="s">
        <v>668</v>
      </c>
      <c r="W121" s="92" t="s">
        <v>672</v>
      </c>
      <c r="X121" s="203">
        <v>16</v>
      </c>
    </row>
    <row r="122" spans="1:24" s="63" customFormat="1" ht="32.25" customHeight="1" x14ac:dyDescent="0.2">
      <c r="A122" s="202">
        <v>140</v>
      </c>
      <c r="B122" s="88" t="s">
        <v>279</v>
      </c>
      <c r="C122" s="89">
        <v>140</v>
      </c>
      <c r="D122" s="88" t="str">
        <f t="shared" si="5"/>
        <v>SUPERMIX140</v>
      </c>
      <c r="E122" s="105" t="s">
        <v>202</v>
      </c>
      <c r="F122" s="58" t="s">
        <v>203</v>
      </c>
      <c r="G122" s="88" t="s">
        <v>25</v>
      </c>
      <c r="H122" s="90">
        <v>29275709</v>
      </c>
      <c r="I122" s="90" t="s">
        <v>3787</v>
      </c>
      <c r="J122" s="92" t="s">
        <v>604</v>
      </c>
      <c r="K122" s="88" t="s">
        <v>281</v>
      </c>
      <c r="L122" s="91">
        <v>38616</v>
      </c>
      <c r="M122" s="91">
        <v>41644</v>
      </c>
      <c r="N122" s="88">
        <f t="shared" ca="1" si="6"/>
        <v>4543</v>
      </c>
      <c r="O122" s="84" t="str">
        <f ca="1">IF(Tabla1[[#This Row],[|]]&gt;=0,"VENCIDA",IF(Tabla1[[#This Row],[|]]&gt;=-14,"POR VENCER","OK"))</f>
        <v>VENCIDA</v>
      </c>
      <c r="P122" s="90" t="s">
        <v>597</v>
      </c>
      <c r="Q122" s="90" t="s">
        <v>312</v>
      </c>
      <c r="R122" s="88" t="s">
        <v>17</v>
      </c>
      <c r="S122" s="88"/>
      <c r="T122" s="88"/>
      <c r="U122" s="88"/>
      <c r="V122" s="88" t="s">
        <v>282</v>
      </c>
      <c r="W122" s="92" t="s">
        <v>471</v>
      </c>
      <c r="X122" s="92"/>
    </row>
    <row r="123" spans="1:24" s="63" customFormat="1" ht="32.25" customHeight="1" x14ac:dyDescent="0.2">
      <c r="A123" s="202">
        <v>142</v>
      </c>
      <c r="B123" s="88" t="s">
        <v>279</v>
      </c>
      <c r="C123" s="89">
        <v>142</v>
      </c>
      <c r="D123" s="88" t="str">
        <f t="shared" si="5"/>
        <v>SUPERMIX142</v>
      </c>
      <c r="E123" s="105" t="s">
        <v>204</v>
      </c>
      <c r="F123" s="58" t="s">
        <v>205</v>
      </c>
      <c r="G123" s="88" t="s">
        <v>25</v>
      </c>
      <c r="H123" s="90">
        <v>44369310</v>
      </c>
      <c r="I123" s="90" t="s">
        <v>3787</v>
      </c>
      <c r="J123" s="92" t="s">
        <v>291</v>
      </c>
      <c r="K123" s="88" t="s">
        <v>281</v>
      </c>
      <c r="L123" s="91">
        <v>40651</v>
      </c>
      <c r="M123" s="91">
        <v>45909</v>
      </c>
      <c r="N123" s="88">
        <f t="shared" ca="1" si="6"/>
        <v>278</v>
      </c>
      <c r="O123" s="84" t="str">
        <f ca="1">IF(Tabla1[[#This Row],[|]]&gt;=0,"VENCIDA",IF(Tabla1[[#This Row],[|]]&gt;=-14,"POR VENCER","OK"))</f>
        <v>VENCIDA</v>
      </c>
      <c r="P123" s="90" t="s">
        <v>3301</v>
      </c>
      <c r="Q123" s="90" t="s">
        <v>312</v>
      </c>
      <c r="R123" s="88" t="s">
        <v>317</v>
      </c>
      <c r="S123" s="88"/>
      <c r="T123" s="88"/>
      <c r="U123" s="88"/>
      <c r="V123" s="88" t="s">
        <v>306</v>
      </c>
      <c r="W123" s="92" t="s">
        <v>2776</v>
      </c>
      <c r="X123" s="203" t="s">
        <v>2819</v>
      </c>
    </row>
    <row r="124" spans="1:24" s="63" customFormat="1" ht="32.25" customHeight="1" x14ac:dyDescent="0.2">
      <c r="A124" s="202">
        <v>143</v>
      </c>
      <c r="B124" s="88" t="s">
        <v>279</v>
      </c>
      <c r="C124" s="89">
        <v>143</v>
      </c>
      <c r="D124" s="88" t="str">
        <f t="shared" si="5"/>
        <v>SUPERMIX143</v>
      </c>
      <c r="E124" s="105" t="s">
        <v>206</v>
      </c>
      <c r="F124" s="58" t="s">
        <v>207</v>
      </c>
      <c r="G124" s="88"/>
      <c r="H124" s="90"/>
      <c r="I124" s="90" t="s">
        <v>3787</v>
      </c>
      <c r="J124" s="88"/>
      <c r="K124" s="88"/>
      <c r="L124" s="91"/>
      <c r="M124" s="91"/>
      <c r="N124" s="88">
        <f t="shared" ca="1" si="6"/>
        <v>46187</v>
      </c>
      <c r="O124" s="84" t="str">
        <f ca="1">IF(Tabla1[[#This Row],[|]]&gt;=0,"VENCIDA",IF(Tabla1[[#This Row],[|]]&gt;=-14,"POR VENCER","OK"))</f>
        <v>VENCIDA</v>
      </c>
      <c r="P124" s="90" t="s">
        <v>597</v>
      </c>
      <c r="Q124" s="90" t="s">
        <v>312</v>
      </c>
      <c r="R124" s="88"/>
      <c r="S124" s="88"/>
      <c r="T124" s="88"/>
      <c r="U124" s="88"/>
      <c r="V124" s="88"/>
      <c r="W124" s="92"/>
      <c r="X124" s="92"/>
    </row>
    <row r="125" spans="1:24" s="63" customFormat="1" ht="32.25" customHeight="1" x14ac:dyDescent="0.2">
      <c r="A125" s="202">
        <v>144</v>
      </c>
      <c r="B125" s="88" t="s">
        <v>279</v>
      </c>
      <c r="C125" s="89">
        <v>144</v>
      </c>
      <c r="D125" s="88" t="str">
        <f t="shared" si="5"/>
        <v>SUPERMIX144</v>
      </c>
      <c r="E125" s="105" t="s">
        <v>208</v>
      </c>
      <c r="F125" s="58" t="s">
        <v>209</v>
      </c>
      <c r="G125" s="88" t="s">
        <v>25</v>
      </c>
      <c r="H125" s="90">
        <v>44312167</v>
      </c>
      <c r="I125" s="90" t="s">
        <v>3787</v>
      </c>
      <c r="J125" s="88" t="s">
        <v>418</v>
      </c>
      <c r="K125" s="88" t="s">
        <v>293</v>
      </c>
      <c r="L125" s="91">
        <v>41683</v>
      </c>
      <c r="M125" s="91">
        <v>43874</v>
      </c>
      <c r="N125" s="88">
        <f t="shared" ca="1" si="6"/>
        <v>2313</v>
      </c>
      <c r="O125" s="84" t="str">
        <f ca="1">IF(Tabla1[[#This Row],[|]]&gt;=0,"VENCIDA",IF(Tabla1[[#This Row],[|]]&gt;=-14,"POR VENCER","OK"))</f>
        <v>VENCIDA</v>
      </c>
      <c r="P125" s="90" t="s">
        <v>2423</v>
      </c>
      <c r="Q125" s="90" t="s">
        <v>312</v>
      </c>
      <c r="R125" s="88" t="s">
        <v>317</v>
      </c>
      <c r="S125" s="88"/>
      <c r="T125" s="88"/>
      <c r="U125" s="88"/>
      <c r="V125" s="88" t="s">
        <v>1565</v>
      </c>
      <c r="W125" s="92" t="s">
        <v>1222</v>
      </c>
      <c r="X125" s="203">
        <v>16.5</v>
      </c>
    </row>
    <row r="126" spans="1:24" s="63" customFormat="1" ht="32.25" customHeight="1" x14ac:dyDescent="0.2">
      <c r="A126" s="202">
        <v>145</v>
      </c>
      <c r="B126" s="88" t="s">
        <v>279</v>
      </c>
      <c r="C126" s="89">
        <v>145</v>
      </c>
      <c r="D126" s="88" t="str">
        <f t="shared" si="5"/>
        <v>SUPERMIX145</v>
      </c>
      <c r="E126" s="105" t="s">
        <v>210</v>
      </c>
      <c r="F126" s="58" t="s">
        <v>211</v>
      </c>
      <c r="G126" s="88" t="s">
        <v>464</v>
      </c>
      <c r="H126" s="90">
        <v>41439508</v>
      </c>
      <c r="I126" s="90" t="s">
        <v>3787</v>
      </c>
      <c r="J126" s="92" t="s">
        <v>465</v>
      </c>
      <c r="K126" s="88" t="s">
        <v>281</v>
      </c>
      <c r="L126" s="91">
        <v>39134</v>
      </c>
      <c r="M126" s="91">
        <v>46903</v>
      </c>
      <c r="N126" s="88">
        <f t="shared" ca="1" si="6"/>
        <v>-716</v>
      </c>
      <c r="O126" s="84" t="str">
        <f ca="1">IF(Tabla1[[#This Row],[|]]&gt;=0,"VENCIDA",IF(Tabla1[[#This Row],[|]]&gt;=-14,"POR VENCER","OK"))</f>
        <v>OK</v>
      </c>
      <c r="P126" s="90" t="s">
        <v>3712</v>
      </c>
      <c r="Q126" s="90" t="s">
        <v>312</v>
      </c>
      <c r="R126" s="88" t="s">
        <v>317</v>
      </c>
      <c r="S126" s="88"/>
      <c r="T126" s="88"/>
      <c r="U126" s="88"/>
      <c r="V126" s="88" t="s">
        <v>611</v>
      </c>
      <c r="W126" s="92" t="s">
        <v>850</v>
      </c>
      <c r="X126" s="203" t="s">
        <v>3152</v>
      </c>
    </row>
    <row r="127" spans="1:24" s="63" customFormat="1" ht="32.25" customHeight="1" x14ac:dyDescent="0.2">
      <c r="A127" s="202">
        <v>148</v>
      </c>
      <c r="B127" s="88" t="s">
        <v>279</v>
      </c>
      <c r="C127" s="89">
        <v>148</v>
      </c>
      <c r="D127" s="88" t="str">
        <f t="shared" si="5"/>
        <v>SUPERMIX148</v>
      </c>
      <c r="E127" s="105" t="s">
        <v>212</v>
      </c>
      <c r="F127" s="58" t="s">
        <v>213</v>
      </c>
      <c r="G127" s="88"/>
      <c r="H127" s="90"/>
      <c r="I127" s="90" t="s">
        <v>3787</v>
      </c>
      <c r="J127" s="88"/>
      <c r="K127" s="88"/>
      <c r="L127" s="91"/>
      <c r="M127" s="91"/>
      <c r="N127" s="88">
        <f t="shared" ca="1" si="6"/>
        <v>46187</v>
      </c>
      <c r="O127" s="84" t="str">
        <f ca="1">IF(Tabla1[[#This Row],[|]]&gt;=0,"VENCIDA",IF(Tabla1[[#This Row],[|]]&gt;=-14,"POR VENCER","OK"))</f>
        <v>VENCIDA</v>
      </c>
      <c r="P127" s="90" t="s">
        <v>597</v>
      </c>
      <c r="Q127" s="90" t="s">
        <v>312</v>
      </c>
      <c r="R127" s="88"/>
      <c r="S127" s="88"/>
      <c r="T127" s="88"/>
      <c r="U127" s="88"/>
      <c r="V127" s="88"/>
      <c r="W127" s="92"/>
      <c r="X127" s="92"/>
    </row>
    <row r="128" spans="1:24" s="43" customFormat="1" ht="32.25" customHeight="1" x14ac:dyDescent="0.2">
      <c r="A128" s="42">
        <v>149</v>
      </c>
      <c r="B128" s="93" t="s">
        <v>279</v>
      </c>
      <c r="C128" s="94">
        <v>149</v>
      </c>
      <c r="D128" s="93" t="str">
        <f t="shared" si="5"/>
        <v>SUPERMIX149</v>
      </c>
      <c r="E128" s="166" t="s">
        <v>385</v>
      </c>
      <c r="F128" s="115" t="s">
        <v>386</v>
      </c>
      <c r="G128" s="93" t="s">
        <v>25</v>
      </c>
      <c r="H128" s="95">
        <v>40098014</v>
      </c>
      <c r="I128" s="95" t="s">
        <v>3788</v>
      </c>
      <c r="J128" s="93" t="s">
        <v>1609</v>
      </c>
      <c r="K128" s="93" t="s">
        <v>281</v>
      </c>
      <c r="L128" s="96">
        <v>40354</v>
      </c>
      <c r="M128" s="96">
        <v>46700</v>
      </c>
      <c r="N128" s="88">
        <f t="shared" ca="1" si="6"/>
        <v>-513</v>
      </c>
      <c r="O128" s="84" t="str">
        <f ca="1">IF(Tabla1[[#This Row],[|]]&gt;=0,"VENCIDA",IF(Tabla1[[#This Row],[|]]&gt;=-14,"POR VENCER","OK"))</f>
        <v>OK</v>
      </c>
      <c r="P128" s="95" t="s">
        <v>3694</v>
      </c>
      <c r="Q128" s="95" t="s">
        <v>312</v>
      </c>
      <c r="R128" s="93" t="s">
        <v>317</v>
      </c>
      <c r="S128" s="93"/>
      <c r="T128" s="93"/>
      <c r="U128" s="93"/>
      <c r="V128" s="93" t="s">
        <v>1957</v>
      </c>
      <c r="W128" s="97" t="s">
        <v>2776</v>
      </c>
      <c r="X128" s="204" t="s">
        <v>824</v>
      </c>
    </row>
    <row r="129" spans="1:24" s="63" customFormat="1" ht="32.25" customHeight="1" x14ac:dyDescent="0.2">
      <c r="A129" s="202">
        <v>150</v>
      </c>
      <c r="B129" s="88" t="s">
        <v>279</v>
      </c>
      <c r="C129" s="89">
        <v>150</v>
      </c>
      <c r="D129" s="88" t="str">
        <f t="shared" si="5"/>
        <v>SUPERMIX150</v>
      </c>
      <c r="E129" s="105" t="s">
        <v>214</v>
      </c>
      <c r="F129" s="58" t="s">
        <v>215</v>
      </c>
      <c r="G129" s="88" t="s">
        <v>25</v>
      </c>
      <c r="H129" s="90">
        <v>41376564</v>
      </c>
      <c r="I129" s="90" t="s">
        <v>3787</v>
      </c>
      <c r="J129" s="88" t="s">
        <v>651</v>
      </c>
      <c r="K129" s="88" t="s">
        <v>281</v>
      </c>
      <c r="L129" s="91">
        <v>38789</v>
      </c>
      <c r="M129" s="91">
        <v>42365</v>
      </c>
      <c r="N129" s="88">
        <f t="shared" ca="1" si="6"/>
        <v>3822</v>
      </c>
      <c r="O129" s="84" t="str">
        <f ca="1">IF(Tabla1[[#This Row],[|]]&gt;=0,"VENCIDA",IF(Tabla1[[#This Row],[|]]&gt;=-14,"POR VENCER","OK"))</f>
        <v>VENCIDA</v>
      </c>
      <c r="P129" s="90" t="s">
        <v>1563</v>
      </c>
      <c r="Q129" s="90" t="s">
        <v>312</v>
      </c>
      <c r="R129" s="88" t="s">
        <v>17</v>
      </c>
      <c r="S129" s="88"/>
      <c r="T129" s="88"/>
      <c r="U129" s="88"/>
      <c r="V129" s="88" t="s">
        <v>306</v>
      </c>
      <c r="W129" s="92" t="s">
        <v>649</v>
      </c>
      <c r="X129" s="92"/>
    </row>
    <row r="130" spans="1:24" s="59" customFormat="1" ht="32.25" customHeight="1" x14ac:dyDescent="0.2">
      <c r="A130" s="200">
        <v>151</v>
      </c>
      <c r="B130" s="61" t="s">
        <v>279</v>
      </c>
      <c r="C130" s="87">
        <v>151</v>
      </c>
      <c r="D130" s="61" t="str">
        <f t="shared" si="5"/>
        <v>SUPERMIX151</v>
      </c>
      <c r="E130" s="113" t="s">
        <v>216</v>
      </c>
      <c r="F130" s="82" t="s">
        <v>217</v>
      </c>
      <c r="G130" s="61" t="s">
        <v>341</v>
      </c>
      <c r="H130" s="60">
        <v>29539829</v>
      </c>
      <c r="I130" s="60" t="s">
        <v>3787</v>
      </c>
      <c r="J130" s="86" t="s">
        <v>1597</v>
      </c>
      <c r="K130" s="61" t="s">
        <v>281</v>
      </c>
      <c r="L130" s="62">
        <v>37229</v>
      </c>
      <c r="M130" s="62">
        <v>44593</v>
      </c>
      <c r="N130" s="88">
        <f t="shared" ca="1" si="6"/>
        <v>1594</v>
      </c>
      <c r="O130" s="84" t="str">
        <f ca="1">IF(Tabla1[[#This Row],[|]]&gt;=0,"VENCIDA",IF(Tabla1[[#This Row],[|]]&gt;=-14,"POR VENCER","OK"))</f>
        <v>VENCIDA</v>
      </c>
      <c r="P130" s="60" t="s">
        <v>2917</v>
      </c>
      <c r="Q130" s="60" t="s">
        <v>312</v>
      </c>
      <c r="R130" s="61" t="s">
        <v>317</v>
      </c>
      <c r="S130" s="61"/>
      <c r="T130" s="61"/>
      <c r="U130" s="61"/>
      <c r="V130" s="61" t="s">
        <v>1693</v>
      </c>
      <c r="W130" s="86" t="s">
        <v>2776</v>
      </c>
      <c r="X130" s="86" t="s">
        <v>597</v>
      </c>
    </row>
    <row r="131" spans="1:24" s="63" customFormat="1" ht="32.25" customHeight="1" x14ac:dyDescent="0.2">
      <c r="A131" s="202">
        <v>152</v>
      </c>
      <c r="B131" s="88" t="s">
        <v>279</v>
      </c>
      <c r="C131" s="89">
        <v>152</v>
      </c>
      <c r="D131" s="88" t="str">
        <f t="shared" si="5"/>
        <v>SUPERMIX152</v>
      </c>
      <c r="E131" s="105" t="s">
        <v>218</v>
      </c>
      <c r="F131" s="58" t="s">
        <v>219</v>
      </c>
      <c r="G131" s="88" t="s">
        <v>25</v>
      </c>
      <c r="H131" s="90">
        <v>40200169</v>
      </c>
      <c r="I131" s="90" t="s">
        <v>3787</v>
      </c>
      <c r="J131" s="88" t="s">
        <v>308</v>
      </c>
      <c r="K131" s="88" t="s">
        <v>281</v>
      </c>
      <c r="L131" s="91">
        <v>39025</v>
      </c>
      <c r="M131" s="91">
        <v>44226</v>
      </c>
      <c r="N131" s="88">
        <f t="shared" ca="1" si="6"/>
        <v>1961</v>
      </c>
      <c r="O131" s="84" t="str">
        <f ca="1">IF(Tabla1[[#This Row],[|]]&gt;=0,"VENCIDA",IF(Tabla1[[#This Row],[|]]&gt;=-14,"POR VENCER","OK"))</f>
        <v>VENCIDA</v>
      </c>
      <c r="P131" s="90" t="s">
        <v>2642</v>
      </c>
      <c r="Q131" s="90" t="s">
        <v>312</v>
      </c>
      <c r="R131" s="88" t="s">
        <v>17</v>
      </c>
      <c r="S131" s="88"/>
      <c r="T131" s="88"/>
      <c r="U131" s="88"/>
      <c r="V131" s="88" t="s">
        <v>306</v>
      </c>
      <c r="W131" s="92" t="s">
        <v>1436</v>
      </c>
      <c r="X131" s="203">
        <f>56/3</f>
        <v>18.666666666666668</v>
      </c>
    </row>
    <row r="132" spans="1:24" s="43" customFormat="1" ht="32.25" customHeight="1" x14ac:dyDescent="0.2">
      <c r="A132" s="42">
        <v>153</v>
      </c>
      <c r="B132" s="93" t="s">
        <v>279</v>
      </c>
      <c r="C132" s="94">
        <v>153</v>
      </c>
      <c r="D132" s="93" t="str">
        <f t="shared" si="5"/>
        <v>SUPERMIX153</v>
      </c>
      <c r="E132" s="166" t="s">
        <v>331</v>
      </c>
      <c r="F132" s="115" t="s">
        <v>332</v>
      </c>
      <c r="G132" s="93" t="s">
        <v>2825</v>
      </c>
      <c r="H132" s="95">
        <v>29654520</v>
      </c>
      <c r="I132" s="95" t="s">
        <v>3788</v>
      </c>
      <c r="J132" s="93" t="s">
        <v>333</v>
      </c>
      <c r="K132" s="93" t="s">
        <v>3660</v>
      </c>
      <c r="L132" s="96">
        <v>41221</v>
      </c>
      <c r="M132" s="96">
        <v>46302</v>
      </c>
      <c r="N132" s="88">
        <f t="shared" ca="1" si="6"/>
        <v>-115</v>
      </c>
      <c r="O132" s="84" t="str">
        <f ca="1">IF(Tabla1[[#This Row],[|]]&gt;=0,"VENCIDA",IF(Tabla1[[#This Row],[|]]&gt;=-14,"POR VENCER","OK"))</f>
        <v>OK</v>
      </c>
      <c r="P132" s="95" t="s">
        <v>2827</v>
      </c>
      <c r="Q132" s="95" t="s">
        <v>312</v>
      </c>
      <c r="R132" s="93" t="s">
        <v>317</v>
      </c>
      <c r="S132" s="93"/>
      <c r="T132" s="93"/>
      <c r="U132" s="93"/>
      <c r="V132" s="93" t="s">
        <v>1610</v>
      </c>
      <c r="W132" s="97" t="s">
        <v>2864</v>
      </c>
      <c r="X132" s="204" t="s">
        <v>3055</v>
      </c>
    </row>
    <row r="133" spans="1:24" s="43" customFormat="1" ht="32.25" customHeight="1" x14ac:dyDescent="0.2">
      <c r="A133" s="42">
        <v>154</v>
      </c>
      <c r="B133" s="93" t="s">
        <v>279</v>
      </c>
      <c r="C133" s="94">
        <v>154</v>
      </c>
      <c r="D133" s="93" t="str">
        <f t="shared" si="5"/>
        <v>SUPERMIX154</v>
      </c>
      <c r="E133" s="166" t="s">
        <v>220</v>
      </c>
      <c r="F133" s="115" t="s">
        <v>221</v>
      </c>
      <c r="G133" s="93" t="s">
        <v>25</v>
      </c>
      <c r="H133" s="95">
        <v>29230926</v>
      </c>
      <c r="I133" s="95" t="s">
        <v>3788</v>
      </c>
      <c r="J133" s="95" t="s">
        <v>663</v>
      </c>
      <c r="K133" s="93" t="s">
        <v>281</v>
      </c>
      <c r="L133" s="96">
        <v>30789</v>
      </c>
      <c r="M133" s="117">
        <v>43533</v>
      </c>
      <c r="N133" s="88">
        <f t="shared" ca="1" si="6"/>
        <v>2654</v>
      </c>
      <c r="O133" s="84" t="str">
        <f ca="1">IF(Tabla1[[#This Row],[|]]&gt;=0,"VENCIDA",IF(Tabla1[[#This Row],[|]]&gt;=-14,"POR VENCER","OK"))</f>
        <v>VENCIDA</v>
      </c>
      <c r="P133" s="95" t="s">
        <v>1387</v>
      </c>
      <c r="Q133" s="95" t="s">
        <v>312</v>
      </c>
      <c r="R133" s="93" t="s">
        <v>317</v>
      </c>
      <c r="S133" s="93"/>
      <c r="T133" s="93"/>
      <c r="U133" s="93"/>
      <c r="V133" s="93" t="s">
        <v>1702</v>
      </c>
      <c r="W133" s="97" t="s">
        <v>1703</v>
      </c>
      <c r="X133" s="204"/>
    </row>
    <row r="134" spans="1:24" s="63" customFormat="1" ht="32.25" customHeight="1" x14ac:dyDescent="0.2">
      <c r="A134" s="202">
        <v>155</v>
      </c>
      <c r="B134" s="88" t="s">
        <v>279</v>
      </c>
      <c r="C134" s="89">
        <v>155</v>
      </c>
      <c r="D134" s="88" t="str">
        <f t="shared" si="5"/>
        <v>SUPERMIX155</v>
      </c>
      <c r="E134" s="105" t="s">
        <v>380</v>
      </c>
      <c r="F134" s="58" t="s">
        <v>409</v>
      </c>
      <c r="G134" s="88" t="s">
        <v>25</v>
      </c>
      <c r="H134" s="90">
        <v>46624745</v>
      </c>
      <c r="I134" s="90" t="s">
        <v>3787</v>
      </c>
      <c r="J134" s="92" t="s">
        <v>568</v>
      </c>
      <c r="K134" s="88" t="s">
        <v>1954</v>
      </c>
      <c r="L134" s="91">
        <v>42898</v>
      </c>
      <c r="M134" s="91">
        <v>43994</v>
      </c>
      <c r="N134" s="88">
        <f t="shared" ca="1" si="6"/>
        <v>2193</v>
      </c>
      <c r="O134" s="84" t="str">
        <f ca="1">IF(Tabla1[[#This Row],[|]]&gt;=0,"VENCIDA",IF(Tabla1[[#This Row],[|]]&gt;=-14,"POR VENCER","OK"))</f>
        <v>VENCIDA</v>
      </c>
      <c r="P134" s="90" t="s">
        <v>2010</v>
      </c>
      <c r="Q134" s="90" t="s">
        <v>312</v>
      </c>
      <c r="R134" s="88" t="s">
        <v>317</v>
      </c>
      <c r="S134" s="88"/>
      <c r="T134" s="88"/>
      <c r="U134" s="88"/>
      <c r="V134" s="88" t="s">
        <v>306</v>
      </c>
      <c r="W134" s="92" t="s">
        <v>1112</v>
      </c>
      <c r="X134" s="203">
        <v>16</v>
      </c>
    </row>
    <row r="135" spans="1:24" s="63" customFormat="1" ht="32.25" customHeight="1" x14ac:dyDescent="0.2">
      <c r="A135" s="202">
        <v>156</v>
      </c>
      <c r="B135" s="88" t="s">
        <v>279</v>
      </c>
      <c r="C135" s="89">
        <v>156</v>
      </c>
      <c r="D135" s="88" t="str">
        <f t="shared" si="5"/>
        <v>SUPERMIX156</v>
      </c>
      <c r="E135" s="105" t="s">
        <v>222</v>
      </c>
      <c r="F135" s="58" t="s">
        <v>703</v>
      </c>
      <c r="G135" s="88" t="s">
        <v>310</v>
      </c>
      <c r="H135" s="99">
        <v>29713638</v>
      </c>
      <c r="I135" s="99" t="s">
        <v>3787</v>
      </c>
      <c r="J135" s="92" t="s">
        <v>379</v>
      </c>
      <c r="K135" s="88" t="s">
        <v>281</v>
      </c>
      <c r="L135" s="91">
        <v>41475</v>
      </c>
      <c r="M135" s="91">
        <v>44837</v>
      </c>
      <c r="N135" s="88">
        <f t="shared" ca="1" si="6"/>
        <v>1350</v>
      </c>
      <c r="O135" s="84" t="str">
        <f ca="1">IF(Tabla1[[#This Row],[|]]&gt;=0,"VENCIDA",IF(Tabla1[[#This Row],[|]]&gt;=-14,"POR VENCER","OK"))</f>
        <v>VENCIDA</v>
      </c>
      <c r="P135" s="90" t="s">
        <v>3009</v>
      </c>
      <c r="Q135" s="90" t="s">
        <v>312</v>
      </c>
      <c r="R135" s="88" t="s">
        <v>317</v>
      </c>
      <c r="S135" s="88"/>
      <c r="T135" s="88"/>
      <c r="U135" s="88"/>
      <c r="V135" s="88" t="s">
        <v>306</v>
      </c>
      <c r="W135" s="92" t="s">
        <v>649</v>
      </c>
      <c r="X135" s="203" t="s">
        <v>3152</v>
      </c>
    </row>
    <row r="136" spans="1:24" s="63" customFormat="1" ht="32.25" customHeight="1" x14ac:dyDescent="0.2">
      <c r="A136" s="202">
        <v>157</v>
      </c>
      <c r="B136" s="88" t="s">
        <v>279</v>
      </c>
      <c r="C136" s="89">
        <v>157</v>
      </c>
      <c r="D136" s="88" t="str">
        <f t="shared" ref="D136:D199" si="7">CONCATENATE(B136,C136)</f>
        <v>SUPERMIX157</v>
      </c>
      <c r="E136" s="105" t="s">
        <v>223</v>
      </c>
      <c r="F136" s="58" t="s">
        <v>18</v>
      </c>
      <c r="G136" s="88"/>
      <c r="H136" s="90"/>
      <c r="I136" s="90" t="s">
        <v>3787</v>
      </c>
      <c r="J136" s="92"/>
      <c r="K136" s="88"/>
      <c r="L136" s="91"/>
      <c r="M136" s="91"/>
      <c r="N136" s="88">
        <f t="shared" ca="1" si="6"/>
        <v>46187</v>
      </c>
      <c r="O136" s="84" t="str">
        <f ca="1">IF(Tabla1[[#This Row],[|]]&gt;=0,"VENCIDA",IF(Tabla1[[#This Row],[|]]&gt;=-14,"POR VENCER","OK"))</f>
        <v>VENCIDA</v>
      </c>
      <c r="P136" s="90" t="s">
        <v>597</v>
      </c>
      <c r="Q136" s="90" t="s">
        <v>312</v>
      </c>
      <c r="R136" s="88"/>
      <c r="S136" s="88"/>
      <c r="T136" s="88"/>
      <c r="U136" s="88"/>
      <c r="V136" s="88"/>
      <c r="W136" s="92"/>
      <c r="X136" s="92"/>
    </row>
    <row r="137" spans="1:24" s="63" customFormat="1" ht="32.25" customHeight="1" x14ac:dyDescent="0.2">
      <c r="A137" s="202">
        <v>159</v>
      </c>
      <c r="B137" s="88" t="s">
        <v>279</v>
      </c>
      <c r="C137" s="89">
        <v>159</v>
      </c>
      <c r="D137" s="88" t="str">
        <f t="shared" si="7"/>
        <v>SUPERMIX159</v>
      </c>
      <c r="E137" s="105" t="s">
        <v>224</v>
      </c>
      <c r="F137" s="58" t="s">
        <v>225</v>
      </c>
      <c r="G137" s="88" t="s">
        <v>310</v>
      </c>
      <c r="H137" s="90">
        <v>29699204</v>
      </c>
      <c r="I137" s="90" t="s">
        <v>3787</v>
      </c>
      <c r="J137" s="88" t="s">
        <v>415</v>
      </c>
      <c r="K137" s="88" t="s">
        <v>281</v>
      </c>
      <c r="L137" s="91">
        <v>42570</v>
      </c>
      <c r="M137" s="91">
        <v>43638</v>
      </c>
      <c r="N137" s="88">
        <f t="shared" ca="1" si="6"/>
        <v>2549</v>
      </c>
      <c r="O137" s="84" t="str">
        <f ca="1">IF(Tabla1[[#This Row],[|]]&gt;=0,"VENCIDA",IF(Tabla1[[#This Row],[|]]&gt;=-14,"POR VENCER","OK"))</f>
        <v>VENCIDA</v>
      </c>
      <c r="P137" s="90" t="s">
        <v>776</v>
      </c>
      <c r="Q137" s="90" t="s">
        <v>312</v>
      </c>
      <c r="R137" s="88" t="s">
        <v>317</v>
      </c>
      <c r="S137" s="88"/>
      <c r="T137" s="88"/>
      <c r="U137" s="88"/>
      <c r="V137" s="88" t="s">
        <v>763</v>
      </c>
      <c r="W137" s="92" t="s">
        <v>1480</v>
      </c>
      <c r="X137" s="203">
        <v>14.5</v>
      </c>
    </row>
    <row r="138" spans="1:24" s="63" customFormat="1" ht="32.25" customHeight="1" x14ac:dyDescent="0.2">
      <c r="A138" s="202">
        <v>160</v>
      </c>
      <c r="B138" s="88" t="s">
        <v>279</v>
      </c>
      <c r="C138" s="89">
        <v>160</v>
      </c>
      <c r="D138" s="88" t="str">
        <f t="shared" si="7"/>
        <v>SUPERMIX160</v>
      </c>
      <c r="E138" s="105" t="s">
        <v>349</v>
      </c>
      <c r="F138" s="58" t="s">
        <v>350</v>
      </c>
      <c r="G138" s="88" t="s">
        <v>25</v>
      </c>
      <c r="H138" s="90">
        <v>43673670</v>
      </c>
      <c r="I138" s="90" t="s">
        <v>3787</v>
      </c>
      <c r="J138" s="88" t="s">
        <v>351</v>
      </c>
      <c r="K138" s="88" t="s">
        <v>293</v>
      </c>
      <c r="L138" s="91">
        <v>40476</v>
      </c>
      <c r="M138" s="91">
        <v>41572</v>
      </c>
      <c r="N138" s="88">
        <f t="shared" ca="1" si="6"/>
        <v>4615</v>
      </c>
      <c r="O138" s="84" t="str">
        <f ca="1">IF(Tabla1[[#This Row],[|]]&gt;=0,"VENCIDA",IF(Tabla1[[#This Row],[|]]&gt;=-14,"POR VENCER","OK"))</f>
        <v>VENCIDA</v>
      </c>
      <c r="P138" s="90" t="s">
        <v>323</v>
      </c>
      <c r="Q138" s="90" t="s">
        <v>312</v>
      </c>
      <c r="R138" s="88" t="s">
        <v>317</v>
      </c>
      <c r="S138" s="88"/>
      <c r="T138" s="88"/>
      <c r="U138" s="88"/>
      <c r="V138" s="90" t="s">
        <v>352</v>
      </c>
      <c r="W138" s="92" t="s">
        <v>353</v>
      </c>
      <c r="X138" s="92"/>
    </row>
    <row r="139" spans="1:24" s="63" customFormat="1" ht="32.25" customHeight="1" x14ac:dyDescent="0.2">
      <c r="A139" s="202">
        <v>161</v>
      </c>
      <c r="B139" s="88" t="s">
        <v>279</v>
      </c>
      <c r="C139" s="89">
        <v>161</v>
      </c>
      <c r="D139" s="88" t="str">
        <f t="shared" si="7"/>
        <v>SUPERMIX161</v>
      </c>
      <c r="E139" s="105" t="s">
        <v>226</v>
      </c>
      <c r="F139" s="58" t="s">
        <v>28</v>
      </c>
      <c r="G139" s="88" t="s">
        <v>25</v>
      </c>
      <c r="H139" s="90">
        <v>33678664</v>
      </c>
      <c r="I139" s="90" t="s">
        <v>3787</v>
      </c>
      <c r="J139" s="58" t="s">
        <v>410</v>
      </c>
      <c r="K139" s="88" t="s">
        <v>281</v>
      </c>
      <c r="L139" s="91">
        <v>37964</v>
      </c>
      <c r="M139" s="91">
        <v>41338</v>
      </c>
      <c r="N139" s="88">
        <f t="shared" ca="1" si="6"/>
        <v>4849</v>
      </c>
      <c r="O139" s="84" t="str">
        <f ca="1">IF(Tabla1[[#This Row],[|]]&gt;=0,"VENCIDA",IF(Tabla1[[#This Row],[|]]&gt;=-14,"POR VENCER","OK"))</f>
        <v>VENCIDA</v>
      </c>
      <c r="P139" s="90" t="s">
        <v>1564</v>
      </c>
      <c r="Q139" s="90" t="s">
        <v>312</v>
      </c>
      <c r="R139" s="88" t="s">
        <v>317</v>
      </c>
      <c r="S139" s="88"/>
      <c r="T139" s="88"/>
      <c r="U139" s="88"/>
      <c r="V139" s="88" t="s">
        <v>306</v>
      </c>
      <c r="W139" s="92" t="s">
        <v>377</v>
      </c>
      <c r="X139" s="203"/>
    </row>
    <row r="140" spans="1:24" s="43" customFormat="1" ht="32.25" customHeight="1" x14ac:dyDescent="0.2">
      <c r="A140" s="42">
        <v>162</v>
      </c>
      <c r="B140" s="93" t="s">
        <v>279</v>
      </c>
      <c r="C140" s="94">
        <v>162</v>
      </c>
      <c r="D140" s="93" t="str">
        <f t="shared" si="7"/>
        <v>SUPERMIX162</v>
      </c>
      <c r="E140" s="166" t="s">
        <v>381</v>
      </c>
      <c r="F140" s="115" t="s">
        <v>207</v>
      </c>
      <c r="G140" s="93" t="s">
        <v>25</v>
      </c>
      <c r="H140" s="95">
        <v>29629259</v>
      </c>
      <c r="I140" s="95" t="s">
        <v>3788</v>
      </c>
      <c r="J140" s="115" t="s">
        <v>453</v>
      </c>
      <c r="K140" s="93" t="s">
        <v>4219</v>
      </c>
      <c r="L140" s="96">
        <v>40372</v>
      </c>
      <c r="M140" s="96">
        <v>47648</v>
      </c>
      <c r="N140" s="88">
        <f t="shared" ca="1" si="6"/>
        <v>-1461</v>
      </c>
      <c r="O140" s="84" t="str">
        <f ca="1">IF(Tabla1[[#This Row],[|]]&gt;=0,"VENCIDA",IF(Tabla1[[#This Row],[|]]&gt;=-14,"POR VENCER","OK"))</f>
        <v>OK</v>
      </c>
      <c r="P140" s="95" t="s">
        <v>4079</v>
      </c>
      <c r="Q140" s="95" t="s">
        <v>312</v>
      </c>
      <c r="R140" s="93" t="s">
        <v>17</v>
      </c>
      <c r="S140" s="93"/>
      <c r="T140" s="93"/>
      <c r="U140" s="93"/>
      <c r="V140" s="93" t="s">
        <v>334</v>
      </c>
      <c r="W140" s="97" t="s">
        <v>2997</v>
      </c>
      <c r="X140" s="204" t="s">
        <v>3102</v>
      </c>
    </row>
    <row r="141" spans="1:24" s="63" customFormat="1" ht="32.25" customHeight="1" x14ac:dyDescent="0.2">
      <c r="A141" s="202">
        <v>163</v>
      </c>
      <c r="B141" s="88" t="s">
        <v>279</v>
      </c>
      <c r="C141" s="89">
        <v>163</v>
      </c>
      <c r="D141" s="88" t="str">
        <f t="shared" si="7"/>
        <v>SUPERMIX163</v>
      </c>
      <c r="E141" s="105" t="s">
        <v>227</v>
      </c>
      <c r="F141" s="58" t="s">
        <v>228</v>
      </c>
      <c r="G141" s="88" t="s">
        <v>25</v>
      </c>
      <c r="H141" s="90">
        <v>40464234</v>
      </c>
      <c r="I141" s="90" t="s">
        <v>3787</v>
      </c>
      <c r="J141" s="92" t="s">
        <v>424</v>
      </c>
      <c r="K141" s="88" t="s">
        <v>364</v>
      </c>
      <c r="L141" s="91">
        <v>37778</v>
      </c>
      <c r="M141" s="91">
        <v>41247</v>
      </c>
      <c r="N141" s="88">
        <f t="shared" ca="1" si="6"/>
        <v>4940</v>
      </c>
      <c r="O141" s="84" t="str">
        <f ca="1">IF(Tabla1[[#This Row],[|]]&gt;=0,"VENCIDA",IF(Tabla1[[#This Row],[|]]&gt;=-14,"POR VENCER","OK"))</f>
        <v>VENCIDA</v>
      </c>
      <c r="P141" s="90" t="s">
        <v>638</v>
      </c>
      <c r="Q141" s="90" t="s">
        <v>312</v>
      </c>
      <c r="R141" s="88" t="s">
        <v>17</v>
      </c>
      <c r="S141" s="88"/>
      <c r="T141" s="88"/>
      <c r="U141" s="88"/>
      <c r="V141" s="88" t="s">
        <v>635</v>
      </c>
      <c r="W141" s="92" t="s">
        <v>416</v>
      </c>
      <c r="X141" s="203">
        <v>16.5</v>
      </c>
    </row>
    <row r="142" spans="1:24" s="43" customFormat="1" ht="32.25" customHeight="1" x14ac:dyDescent="0.2">
      <c r="A142" s="42">
        <v>164</v>
      </c>
      <c r="B142" s="93" t="s">
        <v>279</v>
      </c>
      <c r="C142" s="94">
        <v>164</v>
      </c>
      <c r="D142" s="93" t="str">
        <f t="shared" si="7"/>
        <v>SUPERMIX164</v>
      </c>
      <c r="E142" s="166" t="s">
        <v>229</v>
      </c>
      <c r="F142" s="115" t="s">
        <v>230</v>
      </c>
      <c r="G142" s="93" t="s">
        <v>25</v>
      </c>
      <c r="H142" s="95">
        <v>29725920</v>
      </c>
      <c r="I142" s="95" t="s">
        <v>3788</v>
      </c>
      <c r="J142" s="95" t="s">
        <v>304</v>
      </c>
      <c r="K142" s="93" t="s">
        <v>1954</v>
      </c>
      <c r="L142" s="96">
        <v>38322</v>
      </c>
      <c r="M142" s="141">
        <v>46477</v>
      </c>
      <c r="N142" s="88">
        <f t="shared" ca="1" si="6"/>
        <v>-290</v>
      </c>
      <c r="O142" s="84" t="str">
        <f ca="1">IF(Tabla1[[#This Row],[|]]&gt;=0,"VENCIDA",IF(Tabla1[[#This Row],[|]]&gt;=-14,"POR VENCER","OK"))</f>
        <v>OK</v>
      </c>
      <c r="P142" s="95" t="s">
        <v>3337</v>
      </c>
      <c r="Q142" s="95" t="s">
        <v>312</v>
      </c>
      <c r="R142" s="93" t="s">
        <v>317</v>
      </c>
      <c r="S142" s="93"/>
      <c r="T142" s="93"/>
      <c r="U142" s="93"/>
      <c r="V142" s="93" t="s">
        <v>282</v>
      </c>
      <c r="W142" s="97" t="s">
        <v>2776</v>
      </c>
      <c r="X142" s="204" t="s">
        <v>2819</v>
      </c>
    </row>
    <row r="143" spans="1:24" s="63" customFormat="1" ht="32.25" customHeight="1" x14ac:dyDescent="0.2">
      <c r="A143" s="202">
        <v>165</v>
      </c>
      <c r="B143" s="88" t="s">
        <v>279</v>
      </c>
      <c r="C143" s="89">
        <v>165</v>
      </c>
      <c r="D143" s="88" t="str">
        <f t="shared" si="7"/>
        <v>SUPERMIX165</v>
      </c>
      <c r="E143" s="105" t="s">
        <v>231</v>
      </c>
      <c r="F143" s="58" t="s">
        <v>232</v>
      </c>
      <c r="G143" s="88"/>
      <c r="H143" s="99"/>
      <c r="I143" s="99" t="s">
        <v>3787</v>
      </c>
      <c r="J143" s="92"/>
      <c r="K143" s="88"/>
      <c r="L143" s="91"/>
      <c r="M143" s="91"/>
      <c r="N143" s="88">
        <f t="shared" ca="1" si="6"/>
        <v>46187</v>
      </c>
      <c r="O143" s="84" t="str">
        <f ca="1">IF(Tabla1[[#This Row],[|]]&gt;=0,"VENCIDA",IF(Tabla1[[#This Row],[|]]&gt;=-14,"POR VENCER","OK"))</f>
        <v>VENCIDA</v>
      </c>
      <c r="P143" s="90" t="s">
        <v>597</v>
      </c>
      <c r="Q143" s="90" t="s">
        <v>312</v>
      </c>
      <c r="R143" s="88"/>
      <c r="S143" s="88"/>
      <c r="T143" s="88"/>
      <c r="U143" s="88"/>
      <c r="V143" s="88"/>
      <c r="W143" s="92"/>
      <c r="X143" s="92"/>
    </row>
    <row r="144" spans="1:24" s="63" customFormat="1" ht="32.25" customHeight="1" x14ac:dyDescent="0.2">
      <c r="A144" s="202">
        <v>166</v>
      </c>
      <c r="B144" s="88" t="s">
        <v>279</v>
      </c>
      <c r="C144" s="89">
        <v>166</v>
      </c>
      <c r="D144" s="88" t="str">
        <f t="shared" si="7"/>
        <v>SUPERMIX166</v>
      </c>
      <c r="E144" s="105" t="s">
        <v>233</v>
      </c>
      <c r="F144" s="58" t="s">
        <v>20</v>
      </c>
      <c r="G144" s="88"/>
      <c r="H144" s="90"/>
      <c r="I144" s="90" t="s">
        <v>3787</v>
      </c>
      <c r="J144" s="58"/>
      <c r="K144" s="88"/>
      <c r="L144" s="91"/>
      <c r="M144" s="91"/>
      <c r="N144" s="88">
        <f t="shared" ca="1" si="6"/>
        <v>46187</v>
      </c>
      <c r="O144" s="84" t="str">
        <f ca="1">IF(Tabla1[[#This Row],[|]]&gt;=0,"VENCIDA",IF(Tabla1[[#This Row],[|]]&gt;=-14,"POR VENCER","OK"))</f>
        <v>VENCIDA</v>
      </c>
      <c r="P144" s="90" t="s">
        <v>597</v>
      </c>
      <c r="Q144" s="90" t="s">
        <v>312</v>
      </c>
      <c r="R144" s="88"/>
      <c r="S144" s="88"/>
      <c r="T144" s="88"/>
      <c r="U144" s="88"/>
      <c r="V144" s="88"/>
      <c r="W144" s="92"/>
      <c r="X144" s="92"/>
    </row>
    <row r="145" spans="1:24" s="63" customFormat="1" ht="32.25" customHeight="1" x14ac:dyDescent="0.2">
      <c r="A145" s="202">
        <v>167</v>
      </c>
      <c r="B145" s="88" t="s">
        <v>279</v>
      </c>
      <c r="C145" s="89">
        <v>167</v>
      </c>
      <c r="D145" s="88" t="str">
        <f t="shared" si="7"/>
        <v>SUPERMIX167</v>
      </c>
      <c r="E145" s="105" t="s">
        <v>361</v>
      </c>
      <c r="F145" s="58" t="s">
        <v>362</v>
      </c>
      <c r="G145" s="88" t="s">
        <v>25</v>
      </c>
      <c r="H145" s="90">
        <v>29554234</v>
      </c>
      <c r="I145" s="90" t="s">
        <v>3787</v>
      </c>
      <c r="J145" s="58" t="s">
        <v>363</v>
      </c>
      <c r="K145" s="88" t="s">
        <v>281</v>
      </c>
      <c r="L145" s="91">
        <v>37656</v>
      </c>
      <c r="M145" s="91">
        <v>41250</v>
      </c>
      <c r="N145" s="88">
        <f t="shared" ca="1" si="6"/>
        <v>4937</v>
      </c>
      <c r="O145" s="84" t="str">
        <f ca="1">IF(Tabla1[[#This Row],[|]]&gt;=0,"VENCIDA",IF(Tabla1[[#This Row],[|]]&gt;=-14,"POR VENCER","OK"))</f>
        <v>VENCIDA</v>
      </c>
      <c r="P145" s="90" t="s">
        <v>323</v>
      </c>
      <c r="Q145" s="90" t="s">
        <v>312</v>
      </c>
      <c r="R145" s="88" t="s">
        <v>317</v>
      </c>
      <c r="S145" s="88"/>
      <c r="T145" s="88"/>
      <c r="U145" s="88"/>
      <c r="V145" s="90" t="s">
        <v>352</v>
      </c>
      <c r="W145" s="92" t="s">
        <v>353</v>
      </c>
      <c r="X145" s="92"/>
    </row>
    <row r="146" spans="1:24" s="63" customFormat="1" ht="32.25" customHeight="1" x14ac:dyDescent="0.2">
      <c r="A146" s="202">
        <v>168</v>
      </c>
      <c r="B146" s="88" t="s">
        <v>279</v>
      </c>
      <c r="C146" s="89">
        <v>168</v>
      </c>
      <c r="D146" s="88" t="str">
        <f t="shared" si="7"/>
        <v>SUPERMIX168</v>
      </c>
      <c r="E146" s="105" t="s">
        <v>404</v>
      </c>
      <c r="F146" s="58" t="s">
        <v>405</v>
      </c>
      <c r="G146" s="88" t="s">
        <v>25</v>
      </c>
      <c r="H146" s="90">
        <v>29538681</v>
      </c>
      <c r="I146" s="90" t="s">
        <v>3787</v>
      </c>
      <c r="J146" s="58"/>
      <c r="K146" s="88"/>
      <c r="L146" s="91"/>
      <c r="M146" s="91"/>
      <c r="N146" s="88">
        <f t="shared" ref="N146:N209" ca="1" si="8">TODAY()-M146</f>
        <v>46187</v>
      </c>
      <c r="O146" s="84" t="str">
        <f ca="1">IF(Tabla1[[#This Row],[|]]&gt;=0,"VENCIDA",IF(Tabla1[[#This Row],[|]]&gt;=-14,"POR VENCER","OK"))</f>
        <v>VENCIDA</v>
      </c>
      <c r="P146" s="90" t="s">
        <v>390</v>
      </c>
      <c r="Q146" s="90" t="s">
        <v>312</v>
      </c>
      <c r="R146" s="88"/>
      <c r="S146" s="88"/>
      <c r="T146" s="88"/>
      <c r="U146" s="88"/>
      <c r="V146" s="90" t="s">
        <v>282</v>
      </c>
      <c r="W146" s="92" t="s">
        <v>299</v>
      </c>
      <c r="X146" s="203"/>
    </row>
    <row r="147" spans="1:24" s="63" customFormat="1" ht="32.25" customHeight="1" x14ac:dyDescent="0.2">
      <c r="A147" s="202">
        <v>169</v>
      </c>
      <c r="B147" s="88" t="s">
        <v>279</v>
      </c>
      <c r="C147" s="89">
        <v>169</v>
      </c>
      <c r="D147" s="88" t="str">
        <f t="shared" si="7"/>
        <v>SUPERMIX169</v>
      </c>
      <c r="E147" s="105" t="s">
        <v>234</v>
      </c>
      <c r="F147" s="58" t="s">
        <v>235</v>
      </c>
      <c r="G147" s="88" t="s">
        <v>25</v>
      </c>
      <c r="H147" s="90">
        <v>29634016</v>
      </c>
      <c r="I147" s="90" t="s">
        <v>3787</v>
      </c>
      <c r="J147" s="58" t="s">
        <v>425</v>
      </c>
      <c r="K147" s="88" t="s">
        <v>293</v>
      </c>
      <c r="L147" s="91">
        <v>40297</v>
      </c>
      <c r="M147" s="91">
        <v>41393</v>
      </c>
      <c r="N147" s="88">
        <f t="shared" ca="1" si="8"/>
        <v>4794</v>
      </c>
      <c r="O147" s="84" t="str">
        <f ca="1">IF(Tabla1[[#This Row],[|]]&gt;=0,"VENCIDA",IF(Tabla1[[#This Row],[|]]&gt;=-14,"POR VENCER","OK"))</f>
        <v>VENCIDA</v>
      </c>
      <c r="P147" s="90" t="s">
        <v>417</v>
      </c>
      <c r="Q147" s="90" t="s">
        <v>312</v>
      </c>
      <c r="R147" s="88" t="s">
        <v>317</v>
      </c>
      <c r="S147" s="88"/>
      <c r="T147" s="88"/>
      <c r="U147" s="88"/>
      <c r="V147" s="88" t="s">
        <v>423</v>
      </c>
      <c r="W147" s="92" t="s">
        <v>416</v>
      </c>
      <c r="X147" s="203">
        <v>16.5</v>
      </c>
    </row>
    <row r="148" spans="1:24" s="63" customFormat="1" ht="32.25" customHeight="1" x14ac:dyDescent="0.2">
      <c r="A148" s="202">
        <v>170</v>
      </c>
      <c r="B148" s="88" t="s">
        <v>279</v>
      </c>
      <c r="C148" s="89">
        <v>170</v>
      </c>
      <c r="D148" s="88" t="str">
        <f t="shared" si="7"/>
        <v>SUPERMIX170</v>
      </c>
      <c r="E148" s="105" t="s">
        <v>236</v>
      </c>
      <c r="F148" s="58" t="s">
        <v>237</v>
      </c>
      <c r="G148" s="88" t="s">
        <v>25</v>
      </c>
      <c r="H148" s="99">
        <v>29567451</v>
      </c>
      <c r="I148" s="99" t="s">
        <v>3787</v>
      </c>
      <c r="J148" s="58" t="s">
        <v>1751</v>
      </c>
      <c r="K148" s="88" t="s">
        <v>281</v>
      </c>
      <c r="L148" s="91">
        <v>38472</v>
      </c>
      <c r="M148" s="91">
        <v>43998</v>
      </c>
      <c r="N148" s="88">
        <f t="shared" ca="1" si="8"/>
        <v>2189</v>
      </c>
      <c r="O148" s="84" t="str">
        <f ca="1">IF(Tabla1[[#This Row],[|]]&gt;=0,"VENCIDA",IF(Tabla1[[#This Row],[|]]&gt;=-14,"POR VENCER","OK"))</f>
        <v>VENCIDA</v>
      </c>
      <c r="P148" s="90" t="s">
        <v>2117</v>
      </c>
      <c r="Q148" s="90" t="s">
        <v>312</v>
      </c>
      <c r="R148" s="88" t="s">
        <v>317</v>
      </c>
      <c r="S148" s="88"/>
      <c r="T148" s="88"/>
      <c r="U148" s="88"/>
      <c r="V148" s="88" t="s">
        <v>668</v>
      </c>
      <c r="W148" s="92" t="s">
        <v>1112</v>
      </c>
      <c r="X148" s="92"/>
    </row>
    <row r="149" spans="1:24" s="63" customFormat="1" ht="32.25" customHeight="1" x14ac:dyDescent="0.2">
      <c r="A149" s="202">
        <v>171</v>
      </c>
      <c r="B149" s="88" t="s">
        <v>279</v>
      </c>
      <c r="C149" s="89">
        <v>171</v>
      </c>
      <c r="D149" s="88" t="str">
        <f t="shared" si="7"/>
        <v>SUPERMIX171</v>
      </c>
      <c r="E149" s="105" t="s">
        <v>238</v>
      </c>
      <c r="F149" s="58" t="s">
        <v>239</v>
      </c>
      <c r="G149" s="88" t="s">
        <v>2073</v>
      </c>
      <c r="H149" s="90" t="s">
        <v>2074</v>
      </c>
      <c r="I149" s="90" t="s">
        <v>3787</v>
      </c>
      <c r="J149" s="92" t="s">
        <v>2075</v>
      </c>
      <c r="K149" s="88" t="s">
        <v>1954</v>
      </c>
      <c r="L149" s="91">
        <v>36041</v>
      </c>
      <c r="M149" s="91">
        <v>43741</v>
      </c>
      <c r="N149" s="88">
        <f t="shared" ca="1" si="8"/>
        <v>2446</v>
      </c>
      <c r="O149" s="84" t="str">
        <f ca="1">IF(Tabla1[[#This Row],[|]]&gt;=0,"VENCIDA",IF(Tabla1[[#This Row],[|]]&gt;=-14,"POR VENCER","OK"))</f>
        <v>VENCIDA</v>
      </c>
      <c r="P149" s="90" t="s">
        <v>760</v>
      </c>
      <c r="Q149" s="90" t="s">
        <v>312</v>
      </c>
      <c r="R149" s="88" t="s">
        <v>17</v>
      </c>
      <c r="S149" s="88"/>
      <c r="T149" s="88"/>
      <c r="U149" s="88"/>
      <c r="V149" s="88" t="s">
        <v>2076</v>
      </c>
      <c r="W149" s="92" t="s">
        <v>299</v>
      </c>
      <c r="X149" s="92"/>
    </row>
    <row r="150" spans="1:24" s="63" customFormat="1" ht="32.25" customHeight="1" x14ac:dyDescent="0.2">
      <c r="A150" s="202">
        <v>172</v>
      </c>
      <c r="B150" s="88" t="s">
        <v>279</v>
      </c>
      <c r="C150" s="89">
        <v>172</v>
      </c>
      <c r="D150" s="88" t="str">
        <f t="shared" si="7"/>
        <v>SUPERMIX172</v>
      </c>
      <c r="E150" s="105" t="s">
        <v>240</v>
      </c>
      <c r="F150" s="58" t="s">
        <v>24</v>
      </c>
      <c r="G150" s="88"/>
      <c r="H150" s="90"/>
      <c r="I150" s="90" t="s">
        <v>3787</v>
      </c>
      <c r="J150" s="92"/>
      <c r="K150" s="88"/>
      <c r="L150" s="91"/>
      <c r="M150" s="91"/>
      <c r="N150" s="88">
        <f t="shared" ca="1" si="8"/>
        <v>46187</v>
      </c>
      <c r="O150" s="84" t="str">
        <f ca="1">IF(Tabla1[[#This Row],[|]]&gt;=0,"VENCIDA",IF(Tabla1[[#This Row],[|]]&gt;=-14,"POR VENCER","OK"))</f>
        <v>VENCIDA</v>
      </c>
      <c r="P150" s="90" t="s">
        <v>597</v>
      </c>
      <c r="Q150" s="90" t="s">
        <v>312</v>
      </c>
      <c r="R150" s="88"/>
      <c r="S150" s="88"/>
      <c r="T150" s="88"/>
      <c r="U150" s="88"/>
      <c r="V150" s="88"/>
      <c r="W150" s="92"/>
      <c r="X150" s="92"/>
    </row>
    <row r="151" spans="1:24" s="63" customFormat="1" ht="32.25" customHeight="1" x14ac:dyDescent="0.2">
      <c r="A151" s="202">
        <v>174</v>
      </c>
      <c r="B151" s="88" t="s">
        <v>279</v>
      </c>
      <c r="C151" s="89">
        <v>174</v>
      </c>
      <c r="D151" s="88" t="str">
        <f t="shared" si="7"/>
        <v>SUPERMIX174</v>
      </c>
      <c r="E151" s="105" t="s">
        <v>241</v>
      </c>
      <c r="F151" s="58" t="s">
        <v>242</v>
      </c>
      <c r="G151" s="88"/>
      <c r="H151" s="118"/>
      <c r="I151" s="118" t="s">
        <v>3787</v>
      </c>
      <c r="J151" s="58"/>
      <c r="K151" s="88"/>
      <c r="L151" s="91"/>
      <c r="M151" s="91"/>
      <c r="N151" s="88">
        <f t="shared" ca="1" si="8"/>
        <v>46187</v>
      </c>
      <c r="O151" s="84" t="str">
        <f ca="1">IF(Tabla1[[#This Row],[|]]&gt;=0,"VENCIDA",IF(Tabla1[[#This Row],[|]]&gt;=-14,"POR VENCER","OK"))</f>
        <v>VENCIDA</v>
      </c>
      <c r="P151" s="90" t="s">
        <v>597</v>
      </c>
      <c r="Q151" s="90" t="s">
        <v>312</v>
      </c>
      <c r="R151" s="88"/>
      <c r="S151" s="88"/>
      <c r="T151" s="88"/>
      <c r="U151" s="88"/>
      <c r="V151" s="88"/>
      <c r="W151" s="92"/>
      <c r="X151" s="92"/>
    </row>
    <row r="152" spans="1:24" s="63" customFormat="1" ht="32.25" customHeight="1" x14ac:dyDescent="0.2">
      <c r="A152" s="202">
        <v>175</v>
      </c>
      <c r="B152" s="88" t="s">
        <v>279</v>
      </c>
      <c r="C152" s="89">
        <v>175</v>
      </c>
      <c r="D152" s="88" t="str">
        <f t="shared" si="7"/>
        <v>SUPERMIX175</v>
      </c>
      <c r="E152" s="105" t="s">
        <v>243</v>
      </c>
      <c r="F152" s="58" t="s">
        <v>244</v>
      </c>
      <c r="G152" s="88" t="s">
        <v>25</v>
      </c>
      <c r="H152" s="90">
        <v>29416254</v>
      </c>
      <c r="I152" s="90" t="s">
        <v>3787</v>
      </c>
      <c r="J152" s="92" t="s">
        <v>421</v>
      </c>
      <c r="K152" s="88" t="s">
        <v>281</v>
      </c>
      <c r="L152" s="91">
        <v>36881</v>
      </c>
      <c r="M152" s="91">
        <v>42056</v>
      </c>
      <c r="N152" s="88">
        <f t="shared" ca="1" si="8"/>
        <v>4131</v>
      </c>
      <c r="O152" s="84" t="str">
        <f ca="1">IF(Tabla1[[#This Row],[|]]&gt;=0,"VENCIDA",IF(Tabla1[[#This Row],[|]]&gt;=-14,"POR VENCER","OK"))</f>
        <v>VENCIDA</v>
      </c>
      <c r="P152" s="90" t="s">
        <v>323</v>
      </c>
      <c r="Q152" s="90" t="s">
        <v>312</v>
      </c>
      <c r="R152" s="88" t="s">
        <v>317</v>
      </c>
      <c r="S152" s="88"/>
      <c r="T152" s="88"/>
      <c r="U152" s="88"/>
      <c r="V152" s="88" t="s">
        <v>635</v>
      </c>
      <c r="W152" s="92" t="s">
        <v>416</v>
      </c>
      <c r="X152" s="203">
        <v>16</v>
      </c>
    </row>
    <row r="153" spans="1:24" s="63" customFormat="1" ht="32.25" customHeight="1" x14ac:dyDescent="0.2">
      <c r="A153" s="202">
        <v>176</v>
      </c>
      <c r="B153" s="88" t="s">
        <v>279</v>
      </c>
      <c r="C153" s="89">
        <v>176</v>
      </c>
      <c r="D153" s="88" t="str">
        <f t="shared" si="7"/>
        <v>SUPERMIX176</v>
      </c>
      <c r="E153" s="105" t="s">
        <v>245</v>
      </c>
      <c r="F153" s="58" t="s">
        <v>246</v>
      </c>
      <c r="G153" s="88" t="s">
        <v>25</v>
      </c>
      <c r="H153" s="90">
        <v>42602396</v>
      </c>
      <c r="I153" s="90" t="s">
        <v>3787</v>
      </c>
      <c r="J153" s="58" t="s">
        <v>320</v>
      </c>
      <c r="K153" s="88" t="s">
        <v>293</v>
      </c>
      <c r="L153" s="91">
        <v>40250</v>
      </c>
      <c r="M153" s="91">
        <v>41346</v>
      </c>
      <c r="N153" s="88">
        <f t="shared" ca="1" si="8"/>
        <v>4841</v>
      </c>
      <c r="O153" s="84" t="str">
        <f ca="1">IF(Tabla1[[#This Row],[|]]&gt;=0,"VENCIDA",IF(Tabla1[[#This Row],[|]]&gt;=-14,"POR VENCER","OK"))</f>
        <v>VENCIDA</v>
      </c>
      <c r="P153" s="90" t="s">
        <v>1564</v>
      </c>
      <c r="Q153" s="90" t="s">
        <v>312</v>
      </c>
      <c r="R153" s="88" t="s">
        <v>317</v>
      </c>
      <c r="S153" s="88"/>
      <c r="T153" s="88"/>
      <c r="U153" s="88"/>
      <c r="V153" s="88" t="s">
        <v>306</v>
      </c>
      <c r="W153" s="92" t="s">
        <v>377</v>
      </c>
      <c r="X153" s="203"/>
    </row>
    <row r="154" spans="1:24" s="63" customFormat="1" ht="32.25" customHeight="1" x14ac:dyDescent="0.2">
      <c r="A154" s="202">
        <v>177</v>
      </c>
      <c r="B154" s="88" t="s">
        <v>279</v>
      </c>
      <c r="C154" s="89">
        <v>177</v>
      </c>
      <c r="D154" s="88" t="str">
        <f t="shared" si="7"/>
        <v>SUPERMIX177</v>
      </c>
      <c r="E154" s="105" t="s">
        <v>247</v>
      </c>
      <c r="F154" s="58" t="s">
        <v>248</v>
      </c>
      <c r="G154" s="88" t="s">
        <v>25</v>
      </c>
      <c r="H154" s="90">
        <v>42824933</v>
      </c>
      <c r="I154" s="90" t="s">
        <v>3787</v>
      </c>
      <c r="J154" s="90" t="s">
        <v>545</v>
      </c>
      <c r="K154" s="88" t="s">
        <v>3142</v>
      </c>
      <c r="L154" s="91">
        <v>40807</v>
      </c>
      <c r="M154" s="91">
        <v>43729</v>
      </c>
      <c r="N154" s="88">
        <f t="shared" ca="1" si="8"/>
        <v>2458</v>
      </c>
      <c r="O154" s="84" t="str">
        <f ca="1">IF(Tabla1[[#This Row],[|]]&gt;=0,"VENCIDA",IF(Tabla1[[#This Row],[|]]&gt;=-14,"POR VENCER","OK"))</f>
        <v>VENCIDA</v>
      </c>
      <c r="P154" s="90" t="s">
        <v>322</v>
      </c>
      <c r="Q154" s="90" t="s">
        <v>312</v>
      </c>
      <c r="R154" s="88" t="s">
        <v>317</v>
      </c>
      <c r="S154" s="88"/>
      <c r="T154" s="88"/>
      <c r="U154" s="88"/>
      <c r="V154" s="88" t="s">
        <v>329</v>
      </c>
      <c r="W154" s="92" t="s">
        <v>330</v>
      </c>
      <c r="X154" s="203"/>
    </row>
    <row r="155" spans="1:24" s="63" customFormat="1" ht="32.25" customHeight="1" x14ac:dyDescent="0.2">
      <c r="A155" s="202">
        <v>178</v>
      </c>
      <c r="B155" s="88" t="s">
        <v>279</v>
      </c>
      <c r="C155" s="89">
        <v>178</v>
      </c>
      <c r="D155" s="88" t="str">
        <f t="shared" si="7"/>
        <v>SUPERMIX178</v>
      </c>
      <c r="E155" s="105" t="s">
        <v>249</v>
      </c>
      <c r="F155" s="58" t="s">
        <v>19</v>
      </c>
      <c r="G155" s="88"/>
      <c r="H155" s="118"/>
      <c r="I155" s="118" t="s">
        <v>3787</v>
      </c>
      <c r="J155" s="58"/>
      <c r="K155" s="88"/>
      <c r="L155" s="91"/>
      <c r="M155" s="91"/>
      <c r="N155" s="88">
        <f t="shared" ca="1" si="8"/>
        <v>46187</v>
      </c>
      <c r="O155" s="84" t="str">
        <f ca="1">IF(Tabla1[[#This Row],[|]]&gt;=0,"VENCIDA",IF(Tabla1[[#This Row],[|]]&gt;=-14,"POR VENCER","OK"))</f>
        <v>VENCIDA</v>
      </c>
      <c r="P155" s="90" t="s">
        <v>597</v>
      </c>
      <c r="Q155" s="90" t="s">
        <v>312</v>
      </c>
      <c r="R155" s="88"/>
      <c r="S155" s="88"/>
      <c r="T155" s="88"/>
      <c r="U155" s="88"/>
      <c r="V155" s="88"/>
      <c r="W155" s="92"/>
      <c r="X155" s="92"/>
    </row>
    <row r="156" spans="1:24" s="63" customFormat="1" ht="32.25" customHeight="1" x14ac:dyDescent="0.2">
      <c r="A156" s="202">
        <v>179</v>
      </c>
      <c r="B156" s="88" t="s">
        <v>279</v>
      </c>
      <c r="C156" s="89">
        <v>179</v>
      </c>
      <c r="D156" s="88" t="str">
        <f t="shared" si="7"/>
        <v>SUPERMIX179</v>
      </c>
      <c r="E156" s="105" t="s">
        <v>250</v>
      </c>
      <c r="F156" s="58" t="s">
        <v>251</v>
      </c>
      <c r="G156" s="88" t="s">
        <v>25</v>
      </c>
      <c r="H156" s="99">
        <v>29329012</v>
      </c>
      <c r="I156" s="99" t="s">
        <v>3787</v>
      </c>
      <c r="J156" s="92" t="s">
        <v>644</v>
      </c>
      <c r="K156" s="88" t="s">
        <v>281</v>
      </c>
      <c r="L156" s="91">
        <v>33429</v>
      </c>
      <c r="M156" s="91">
        <v>41343</v>
      </c>
      <c r="N156" s="88">
        <f t="shared" ca="1" si="8"/>
        <v>4844</v>
      </c>
      <c r="O156" s="84" t="str">
        <f ca="1">IF(Tabla1[[#This Row],[|]]&gt;=0,"VENCIDA",IF(Tabla1[[#This Row],[|]]&gt;=-14,"POR VENCER","OK"))</f>
        <v>VENCIDA</v>
      </c>
      <c r="P156" s="90" t="s">
        <v>597</v>
      </c>
      <c r="Q156" s="90" t="s">
        <v>312</v>
      </c>
      <c r="R156" s="88" t="s">
        <v>317</v>
      </c>
      <c r="S156" s="88"/>
      <c r="T156" s="88"/>
      <c r="U156" s="88"/>
      <c r="V156" s="88" t="s">
        <v>282</v>
      </c>
      <c r="W156" s="92" t="s">
        <v>471</v>
      </c>
      <c r="X156" s="92"/>
    </row>
    <row r="157" spans="1:24" s="43" customFormat="1" ht="32.25" customHeight="1" x14ac:dyDescent="0.2">
      <c r="A157" s="42">
        <v>180</v>
      </c>
      <c r="B157" s="93" t="s">
        <v>279</v>
      </c>
      <c r="C157" s="94">
        <v>180</v>
      </c>
      <c r="D157" s="93" t="str">
        <f t="shared" si="7"/>
        <v>SUPERMIX180</v>
      </c>
      <c r="E157" s="166" t="s">
        <v>252</v>
      </c>
      <c r="F157" s="115" t="s">
        <v>253</v>
      </c>
      <c r="G157" s="93" t="s">
        <v>2825</v>
      </c>
      <c r="H157" s="95">
        <v>29471489</v>
      </c>
      <c r="I157" s="95" t="s">
        <v>3788</v>
      </c>
      <c r="J157" s="93" t="s">
        <v>315</v>
      </c>
      <c r="K157" s="93" t="s">
        <v>3443</v>
      </c>
      <c r="L157" s="96">
        <v>29739</v>
      </c>
      <c r="M157" s="119">
        <v>46672</v>
      </c>
      <c r="N157" s="88">
        <f t="shared" ca="1" si="8"/>
        <v>-485</v>
      </c>
      <c r="O157" s="84" t="str">
        <f ca="1">IF(Tabla1[[#This Row],[|]]&gt;=0,"VENCIDA",IF(Tabla1[[#This Row],[|]]&gt;=-14,"POR VENCER","OK"))</f>
        <v>OK</v>
      </c>
      <c r="P157" s="95" t="s">
        <v>2917</v>
      </c>
      <c r="Q157" s="95" t="s">
        <v>312</v>
      </c>
      <c r="R157" s="93" t="s">
        <v>317</v>
      </c>
      <c r="S157" s="93"/>
      <c r="T157" s="93"/>
      <c r="U157" s="93"/>
      <c r="V157" s="95" t="s">
        <v>668</v>
      </c>
      <c r="W157" s="97" t="s">
        <v>1017</v>
      </c>
      <c r="X157" s="204" t="s">
        <v>597</v>
      </c>
    </row>
    <row r="158" spans="1:24" s="63" customFormat="1" ht="32.25" customHeight="1" x14ac:dyDescent="0.2">
      <c r="A158" s="202">
        <v>181</v>
      </c>
      <c r="B158" s="88" t="s">
        <v>279</v>
      </c>
      <c r="C158" s="89">
        <v>181</v>
      </c>
      <c r="D158" s="88" t="str">
        <f t="shared" si="7"/>
        <v>SUPERMIX181</v>
      </c>
      <c r="E158" s="105" t="s">
        <v>254</v>
      </c>
      <c r="F158" s="58" t="s">
        <v>255</v>
      </c>
      <c r="G158" s="88" t="s">
        <v>25</v>
      </c>
      <c r="H158" s="88">
        <v>40081682</v>
      </c>
      <c r="I158" s="88" t="s">
        <v>3787</v>
      </c>
      <c r="J158" s="92" t="s">
        <v>288</v>
      </c>
      <c r="K158" s="88" t="s">
        <v>281</v>
      </c>
      <c r="L158" s="91">
        <v>38386</v>
      </c>
      <c r="M158" s="91">
        <v>40965</v>
      </c>
      <c r="N158" s="88">
        <f t="shared" ca="1" si="8"/>
        <v>5222</v>
      </c>
      <c r="O158" s="84" t="str">
        <f ca="1">IF(Tabla1[[#This Row],[|]]&gt;=0,"VENCIDA",IF(Tabla1[[#This Row],[|]]&gt;=-14,"POR VENCER","OK"))</f>
        <v>VENCIDA</v>
      </c>
      <c r="P158" s="90" t="s">
        <v>597</v>
      </c>
      <c r="Q158" s="90" t="s">
        <v>312</v>
      </c>
      <c r="R158" s="88" t="s">
        <v>317</v>
      </c>
      <c r="S158" s="88"/>
      <c r="T158" s="88"/>
      <c r="U158" s="88"/>
      <c r="V158" s="88" t="s">
        <v>282</v>
      </c>
      <c r="W158" s="92" t="s">
        <v>299</v>
      </c>
      <c r="X158" s="203">
        <v>20</v>
      </c>
    </row>
    <row r="159" spans="1:24" s="44" customFormat="1" ht="32.25" customHeight="1" x14ac:dyDescent="0.2">
      <c r="A159" s="42">
        <v>182</v>
      </c>
      <c r="B159" s="93" t="s">
        <v>279</v>
      </c>
      <c r="C159" s="94">
        <v>182</v>
      </c>
      <c r="D159" s="93" t="str">
        <f t="shared" si="7"/>
        <v>SUPERMIX182</v>
      </c>
      <c r="E159" s="115" t="s">
        <v>256</v>
      </c>
      <c r="F159" s="115" t="s">
        <v>257</v>
      </c>
      <c r="G159" s="93" t="s">
        <v>25</v>
      </c>
      <c r="H159" s="93" t="s">
        <v>374</v>
      </c>
      <c r="I159" s="93" t="s">
        <v>3788</v>
      </c>
      <c r="J159" s="93" t="s">
        <v>3783</v>
      </c>
      <c r="K159" s="93" t="s">
        <v>281</v>
      </c>
      <c r="L159" s="93">
        <v>36850</v>
      </c>
      <c r="M159" s="96">
        <v>45630</v>
      </c>
      <c r="N159" s="88">
        <f t="shared" ca="1" si="8"/>
        <v>557</v>
      </c>
      <c r="O159" s="84" t="str">
        <f ca="1">IF(Tabla1[[#This Row],[|]]&gt;=0,"VENCIDA",IF(Tabla1[[#This Row],[|]]&gt;=-14,"POR VENCER","OK"))</f>
        <v>VENCIDA</v>
      </c>
      <c r="P159" s="120" t="s">
        <v>597</v>
      </c>
      <c r="Q159" s="120" t="s">
        <v>312</v>
      </c>
      <c r="R159" s="121"/>
      <c r="S159" s="121"/>
      <c r="T159" s="121"/>
      <c r="U159" s="121"/>
      <c r="V159" s="120" t="s">
        <v>372</v>
      </c>
      <c r="W159" s="122" t="s">
        <v>373</v>
      </c>
      <c r="X159" s="206"/>
    </row>
    <row r="160" spans="1:24" s="43" customFormat="1" ht="32.25" customHeight="1" x14ac:dyDescent="0.2">
      <c r="A160" s="42">
        <v>183</v>
      </c>
      <c r="B160" s="93" t="s">
        <v>279</v>
      </c>
      <c r="C160" s="94">
        <v>183</v>
      </c>
      <c r="D160" s="93" t="str">
        <f t="shared" si="7"/>
        <v>SUPERMIX183</v>
      </c>
      <c r="E160" s="166" t="s">
        <v>258</v>
      </c>
      <c r="F160" s="115" t="s">
        <v>259</v>
      </c>
      <c r="G160" s="93" t="s">
        <v>25</v>
      </c>
      <c r="H160" s="95">
        <v>29580564</v>
      </c>
      <c r="I160" s="95" t="s">
        <v>3788</v>
      </c>
      <c r="J160" s="93" t="s">
        <v>541</v>
      </c>
      <c r="K160" s="93" t="s">
        <v>293</v>
      </c>
      <c r="L160" s="96">
        <v>40385</v>
      </c>
      <c r="M160" s="96">
        <v>46531</v>
      </c>
      <c r="N160" s="88">
        <f t="shared" ca="1" si="8"/>
        <v>-344</v>
      </c>
      <c r="O160" s="84" t="str">
        <f ca="1">IF(Tabla1[[#This Row],[|]]&gt;=0,"VENCIDA",IF(Tabla1[[#This Row],[|]]&gt;=-14,"POR VENCER","OK"))</f>
        <v>OK</v>
      </c>
      <c r="P160" s="95" t="s">
        <v>3692</v>
      </c>
      <c r="Q160" s="95" t="s">
        <v>312</v>
      </c>
      <c r="R160" s="93" t="s">
        <v>317</v>
      </c>
      <c r="S160" s="93"/>
      <c r="T160" s="93"/>
      <c r="U160" s="93"/>
      <c r="V160" s="93" t="s">
        <v>1939</v>
      </c>
      <c r="W160" s="97" t="s">
        <v>3690</v>
      </c>
      <c r="X160" s="204" t="s">
        <v>624</v>
      </c>
    </row>
    <row r="161" spans="1:24" s="63" customFormat="1" ht="32.25" customHeight="1" x14ac:dyDescent="0.2">
      <c r="A161" s="202">
        <v>184</v>
      </c>
      <c r="B161" s="88" t="s">
        <v>279</v>
      </c>
      <c r="C161" s="89">
        <v>184</v>
      </c>
      <c r="D161" s="88" t="str">
        <f t="shared" si="7"/>
        <v>SUPERMIX184</v>
      </c>
      <c r="E161" s="105" t="s">
        <v>260</v>
      </c>
      <c r="F161" s="58" t="s">
        <v>261</v>
      </c>
      <c r="G161" s="88" t="s">
        <v>25</v>
      </c>
      <c r="H161" s="90">
        <v>42679473</v>
      </c>
      <c r="I161" s="90" t="s">
        <v>3787</v>
      </c>
      <c r="J161" s="88" t="s">
        <v>540</v>
      </c>
      <c r="K161" s="88" t="s">
        <v>281</v>
      </c>
      <c r="L161" s="91">
        <v>41864</v>
      </c>
      <c r="M161" s="91">
        <v>44052</v>
      </c>
      <c r="N161" s="88">
        <f t="shared" ca="1" si="8"/>
        <v>2135</v>
      </c>
      <c r="O161" s="84" t="str">
        <f ca="1">IF(Tabla1[[#This Row],[|]]&gt;=0,"VENCIDA",IF(Tabla1[[#This Row],[|]]&gt;=-14,"POR VENCER","OK"))</f>
        <v>VENCIDA</v>
      </c>
      <c r="P161" s="90" t="s">
        <v>1503</v>
      </c>
      <c r="Q161" s="90" t="s">
        <v>312</v>
      </c>
      <c r="R161" s="88" t="s">
        <v>317</v>
      </c>
      <c r="S161" s="88"/>
      <c r="T161" s="88"/>
      <c r="U161" s="88"/>
      <c r="V161" s="88" t="s">
        <v>334</v>
      </c>
      <c r="W161" s="92" t="s">
        <v>971</v>
      </c>
      <c r="X161" s="203">
        <v>19</v>
      </c>
    </row>
    <row r="162" spans="1:24" s="63" customFormat="1" ht="32.25" customHeight="1" x14ac:dyDescent="0.2">
      <c r="A162" s="202">
        <v>185</v>
      </c>
      <c r="B162" s="88" t="s">
        <v>279</v>
      </c>
      <c r="C162" s="89">
        <v>185</v>
      </c>
      <c r="D162" s="88" t="str">
        <f t="shared" si="7"/>
        <v>SUPERMIX185</v>
      </c>
      <c r="E162" s="105" t="s">
        <v>262</v>
      </c>
      <c r="F162" s="58" t="s">
        <v>263</v>
      </c>
      <c r="G162" s="88"/>
      <c r="H162" s="90"/>
      <c r="I162" s="90" t="s">
        <v>3787</v>
      </c>
      <c r="J162" s="58"/>
      <c r="K162" s="88"/>
      <c r="L162" s="91"/>
      <c r="M162" s="91"/>
      <c r="N162" s="88">
        <f t="shared" ca="1" si="8"/>
        <v>46187</v>
      </c>
      <c r="O162" s="84" t="str">
        <f ca="1">IF(Tabla1[[#This Row],[|]]&gt;=0,"VENCIDA",IF(Tabla1[[#This Row],[|]]&gt;=-14,"POR VENCER","OK"))</f>
        <v>VENCIDA</v>
      </c>
      <c r="P162" s="90" t="s">
        <v>597</v>
      </c>
      <c r="Q162" s="90" t="s">
        <v>312</v>
      </c>
      <c r="R162" s="88"/>
      <c r="S162" s="88"/>
      <c r="T162" s="88"/>
      <c r="U162" s="88"/>
      <c r="V162" s="88"/>
      <c r="W162" s="92"/>
      <c r="X162" s="92"/>
    </row>
    <row r="163" spans="1:24" s="63" customFormat="1" ht="32.25" customHeight="1" x14ac:dyDescent="0.2">
      <c r="A163" s="202">
        <v>186</v>
      </c>
      <c r="B163" s="88" t="s">
        <v>279</v>
      </c>
      <c r="C163" s="89">
        <v>186</v>
      </c>
      <c r="D163" s="88" t="str">
        <f t="shared" si="7"/>
        <v>SUPERMIX186</v>
      </c>
      <c r="E163" s="105" t="s">
        <v>264</v>
      </c>
      <c r="F163" s="58" t="s">
        <v>265</v>
      </c>
      <c r="G163" s="88"/>
      <c r="H163" s="90"/>
      <c r="I163" s="90" t="s">
        <v>3787</v>
      </c>
      <c r="J163" s="92"/>
      <c r="K163" s="88"/>
      <c r="L163" s="91"/>
      <c r="M163" s="91"/>
      <c r="N163" s="88">
        <f t="shared" ca="1" si="8"/>
        <v>46187</v>
      </c>
      <c r="O163" s="84" t="str">
        <f ca="1">IF(Tabla1[[#This Row],[|]]&gt;=0,"VENCIDA",IF(Tabla1[[#This Row],[|]]&gt;=-14,"POR VENCER","OK"))</f>
        <v>VENCIDA</v>
      </c>
      <c r="P163" s="90" t="s">
        <v>597</v>
      </c>
      <c r="Q163" s="90" t="s">
        <v>312</v>
      </c>
      <c r="R163" s="88"/>
      <c r="S163" s="88"/>
      <c r="T163" s="88"/>
      <c r="U163" s="88"/>
      <c r="V163" s="88"/>
      <c r="W163" s="92"/>
      <c r="X163" s="92"/>
    </row>
    <row r="164" spans="1:24" s="63" customFormat="1" ht="32.25" customHeight="1" x14ac:dyDescent="0.2">
      <c r="A164" s="202">
        <v>187</v>
      </c>
      <c r="B164" s="88" t="s">
        <v>279</v>
      </c>
      <c r="C164" s="89">
        <v>187</v>
      </c>
      <c r="D164" s="88" t="str">
        <f t="shared" si="7"/>
        <v>SUPERMIX187</v>
      </c>
      <c r="E164" s="105" t="s">
        <v>266</v>
      </c>
      <c r="F164" s="58" t="s">
        <v>267</v>
      </c>
      <c r="G164" s="88"/>
      <c r="H164" s="90"/>
      <c r="I164" s="90" t="s">
        <v>3787</v>
      </c>
      <c r="J164" s="88"/>
      <c r="K164" s="88"/>
      <c r="L164" s="91"/>
      <c r="M164" s="91"/>
      <c r="N164" s="88">
        <f t="shared" ca="1" si="8"/>
        <v>46187</v>
      </c>
      <c r="O164" s="84" t="str">
        <f ca="1">IF(Tabla1[[#This Row],[|]]&gt;=0,"VENCIDA",IF(Tabla1[[#This Row],[|]]&gt;=-14,"POR VENCER","OK"))</f>
        <v>VENCIDA</v>
      </c>
      <c r="P164" s="90" t="s">
        <v>597</v>
      </c>
      <c r="Q164" s="90" t="s">
        <v>312</v>
      </c>
      <c r="R164" s="88"/>
      <c r="S164" s="88"/>
      <c r="T164" s="88"/>
      <c r="U164" s="88"/>
      <c r="V164" s="88"/>
      <c r="W164" s="92"/>
      <c r="X164" s="92"/>
    </row>
    <row r="165" spans="1:24" s="63" customFormat="1" ht="32.25" customHeight="1" x14ac:dyDescent="0.2">
      <c r="A165" s="202">
        <v>188</v>
      </c>
      <c r="B165" s="88" t="s">
        <v>279</v>
      </c>
      <c r="C165" s="89">
        <v>188</v>
      </c>
      <c r="D165" s="88" t="str">
        <f t="shared" si="7"/>
        <v>SUPERMIX188</v>
      </c>
      <c r="E165" s="105" t="s">
        <v>346</v>
      </c>
      <c r="F165" s="58" t="s">
        <v>347</v>
      </c>
      <c r="G165" s="88" t="s">
        <v>25</v>
      </c>
      <c r="H165" s="90">
        <v>41405963</v>
      </c>
      <c r="I165" s="90" t="s">
        <v>3787</v>
      </c>
      <c r="J165" s="88" t="s">
        <v>348</v>
      </c>
      <c r="K165" s="88" t="s">
        <v>343</v>
      </c>
      <c r="L165" s="91">
        <v>40289</v>
      </c>
      <c r="M165" s="91">
        <v>41385</v>
      </c>
      <c r="N165" s="88">
        <f t="shared" ca="1" si="8"/>
        <v>4802</v>
      </c>
      <c r="O165" s="84" t="str">
        <f ca="1">IF(Tabla1[[#This Row],[|]]&gt;=0,"VENCIDA",IF(Tabla1[[#This Row],[|]]&gt;=-14,"POR VENCER","OK"))</f>
        <v>VENCIDA</v>
      </c>
      <c r="P165" s="90" t="s">
        <v>597</v>
      </c>
      <c r="Q165" s="90" t="s">
        <v>312</v>
      </c>
      <c r="R165" s="88" t="s">
        <v>317</v>
      </c>
      <c r="S165" s="88"/>
      <c r="T165" s="88"/>
      <c r="U165" s="88"/>
      <c r="V165" s="88" t="s">
        <v>334</v>
      </c>
      <c r="W165" s="92" t="s">
        <v>335</v>
      </c>
      <c r="X165" s="203"/>
    </row>
    <row r="166" spans="1:24" s="63" customFormat="1" ht="32.25" customHeight="1" x14ac:dyDescent="0.2">
      <c r="A166" s="202">
        <v>191</v>
      </c>
      <c r="B166" s="88" t="s">
        <v>279</v>
      </c>
      <c r="C166" s="89">
        <v>191</v>
      </c>
      <c r="D166" s="88" t="str">
        <f t="shared" si="7"/>
        <v>SUPERMIX191</v>
      </c>
      <c r="E166" s="105" t="s">
        <v>795</v>
      </c>
      <c r="F166" s="58" t="s">
        <v>796</v>
      </c>
      <c r="G166" s="88" t="s">
        <v>25</v>
      </c>
      <c r="H166" s="90">
        <v>45615221</v>
      </c>
      <c r="I166" s="90" t="s">
        <v>3787</v>
      </c>
      <c r="J166" s="58" t="s">
        <v>797</v>
      </c>
      <c r="K166" s="88" t="s">
        <v>293</v>
      </c>
      <c r="L166" s="91">
        <v>41608</v>
      </c>
      <c r="M166" s="91">
        <v>42288</v>
      </c>
      <c r="N166" s="88">
        <f t="shared" ca="1" si="8"/>
        <v>3899</v>
      </c>
      <c r="O166" s="84" t="str">
        <f ca="1">IF(Tabla1[[#This Row],[|]]&gt;=0,"VENCIDA",IF(Tabla1[[#This Row],[|]]&gt;=-14,"POR VENCER","OK"))</f>
        <v>VENCIDA</v>
      </c>
      <c r="P166" s="90" t="s">
        <v>624</v>
      </c>
      <c r="Q166" s="90" t="s">
        <v>312</v>
      </c>
      <c r="R166" s="88"/>
      <c r="S166" s="88"/>
      <c r="T166" s="88"/>
      <c r="U166" s="88"/>
      <c r="V166" s="88" t="s">
        <v>763</v>
      </c>
      <c r="W166" s="92" t="s">
        <v>416</v>
      </c>
      <c r="X166" s="203"/>
    </row>
    <row r="167" spans="1:24" s="63" customFormat="1" ht="32.25" customHeight="1" x14ac:dyDescent="0.2">
      <c r="A167" s="202">
        <v>192</v>
      </c>
      <c r="B167" s="88" t="s">
        <v>279</v>
      </c>
      <c r="C167" s="89">
        <v>192</v>
      </c>
      <c r="D167" s="88" t="str">
        <f t="shared" si="7"/>
        <v>SUPERMIX192</v>
      </c>
      <c r="E167" s="105" t="s">
        <v>798</v>
      </c>
      <c r="F167" s="58" t="s">
        <v>799</v>
      </c>
      <c r="G167" s="88" t="s">
        <v>25</v>
      </c>
      <c r="H167" s="90">
        <v>47383307</v>
      </c>
      <c r="I167" s="90" t="s">
        <v>3787</v>
      </c>
      <c r="J167" s="92" t="s">
        <v>800</v>
      </c>
      <c r="K167" s="88" t="s">
        <v>343</v>
      </c>
      <c r="L167" s="91">
        <v>41608</v>
      </c>
      <c r="M167" s="91">
        <v>42576</v>
      </c>
      <c r="N167" s="88">
        <f t="shared" ca="1" si="8"/>
        <v>3611</v>
      </c>
      <c r="O167" s="84" t="str">
        <f ca="1">IF(Tabla1[[#This Row],[|]]&gt;=0,"VENCIDA",IF(Tabla1[[#This Row],[|]]&gt;=-14,"POR VENCER","OK"))</f>
        <v>VENCIDA</v>
      </c>
      <c r="P167" s="90" t="s">
        <v>640</v>
      </c>
      <c r="Q167" s="90" t="s">
        <v>312</v>
      </c>
      <c r="R167" s="88"/>
      <c r="S167" s="88"/>
      <c r="T167" s="88"/>
      <c r="U167" s="88"/>
      <c r="V167" s="88" t="s">
        <v>801</v>
      </c>
      <c r="W167" s="92" t="s">
        <v>672</v>
      </c>
      <c r="X167" s="92"/>
    </row>
    <row r="168" spans="1:24" s="63" customFormat="1" ht="32.25" customHeight="1" x14ac:dyDescent="0.2">
      <c r="A168" s="202">
        <v>193</v>
      </c>
      <c r="B168" s="88" t="s">
        <v>279</v>
      </c>
      <c r="C168" s="89">
        <v>193</v>
      </c>
      <c r="D168" s="88" t="str">
        <f t="shared" si="7"/>
        <v>SUPERMIX193</v>
      </c>
      <c r="E168" s="105" t="s">
        <v>270</v>
      </c>
      <c r="F168" s="58" t="s">
        <v>271</v>
      </c>
      <c r="G168" s="88" t="s">
        <v>25</v>
      </c>
      <c r="H168" s="90">
        <v>42225740</v>
      </c>
      <c r="I168" s="90" t="s">
        <v>3787</v>
      </c>
      <c r="J168" s="58" t="s">
        <v>450</v>
      </c>
      <c r="K168" s="88" t="s">
        <v>3142</v>
      </c>
      <c r="L168" s="91">
        <v>41583</v>
      </c>
      <c r="M168" s="91">
        <v>42916</v>
      </c>
      <c r="N168" s="88">
        <f t="shared" ca="1" si="8"/>
        <v>3271</v>
      </c>
      <c r="O168" s="84" t="str">
        <f ca="1">IF(Tabla1[[#This Row],[|]]&gt;=0,"VENCIDA",IF(Tabla1[[#This Row],[|]]&gt;=-14,"POR VENCER","OK"))</f>
        <v>VENCIDA</v>
      </c>
      <c r="P168" s="90" t="s">
        <v>777</v>
      </c>
      <c r="Q168" s="90" t="s">
        <v>312</v>
      </c>
      <c r="R168" s="88" t="s">
        <v>17</v>
      </c>
      <c r="S168" s="88"/>
      <c r="T168" s="88"/>
      <c r="U168" s="88"/>
      <c r="V168" s="88" t="s">
        <v>329</v>
      </c>
      <c r="W168" s="92" t="s">
        <v>700</v>
      </c>
      <c r="X168" s="203">
        <v>16</v>
      </c>
    </row>
    <row r="169" spans="1:24" s="63" customFormat="1" ht="32.25" customHeight="1" x14ac:dyDescent="0.2">
      <c r="A169" s="202">
        <v>194</v>
      </c>
      <c r="B169" s="88" t="s">
        <v>279</v>
      </c>
      <c r="C169" s="89">
        <v>194</v>
      </c>
      <c r="D169" s="88" t="str">
        <f t="shared" si="7"/>
        <v>SUPERMIX194</v>
      </c>
      <c r="E169" s="105" t="s">
        <v>272</v>
      </c>
      <c r="F169" s="58" t="s">
        <v>273</v>
      </c>
      <c r="G169" s="88"/>
      <c r="H169" s="88"/>
      <c r="I169" s="88" t="s">
        <v>3787</v>
      </c>
      <c r="J169" s="88"/>
      <c r="K169" s="88"/>
      <c r="L169" s="91"/>
      <c r="M169" s="91"/>
      <c r="N169" s="88">
        <f t="shared" ca="1" si="8"/>
        <v>46187</v>
      </c>
      <c r="O169" s="84" t="str">
        <f ca="1">IF(Tabla1[[#This Row],[|]]&gt;=0,"VENCIDA",IF(Tabla1[[#This Row],[|]]&gt;=-14,"POR VENCER","OK"))</f>
        <v>VENCIDA</v>
      </c>
      <c r="P169" s="90" t="s">
        <v>597</v>
      </c>
      <c r="Q169" s="90" t="s">
        <v>312</v>
      </c>
      <c r="R169" s="88"/>
      <c r="S169" s="88"/>
      <c r="T169" s="88"/>
      <c r="U169" s="88"/>
      <c r="V169" s="88"/>
      <c r="W169" s="92"/>
      <c r="X169" s="92"/>
    </row>
    <row r="170" spans="1:24" s="63" customFormat="1" ht="32.25" customHeight="1" x14ac:dyDescent="0.2">
      <c r="A170" s="202">
        <v>195</v>
      </c>
      <c r="B170" s="88" t="s">
        <v>279</v>
      </c>
      <c r="C170" s="89">
        <v>195</v>
      </c>
      <c r="D170" s="88" t="str">
        <f t="shared" si="7"/>
        <v>SUPERMIX195</v>
      </c>
      <c r="E170" s="105" t="s">
        <v>274</v>
      </c>
      <c r="F170" s="58" t="s">
        <v>275</v>
      </c>
      <c r="G170" s="88"/>
      <c r="H170" s="90"/>
      <c r="I170" s="90" t="s">
        <v>3787</v>
      </c>
      <c r="J170" s="92"/>
      <c r="K170" s="88"/>
      <c r="L170" s="91"/>
      <c r="M170" s="91"/>
      <c r="N170" s="88">
        <f t="shared" ca="1" si="8"/>
        <v>46187</v>
      </c>
      <c r="O170" s="84" t="str">
        <f ca="1">IF(Tabla1[[#This Row],[|]]&gt;=0,"VENCIDA",IF(Tabla1[[#This Row],[|]]&gt;=-14,"POR VENCER","OK"))</f>
        <v>VENCIDA</v>
      </c>
      <c r="P170" s="90" t="s">
        <v>597</v>
      </c>
      <c r="Q170" s="90" t="s">
        <v>312</v>
      </c>
      <c r="R170" s="88"/>
      <c r="S170" s="88"/>
      <c r="T170" s="88"/>
      <c r="U170" s="88"/>
      <c r="V170" s="88"/>
      <c r="W170" s="92"/>
      <c r="X170" s="92"/>
    </row>
    <row r="171" spans="1:24" s="63" customFormat="1" ht="32.25" customHeight="1" x14ac:dyDescent="0.2">
      <c r="A171" s="202">
        <v>197</v>
      </c>
      <c r="B171" s="88" t="s">
        <v>279</v>
      </c>
      <c r="C171" s="89">
        <v>197</v>
      </c>
      <c r="D171" s="88" t="str">
        <f t="shared" si="7"/>
        <v>SUPERMIX197</v>
      </c>
      <c r="E171" s="105" t="s">
        <v>758</v>
      </c>
      <c r="F171" s="58" t="s">
        <v>759</v>
      </c>
      <c r="G171" s="88" t="s">
        <v>774</v>
      </c>
      <c r="H171" s="99">
        <v>29475138</v>
      </c>
      <c r="I171" s="99" t="s">
        <v>3787</v>
      </c>
      <c r="J171" s="88" t="s">
        <v>778</v>
      </c>
      <c r="K171" s="88" t="s">
        <v>281</v>
      </c>
      <c r="L171" s="91">
        <v>41583</v>
      </c>
      <c r="M171" s="91">
        <v>42625</v>
      </c>
      <c r="N171" s="88">
        <f t="shared" ca="1" si="8"/>
        <v>3562</v>
      </c>
      <c r="O171" s="84" t="str">
        <f ca="1">IF(Tabla1[[#This Row],[|]]&gt;=0,"VENCIDA",IF(Tabla1[[#This Row],[|]]&gt;=-14,"POR VENCER","OK"))</f>
        <v>VENCIDA</v>
      </c>
      <c r="P171" s="90" t="s">
        <v>597</v>
      </c>
      <c r="Q171" s="90" t="s">
        <v>312</v>
      </c>
      <c r="R171" s="88" t="s">
        <v>17</v>
      </c>
      <c r="S171" s="88"/>
      <c r="T171" s="88"/>
      <c r="U171" s="88"/>
      <c r="V171" s="90" t="s">
        <v>313</v>
      </c>
      <c r="W171" s="92" t="s">
        <v>751</v>
      </c>
      <c r="X171" s="92"/>
    </row>
    <row r="172" spans="1:24" s="63" customFormat="1" ht="32.25" customHeight="1" x14ac:dyDescent="0.2">
      <c r="A172" s="202">
        <v>200</v>
      </c>
      <c r="B172" s="88" t="s">
        <v>279</v>
      </c>
      <c r="C172" s="89">
        <v>200</v>
      </c>
      <c r="D172" s="88" t="str">
        <f t="shared" si="7"/>
        <v>SUPERMIX200</v>
      </c>
      <c r="E172" s="105" t="s">
        <v>276</v>
      </c>
      <c r="F172" s="58" t="s">
        <v>277</v>
      </c>
      <c r="G172" s="88" t="s">
        <v>25</v>
      </c>
      <c r="H172" s="90">
        <v>29483687</v>
      </c>
      <c r="I172" s="90" t="s">
        <v>3787</v>
      </c>
      <c r="J172" s="88" t="s">
        <v>382</v>
      </c>
      <c r="K172" s="88" t="s">
        <v>281</v>
      </c>
      <c r="L172" s="91">
        <v>41233</v>
      </c>
      <c r="M172" s="91">
        <v>41741</v>
      </c>
      <c r="N172" s="88">
        <f t="shared" ca="1" si="8"/>
        <v>4446</v>
      </c>
      <c r="O172" s="84" t="str">
        <f ca="1">IF(Tabla1[[#This Row],[|]]&gt;=0,"VENCIDA",IF(Tabla1[[#This Row],[|]]&gt;=-14,"POR VENCER","OK"))</f>
        <v>VENCIDA</v>
      </c>
      <c r="P172" s="90" t="s">
        <v>597</v>
      </c>
      <c r="Q172" s="90" t="s">
        <v>312</v>
      </c>
      <c r="R172" s="88" t="s">
        <v>317</v>
      </c>
      <c r="S172" s="88"/>
      <c r="T172" s="88"/>
      <c r="U172" s="88"/>
      <c r="V172" s="88" t="s">
        <v>282</v>
      </c>
      <c r="W172" s="92" t="s">
        <v>471</v>
      </c>
      <c r="X172" s="203">
        <v>18</v>
      </c>
    </row>
    <row r="173" spans="1:24" s="63" customFormat="1" ht="32.25" customHeight="1" x14ac:dyDescent="0.2">
      <c r="A173" s="202">
        <v>201</v>
      </c>
      <c r="B173" s="88" t="s">
        <v>279</v>
      </c>
      <c r="C173" s="89">
        <v>201</v>
      </c>
      <c r="D173" s="88" t="str">
        <f t="shared" si="7"/>
        <v>SUPERMIX201</v>
      </c>
      <c r="E173" s="105" t="s">
        <v>433</v>
      </c>
      <c r="F173" s="58" t="s">
        <v>434</v>
      </c>
      <c r="G173" s="88" t="s">
        <v>310</v>
      </c>
      <c r="H173" s="88">
        <v>29478459</v>
      </c>
      <c r="I173" s="88" t="s">
        <v>3787</v>
      </c>
      <c r="J173" s="92" t="s">
        <v>435</v>
      </c>
      <c r="K173" s="88" t="s">
        <v>281</v>
      </c>
      <c r="L173" s="91">
        <v>38399</v>
      </c>
      <c r="M173" s="91">
        <v>40808</v>
      </c>
      <c r="N173" s="88">
        <f t="shared" ca="1" si="8"/>
        <v>5379</v>
      </c>
      <c r="O173" s="84" t="str">
        <f ca="1">IF(Tabla1[[#This Row],[|]]&gt;=0,"VENCIDA",IF(Tabla1[[#This Row],[|]]&gt;=-14,"POR VENCER","OK"))</f>
        <v>VENCIDA</v>
      </c>
      <c r="P173" s="90" t="s">
        <v>520</v>
      </c>
      <c r="Q173" s="90" t="s">
        <v>312</v>
      </c>
      <c r="R173" s="88" t="s">
        <v>317</v>
      </c>
      <c r="S173" s="88"/>
      <c r="T173" s="88"/>
      <c r="U173" s="88"/>
      <c r="V173" s="88" t="s">
        <v>423</v>
      </c>
      <c r="W173" s="92" t="s">
        <v>416</v>
      </c>
      <c r="X173" s="203"/>
    </row>
    <row r="174" spans="1:24" s="72" customFormat="1" ht="32.25" customHeight="1" x14ac:dyDescent="0.2">
      <c r="A174" s="207">
        <v>202</v>
      </c>
      <c r="B174" s="123" t="s">
        <v>279</v>
      </c>
      <c r="C174" s="124">
        <v>202</v>
      </c>
      <c r="D174" s="123" t="str">
        <f t="shared" si="7"/>
        <v>SUPERMIX202</v>
      </c>
      <c r="E174" s="167" t="s">
        <v>441</v>
      </c>
      <c r="F174" s="167" t="s">
        <v>21</v>
      </c>
      <c r="G174" s="123" t="s">
        <v>25</v>
      </c>
      <c r="H174" s="125">
        <v>40549374</v>
      </c>
      <c r="I174" s="125" t="s">
        <v>3787</v>
      </c>
      <c r="J174" s="126" t="s">
        <v>442</v>
      </c>
      <c r="K174" s="123" t="s">
        <v>368</v>
      </c>
      <c r="L174" s="127">
        <v>40736</v>
      </c>
      <c r="M174" s="127">
        <v>41832</v>
      </c>
      <c r="N174" s="88">
        <f t="shared" ca="1" si="8"/>
        <v>4355</v>
      </c>
      <c r="O174" s="84" t="str">
        <f ca="1">IF(Tabla1[[#This Row],[|]]&gt;=0,"VENCIDA",IF(Tabla1[[#This Row],[|]]&gt;=-14,"POR VENCER","OK"))</f>
        <v>VENCIDA</v>
      </c>
      <c r="P174" s="125" t="s">
        <v>322</v>
      </c>
      <c r="Q174" s="125" t="s">
        <v>312</v>
      </c>
      <c r="R174" s="123" t="s">
        <v>17</v>
      </c>
      <c r="S174" s="121"/>
      <c r="T174" s="121"/>
      <c r="U174" s="121"/>
      <c r="V174" s="123" t="s">
        <v>443</v>
      </c>
      <c r="W174" s="126" t="s">
        <v>444</v>
      </c>
      <c r="X174" s="208"/>
    </row>
    <row r="175" spans="1:24" s="63" customFormat="1" ht="32.25" customHeight="1" x14ac:dyDescent="0.2">
      <c r="A175" s="202">
        <v>203</v>
      </c>
      <c r="B175" s="88" t="s">
        <v>279</v>
      </c>
      <c r="C175" s="89">
        <v>203</v>
      </c>
      <c r="D175" s="88" t="str">
        <f t="shared" si="7"/>
        <v>SUPERMIX203</v>
      </c>
      <c r="E175" s="105" t="s">
        <v>448</v>
      </c>
      <c r="F175" s="58" t="s">
        <v>449</v>
      </c>
      <c r="G175" s="88" t="s">
        <v>25</v>
      </c>
      <c r="H175" s="107" t="s">
        <v>451</v>
      </c>
      <c r="I175" s="107" t="s">
        <v>3787</v>
      </c>
      <c r="J175" s="88" t="s">
        <v>452</v>
      </c>
      <c r="K175" s="88" t="s">
        <v>281</v>
      </c>
      <c r="L175" s="91">
        <v>38282</v>
      </c>
      <c r="M175" s="91">
        <v>44074</v>
      </c>
      <c r="N175" s="88">
        <f t="shared" ca="1" si="8"/>
        <v>2113</v>
      </c>
      <c r="O175" s="84" t="str">
        <f ca="1">IF(Tabla1[[#This Row],[|]]&gt;=0,"VENCIDA",IF(Tabla1[[#This Row],[|]]&gt;=-14,"POR VENCER","OK"))</f>
        <v>VENCIDA</v>
      </c>
      <c r="P175" s="90" t="s">
        <v>2847</v>
      </c>
      <c r="Q175" s="90" t="s">
        <v>312</v>
      </c>
      <c r="R175" s="88" t="s">
        <v>317</v>
      </c>
      <c r="S175" s="88"/>
      <c r="T175" s="88"/>
      <c r="U175" s="88"/>
      <c r="V175" s="90" t="s">
        <v>372</v>
      </c>
      <c r="W175" s="92" t="s">
        <v>850</v>
      </c>
      <c r="X175" s="203" t="s">
        <v>597</v>
      </c>
    </row>
    <row r="176" spans="1:24" s="43" customFormat="1" ht="32.25" customHeight="1" x14ac:dyDescent="0.2">
      <c r="A176" s="42">
        <v>204</v>
      </c>
      <c r="B176" s="93" t="s">
        <v>279</v>
      </c>
      <c r="C176" s="94">
        <v>204</v>
      </c>
      <c r="D176" s="93" t="str">
        <f t="shared" si="7"/>
        <v>SUPERMIX204</v>
      </c>
      <c r="E176" s="115" t="s">
        <v>1833</v>
      </c>
      <c r="F176" s="115" t="s">
        <v>454</v>
      </c>
      <c r="G176" s="93" t="s">
        <v>25</v>
      </c>
      <c r="H176" s="128" t="s">
        <v>586</v>
      </c>
      <c r="I176" s="128" t="s">
        <v>3788</v>
      </c>
      <c r="J176" s="93" t="s">
        <v>587</v>
      </c>
      <c r="K176" s="93" t="s">
        <v>281</v>
      </c>
      <c r="L176" s="96">
        <v>39196</v>
      </c>
      <c r="M176" s="96">
        <v>45614</v>
      </c>
      <c r="N176" s="88">
        <f t="shared" ca="1" si="8"/>
        <v>573</v>
      </c>
      <c r="O176" s="84" t="str">
        <f ca="1">IF(Tabla1[[#This Row],[|]]&gt;=0,"VENCIDA",IF(Tabla1[[#This Row],[|]]&gt;=-14,"POR VENCER","OK"))</f>
        <v>VENCIDA</v>
      </c>
      <c r="P176" s="95" t="s">
        <v>3351</v>
      </c>
      <c r="Q176" s="95" t="s">
        <v>312</v>
      </c>
      <c r="R176" s="93" t="s">
        <v>17</v>
      </c>
      <c r="S176" s="93"/>
      <c r="T176" s="93"/>
      <c r="U176" s="93"/>
      <c r="V176" s="93" t="s">
        <v>282</v>
      </c>
      <c r="W176" s="97" t="s">
        <v>471</v>
      </c>
      <c r="X176" s="204" t="s">
        <v>2865</v>
      </c>
    </row>
    <row r="177" spans="1:24" s="63" customFormat="1" ht="32.25" customHeight="1" x14ac:dyDescent="0.2">
      <c r="A177" s="202">
        <v>205</v>
      </c>
      <c r="B177" s="88" t="s">
        <v>279</v>
      </c>
      <c r="C177" s="89">
        <v>205</v>
      </c>
      <c r="D177" s="88" t="str">
        <f t="shared" si="7"/>
        <v>SUPERMIX205</v>
      </c>
      <c r="E177" s="105" t="s">
        <v>467</v>
      </c>
      <c r="F177" s="58" t="s">
        <v>468</v>
      </c>
      <c r="G177" s="88" t="s">
        <v>25</v>
      </c>
      <c r="H177" s="90">
        <v>42222237</v>
      </c>
      <c r="I177" s="90" t="s">
        <v>3787</v>
      </c>
      <c r="J177" s="88" t="s">
        <v>466</v>
      </c>
      <c r="K177" s="88" t="s">
        <v>293</v>
      </c>
      <c r="L177" s="91">
        <v>39861</v>
      </c>
      <c r="M177" s="91">
        <v>41058</v>
      </c>
      <c r="N177" s="88">
        <f t="shared" ca="1" si="8"/>
        <v>5129</v>
      </c>
      <c r="O177" s="84" t="str">
        <f ca="1">IF(Tabla1[[#This Row],[|]]&gt;=0,"VENCIDA",IF(Tabla1[[#This Row],[|]]&gt;=-14,"POR VENCER","OK"))</f>
        <v>VENCIDA</v>
      </c>
      <c r="P177" s="90" t="s">
        <v>597</v>
      </c>
      <c r="Q177" s="90" t="s">
        <v>312</v>
      </c>
      <c r="R177" s="88" t="s">
        <v>317</v>
      </c>
      <c r="S177" s="88"/>
      <c r="T177" s="88"/>
      <c r="U177" s="88"/>
      <c r="V177" s="88" t="s">
        <v>282</v>
      </c>
      <c r="W177" s="92" t="s">
        <v>299</v>
      </c>
      <c r="X177" s="203"/>
    </row>
    <row r="178" spans="1:24" s="63" customFormat="1" ht="32.25" customHeight="1" x14ac:dyDescent="0.2">
      <c r="A178" s="202">
        <v>206</v>
      </c>
      <c r="B178" s="88" t="s">
        <v>279</v>
      </c>
      <c r="C178" s="89">
        <v>206</v>
      </c>
      <c r="D178" s="88" t="str">
        <f t="shared" si="7"/>
        <v>SUPERMIX206</v>
      </c>
      <c r="E178" s="105" t="s">
        <v>455</v>
      </c>
      <c r="F178" s="58" t="s">
        <v>456</v>
      </c>
      <c r="G178" s="88" t="s">
        <v>25</v>
      </c>
      <c r="H178" s="107" t="s">
        <v>457</v>
      </c>
      <c r="I178" s="107" t="s">
        <v>3787</v>
      </c>
      <c r="J178" s="88" t="s">
        <v>458</v>
      </c>
      <c r="K178" s="88" t="s">
        <v>281</v>
      </c>
      <c r="L178" s="91">
        <v>37281</v>
      </c>
      <c r="M178" s="91">
        <v>41589</v>
      </c>
      <c r="N178" s="88">
        <f t="shared" ca="1" si="8"/>
        <v>4598</v>
      </c>
      <c r="O178" s="84" t="str">
        <f ca="1">IF(Tabla1[[#This Row],[|]]&gt;=0,"VENCIDA",IF(Tabla1[[#This Row],[|]]&gt;=-14,"POR VENCER","OK"))</f>
        <v>VENCIDA</v>
      </c>
      <c r="P178" s="90" t="s">
        <v>520</v>
      </c>
      <c r="Q178" s="90" t="s">
        <v>312</v>
      </c>
      <c r="R178" s="88" t="s">
        <v>17</v>
      </c>
      <c r="S178" s="88"/>
      <c r="T178" s="88"/>
      <c r="U178" s="88"/>
      <c r="V178" s="88" t="s">
        <v>423</v>
      </c>
      <c r="W178" s="92" t="s">
        <v>416</v>
      </c>
      <c r="X178" s="203">
        <v>14.5</v>
      </c>
    </row>
    <row r="179" spans="1:24" s="63" customFormat="1" ht="32.25" customHeight="1" x14ac:dyDescent="0.2">
      <c r="A179" s="202">
        <v>207</v>
      </c>
      <c r="B179" s="88" t="s">
        <v>279</v>
      </c>
      <c r="C179" s="89">
        <v>207</v>
      </c>
      <c r="D179" s="88" t="str">
        <f t="shared" si="7"/>
        <v>SUPERMIX207</v>
      </c>
      <c r="E179" s="105" t="s">
        <v>779</v>
      </c>
      <c r="F179" s="58" t="s">
        <v>780</v>
      </c>
      <c r="G179" s="88" t="s">
        <v>25</v>
      </c>
      <c r="H179" s="90">
        <v>29668311</v>
      </c>
      <c r="I179" s="90" t="s">
        <v>3787</v>
      </c>
      <c r="J179" s="92" t="s">
        <v>781</v>
      </c>
      <c r="K179" s="88" t="s">
        <v>281</v>
      </c>
      <c r="L179" s="91">
        <v>41586</v>
      </c>
      <c r="M179" s="91">
        <v>41889</v>
      </c>
      <c r="N179" s="88">
        <f t="shared" ca="1" si="8"/>
        <v>4298</v>
      </c>
      <c r="O179" s="84" t="str">
        <f ca="1">IF(Tabla1[[#This Row],[|]]&gt;=0,"VENCIDA",IF(Tabla1[[#This Row],[|]]&gt;=-14,"POR VENCER","OK"))</f>
        <v>VENCIDA</v>
      </c>
      <c r="P179" s="90" t="s">
        <v>782</v>
      </c>
      <c r="Q179" s="90" t="s">
        <v>312</v>
      </c>
      <c r="R179" s="88" t="s">
        <v>317</v>
      </c>
      <c r="S179" s="88"/>
      <c r="T179" s="88"/>
      <c r="U179" s="88"/>
      <c r="V179" s="88" t="s">
        <v>423</v>
      </c>
      <c r="W179" s="92" t="s">
        <v>416</v>
      </c>
      <c r="X179" s="203"/>
    </row>
    <row r="180" spans="1:24" s="63" customFormat="1" ht="32.25" customHeight="1" x14ac:dyDescent="0.2">
      <c r="A180" s="202">
        <v>208</v>
      </c>
      <c r="B180" s="88" t="s">
        <v>279</v>
      </c>
      <c r="C180" s="89">
        <v>208</v>
      </c>
      <c r="D180" s="88" t="str">
        <f t="shared" si="7"/>
        <v>SUPERMIX208</v>
      </c>
      <c r="E180" s="105" t="s">
        <v>459</v>
      </c>
      <c r="F180" s="58" t="s">
        <v>460</v>
      </c>
      <c r="G180" s="88"/>
      <c r="H180" s="90"/>
      <c r="I180" s="90" t="s">
        <v>3787</v>
      </c>
      <c r="J180" s="90"/>
      <c r="K180" s="88"/>
      <c r="L180" s="91"/>
      <c r="M180" s="91"/>
      <c r="N180" s="88">
        <f t="shared" ca="1" si="8"/>
        <v>46187</v>
      </c>
      <c r="O180" s="84" t="str">
        <f ca="1">IF(Tabla1[[#This Row],[|]]&gt;=0,"VENCIDA",IF(Tabla1[[#This Row],[|]]&gt;=-14,"POR VENCER","OK"))</f>
        <v>VENCIDA</v>
      </c>
      <c r="P180" s="90" t="s">
        <v>597</v>
      </c>
      <c r="Q180" s="90" t="s">
        <v>312</v>
      </c>
      <c r="R180" s="88"/>
      <c r="S180" s="88"/>
      <c r="T180" s="88"/>
      <c r="U180" s="88"/>
      <c r="V180" s="88" t="s">
        <v>282</v>
      </c>
      <c r="W180" s="92" t="s">
        <v>299</v>
      </c>
      <c r="X180" s="203"/>
    </row>
    <row r="181" spans="1:24" s="63" customFormat="1" ht="32.25" customHeight="1" x14ac:dyDescent="0.2">
      <c r="A181" s="202">
        <v>209</v>
      </c>
      <c r="B181" s="88" t="s">
        <v>279</v>
      </c>
      <c r="C181" s="89">
        <v>209</v>
      </c>
      <c r="D181" s="88" t="str">
        <f t="shared" si="7"/>
        <v>SUPERMIX209</v>
      </c>
      <c r="E181" s="105" t="s">
        <v>461</v>
      </c>
      <c r="F181" s="58" t="s">
        <v>462</v>
      </c>
      <c r="G181" s="88" t="s">
        <v>25</v>
      </c>
      <c r="H181" s="90">
        <v>44401379</v>
      </c>
      <c r="I181" s="90" t="s">
        <v>3787</v>
      </c>
      <c r="J181" s="92" t="s">
        <v>463</v>
      </c>
      <c r="K181" s="88" t="s">
        <v>281</v>
      </c>
      <c r="L181" s="91">
        <v>41845</v>
      </c>
      <c r="M181" s="91">
        <v>44015</v>
      </c>
      <c r="N181" s="88">
        <f t="shared" ca="1" si="8"/>
        <v>2172</v>
      </c>
      <c r="O181" s="84" t="str">
        <f ca="1">IF(Tabla1[[#This Row],[|]]&gt;=0,"VENCIDA",IF(Tabla1[[#This Row],[|]]&gt;=-14,"POR VENCER","OK"))</f>
        <v>VENCIDA</v>
      </c>
      <c r="P181" s="90" t="s">
        <v>3009</v>
      </c>
      <c r="Q181" s="90" t="s">
        <v>312</v>
      </c>
      <c r="R181" s="88" t="s">
        <v>17</v>
      </c>
      <c r="S181" s="88"/>
      <c r="T181" s="88"/>
      <c r="U181" s="88"/>
      <c r="V181" s="88" t="s">
        <v>306</v>
      </c>
      <c r="W181" s="92" t="s">
        <v>2776</v>
      </c>
      <c r="X181" s="203" t="s">
        <v>3056</v>
      </c>
    </row>
    <row r="182" spans="1:24" s="43" customFormat="1" ht="32.25" customHeight="1" x14ac:dyDescent="0.2">
      <c r="A182" s="202">
        <v>15</v>
      </c>
      <c r="B182" s="88" t="s">
        <v>279</v>
      </c>
      <c r="C182" s="89">
        <v>15</v>
      </c>
      <c r="D182" s="88" t="str">
        <f t="shared" si="7"/>
        <v>SUPERMIX15</v>
      </c>
      <c r="E182" s="105" t="s">
        <v>57</v>
      </c>
      <c r="F182" s="58" t="s">
        <v>58</v>
      </c>
      <c r="G182" s="88" t="s">
        <v>25</v>
      </c>
      <c r="H182" s="90">
        <v>42462348</v>
      </c>
      <c r="I182" s="90" t="s">
        <v>3787</v>
      </c>
      <c r="J182" s="58" t="s">
        <v>472</v>
      </c>
      <c r="K182" s="88" t="s">
        <v>368</v>
      </c>
      <c r="L182" s="91">
        <v>40696</v>
      </c>
      <c r="M182" s="91">
        <v>41792</v>
      </c>
      <c r="N182" s="88">
        <f t="shared" ca="1" si="8"/>
        <v>4395</v>
      </c>
      <c r="O182" s="84" t="str">
        <f ca="1">IF(Tabla1[[#This Row],[|]]&gt;=0,"VENCIDA",IF(Tabla1[[#This Row],[|]]&gt;=-14,"POR VENCER","OK"))</f>
        <v>VENCIDA</v>
      </c>
      <c r="P182" s="90" t="s">
        <v>324</v>
      </c>
      <c r="Q182" s="90" t="s">
        <v>312</v>
      </c>
      <c r="R182" s="88"/>
      <c r="S182" s="88"/>
      <c r="T182" s="88"/>
      <c r="U182" s="88"/>
      <c r="V182" s="90" t="s">
        <v>522</v>
      </c>
      <c r="W182" s="92" t="s">
        <v>511</v>
      </c>
      <c r="X182" s="203">
        <v>18</v>
      </c>
    </row>
    <row r="183" spans="1:24" s="63" customFormat="1" ht="32.25" customHeight="1" x14ac:dyDescent="0.2">
      <c r="A183" s="202">
        <v>211</v>
      </c>
      <c r="B183" s="88" t="s">
        <v>279</v>
      </c>
      <c r="C183" s="89">
        <v>211</v>
      </c>
      <c r="D183" s="88" t="str">
        <f t="shared" si="7"/>
        <v>SUPERMIX211</v>
      </c>
      <c r="E183" s="58" t="s">
        <v>475</v>
      </c>
      <c r="F183" s="58" t="s">
        <v>513</v>
      </c>
      <c r="G183" s="88" t="s">
        <v>310</v>
      </c>
      <c r="H183" s="90">
        <v>25209661</v>
      </c>
      <c r="I183" s="90" t="s">
        <v>3787</v>
      </c>
      <c r="J183" s="88" t="s">
        <v>476</v>
      </c>
      <c r="K183" s="88" t="s">
        <v>293</v>
      </c>
      <c r="L183" s="91">
        <v>39289</v>
      </c>
      <c r="M183" s="91">
        <v>41414</v>
      </c>
      <c r="N183" s="88">
        <f t="shared" ca="1" si="8"/>
        <v>4773</v>
      </c>
      <c r="O183" s="84" t="str">
        <f ca="1">IF(Tabla1[[#This Row],[|]]&gt;=0,"VENCIDA",IF(Tabla1[[#This Row],[|]]&gt;=-14,"POR VENCER","OK"))</f>
        <v>VENCIDA</v>
      </c>
      <c r="P183" s="90" t="s">
        <v>597</v>
      </c>
      <c r="Q183" s="90" t="s">
        <v>312</v>
      </c>
      <c r="R183" s="88" t="s">
        <v>317</v>
      </c>
      <c r="S183" s="88"/>
      <c r="T183" s="88"/>
      <c r="U183" s="88"/>
      <c r="V183" s="90" t="s">
        <v>474</v>
      </c>
      <c r="W183" s="92" t="s">
        <v>471</v>
      </c>
      <c r="X183" s="203"/>
    </row>
    <row r="184" spans="1:24" s="59" customFormat="1" ht="32.25" customHeight="1" x14ac:dyDescent="0.2">
      <c r="A184" s="200">
        <v>212</v>
      </c>
      <c r="B184" s="61" t="s">
        <v>279</v>
      </c>
      <c r="C184" s="87">
        <v>212</v>
      </c>
      <c r="D184" s="61" t="str">
        <f t="shared" si="7"/>
        <v>SUPERMIX212</v>
      </c>
      <c r="E184" s="82" t="s">
        <v>478</v>
      </c>
      <c r="F184" s="82" t="s">
        <v>479</v>
      </c>
      <c r="G184" s="61" t="s">
        <v>341</v>
      </c>
      <c r="H184" s="60">
        <v>25005576</v>
      </c>
      <c r="I184" s="60" t="s">
        <v>3787</v>
      </c>
      <c r="J184" s="61" t="s">
        <v>480</v>
      </c>
      <c r="K184" s="61" t="s">
        <v>293</v>
      </c>
      <c r="L184" s="62">
        <v>37875</v>
      </c>
      <c r="M184" s="62">
        <v>41173</v>
      </c>
      <c r="N184" s="88">
        <f t="shared" ca="1" si="8"/>
        <v>5014</v>
      </c>
      <c r="O184" s="84" t="str">
        <f ca="1">IF(Tabla1[[#This Row],[|]]&gt;=0,"VENCIDA",IF(Tabla1[[#This Row],[|]]&gt;=-14,"POR VENCER","OK"))</f>
        <v>VENCIDA</v>
      </c>
      <c r="P184" s="60" t="s">
        <v>597</v>
      </c>
      <c r="Q184" s="60" t="s">
        <v>312</v>
      </c>
      <c r="R184" s="61" t="s">
        <v>317</v>
      </c>
      <c r="S184" s="61"/>
      <c r="T184" s="61"/>
      <c r="U184" s="61"/>
      <c r="V184" s="60" t="s">
        <v>474</v>
      </c>
      <c r="W184" s="86" t="s">
        <v>471</v>
      </c>
      <c r="X184" s="201">
        <v>18</v>
      </c>
    </row>
    <row r="185" spans="1:24" s="63" customFormat="1" ht="32.25" customHeight="1" x14ac:dyDescent="0.2">
      <c r="A185" s="202">
        <v>213</v>
      </c>
      <c r="B185" s="88" t="s">
        <v>279</v>
      </c>
      <c r="C185" s="89">
        <v>213</v>
      </c>
      <c r="D185" s="88" t="str">
        <f t="shared" si="7"/>
        <v>SUPERMIX213</v>
      </c>
      <c r="E185" s="58" t="s">
        <v>483</v>
      </c>
      <c r="F185" s="58" t="s">
        <v>484</v>
      </c>
      <c r="G185" s="88" t="s">
        <v>25</v>
      </c>
      <c r="H185" s="90">
        <v>24486468</v>
      </c>
      <c r="I185" s="90" t="s">
        <v>3787</v>
      </c>
      <c r="J185" s="92" t="s">
        <v>485</v>
      </c>
      <c r="K185" s="88" t="s">
        <v>281</v>
      </c>
      <c r="L185" s="91">
        <v>38077</v>
      </c>
      <c r="M185" s="91">
        <v>41560</v>
      </c>
      <c r="N185" s="88">
        <f t="shared" ca="1" si="8"/>
        <v>4627</v>
      </c>
      <c r="O185" s="84" t="str">
        <f ca="1">IF(Tabla1[[#This Row],[|]]&gt;=0,"VENCIDA",IF(Tabla1[[#This Row],[|]]&gt;=-14,"POR VENCER","OK"))</f>
        <v>VENCIDA</v>
      </c>
      <c r="P185" s="90" t="s">
        <v>597</v>
      </c>
      <c r="Q185" s="90" t="s">
        <v>312</v>
      </c>
      <c r="R185" s="88" t="s">
        <v>317</v>
      </c>
      <c r="S185" s="88"/>
      <c r="T185" s="88"/>
      <c r="U185" s="88"/>
      <c r="V185" s="90" t="s">
        <v>474</v>
      </c>
      <c r="W185" s="92" t="s">
        <v>471</v>
      </c>
      <c r="X185" s="203">
        <v>15</v>
      </c>
    </row>
    <row r="186" spans="1:24" s="63" customFormat="1" ht="32.25" customHeight="1" x14ac:dyDescent="0.2">
      <c r="A186" s="202">
        <v>214</v>
      </c>
      <c r="B186" s="88" t="s">
        <v>279</v>
      </c>
      <c r="C186" s="89">
        <v>214</v>
      </c>
      <c r="D186" s="88" t="str">
        <f t="shared" si="7"/>
        <v>SUPERMIX214</v>
      </c>
      <c r="E186" s="58" t="s">
        <v>486</v>
      </c>
      <c r="F186" s="58" t="s">
        <v>487</v>
      </c>
      <c r="G186" s="88" t="s">
        <v>25</v>
      </c>
      <c r="H186" s="90">
        <v>25310599</v>
      </c>
      <c r="I186" s="90" t="s">
        <v>3787</v>
      </c>
      <c r="J186" s="88" t="s">
        <v>488</v>
      </c>
      <c r="K186" s="88" t="s">
        <v>281</v>
      </c>
      <c r="L186" s="91">
        <v>38188</v>
      </c>
      <c r="M186" s="91">
        <v>41512</v>
      </c>
      <c r="N186" s="88">
        <f t="shared" ca="1" si="8"/>
        <v>4675</v>
      </c>
      <c r="O186" s="84" t="str">
        <f ca="1">IF(Tabla1[[#This Row],[|]]&gt;=0,"VENCIDA",IF(Tabla1[[#This Row],[|]]&gt;=-14,"POR VENCER","OK"))</f>
        <v>VENCIDA</v>
      </c>
      <c r="P186" s="90" t="s">
        <v>597</v>
      </c>
      <c r="Q186" s="90" t="s">
        <v>312</v>
      </c>
      <c r="R186" s="88" t="s">
        <v>17</v>
      </c>
      <c r="S186" s="88"/>
      <c r="T186" s="88"/>
      <c r="U186" s="88"/>
      <c r="V186" s="90" t="s">
        <v>474</v>
      </c>
      <c r="W186" s="92" t="s">
        <v>471</v>
      </c>
      <c r="X186" s="203">
        <v>16</v>
      </c>
    </row>
    <row r="187" spans="1:24" s="43" customFormat="1" ht="32.25" customHeight="1" x14ac:dyDescent="0.2">
      <c r="A187" s="42">
        <v>215</v>
      </c>
      <c r="B187" s="93" t="s">
        <v>279</v>
      </c>
      <c r="C187" s="94">
        <v>215</v>
      </c>
      <c r="D187" s="93" t="str">
        <f t="shared" si="7"/>
        <v>SUPERMIX215</v>
      </c>
      <c r="E187" s="115" t="s">
        <v>490</v>
      </c>
      <c r="F187" s="115" t="s">
        <v>90</v>
      </c>
      <c r="G187" s="93" t="s">
        <v>25</v>
      </c>
      <c r="H187" s="95">
        <v>25324181</v>
      </c>
      <c r="I187" s="95" t="s">
        <v>3788</v>
      </c>
      <c r="J187" s="93" t="s">
        <v>491</v>
      </c>
      <c r="K187" s="93" t="s">
        <v>281</v>
      </c>
      <c r="L187" s="96">
        <v>40639</v>
      </c>
      <c r="M187" s="96">
        <v>45713</v>
      </c>
      <c r="N187" s="88">
        <f t="shared" ca="1" si="8"/>
        <v>474</v>
      </c>
      <c r="O187" s="84" t="str">
        <f ca="1">IF(Tabla1[[#This Row],[|]]&gt;=0,"VENCIDA",IF(Tabla1[[#This Row],[|]]&gt;=-14,"POR VENCER","OK"))</f>
        <v>VENCIDA</v>
      </c>
      <c r="P187" s="95" t="s">
        <v>2903</v>
      </c>
      <c r="Q187" s="95" t="s">
        <v>312</v>
      </c>
      <c r="R187" s="93" t="s">
        <v>317</v>
      </c>
      <c r="S187" s="93"/>
      <c r="T187" s="93"/>
      <c r="U187" s="93"/>
      <c r="V187" s="95" t="s">
        <v>474</v>
      </c>
      <c r="W187" s="97" t="s">
        <v>2776</v>
      </c>
      <c r="X187" s="204" t="s">
        <v>2819</v>
      </c>
    </row>
    <row r="188" spans="1:24" s="63" customFormat="1" ht="32.25" customHeight="1" x14ac:dyDescent="0.2">
      <c r="A188" s="202">
        <v>216</v>
      </c>
      <c r="B188" s="88" t="s">
        <v>279</v>
      </c>
      <c r="C188" s="89">
        <v>216</v>
      </c>
      <c r="D188" s="88" t="str">
        <f t="shared" si="7"/>
        <v>SUPERMIX216</v>
      </c>
      <c r="E188" s="58" t="s">
        <v>492</v>
      </c>
      <c r="F188" s="58" t="s">
        <v>473</v>
      </c>
      <c r="G188" s="88" t="s">
        <v>310</v>
      </c>
      <c r="H188" s="90">
        <v>23975110</v>
      </c>
      <c r="I188" s="90" t="s">
        <v>3787</v>
      </c>
      <c r="J188" s="88" t="s">
        <v>493</v>
      </c>
      <c r="K188" s="88" t="s">
        <v>281</v>
      </c>
      <c r="L188" s="91">
        <v>37203</v>
      </c>
      <c r="M188" s="91">
        <v>43085</v>
      </c>
      <c r="N188" s="88">
        <f t="shared" ca="1" si="8"/>
        <v>3102</v>
      </c>
      <c r="O188" s="84" t="str">
        <f ca="1">IF(Tabla1[[#This Row],[|]]&gt;=0,"VENCIDA",IF(Tabla1[[#This Row],[|]]&gt;=-14,"POR VENCER","OK"))</f>
        <v>VENCIDA</v>
      </c>
      <c r="P188" s="90" t="s">
        <v>1205</v>
      </c>
      <c r="Q188" s="90" t="s">
        <v>312</v>
      </c>
      <c r="R188" s="88" t="s">
        <v>317</v>
      </c>
      <c r="S188" s="88"/>
      <c r="T188" s="88"/>
      <c r="U188" s="88"/>
      <c r="V188" s="90" t="s">
        <v>474</v>
      </c>
      <c r="W188" s="92" t="s">
        <v>1017</v>
      </c>
      <c r="X188" s="203">
        <v>16</v>
      </c>
    </row>
    <row r="189" spans="1:24" s="63" customFormat="1" ht="32.25" customHeight="1" x14ac:dyDescent="0.2">
      <c r="A189" s="202">
        <v>217</v>
      </c>
      <c r="B189" s="88" t="s">
        <v>279</v>
      </c>
      <c r="C189" s="89">
        <v>217</v>
      </c>
      <c r="D189" s="88" t="str">
        <f t="shared" si="7"/>
        <v>SUPERMIX217</v>
      </c>
      <c r="E189" s="58" t="s">
        <v>494</v>
      </c>
      <c r="F189" s="58" t="s">
        <v>598</v>
      </c>
      <c r="G189" s="88" t="s">
        <v>2825</v>
      </c>
      <c r="H189" s="90">
        <v>40445040</v>
      </c>
      <c r="I189" s="90" t="s">
        <v>3787</v>
      </c>
      <c r="J189" s="92" t="s">
        <v>599</v>
      </c>
      <c r="K189" s="88" t="s">
        <v>3623</v>
      </c>
      <c r="L189" s="91" t="s">
        <v>600</v>
      </c>
      <c r="M189" s="91">
        <v>41363</v>
      </c>
      <c r="N189" s="88">
        <f t="shared" ca="1" si="8"/>
        <v>4824</v>
      </c>
      <c r="O189" s="84" t="str">
        <f ca="1">IF(Tabla1[[#This Row],[|]]&gt;=0,"VENCIDA",IF(Tabla1[[#This Row],[|]]&gt;=-14,"POR VENCER","OK"))</f>
        <v>VENCIDA</v>
      </c>
      <c r="P189" s="90" t="s">
        <v>597</v>
      </c>
      <c r="Q189" s="90" t="s">
        <v>312</v>
      </c>
      <c r="R189" s="88" t="s">
        <v>17</v>
      </c>
      <c r="S189" s="88"/>
      <c r="T189" s="88"/>
      <c r="U189" s="88"/>
      <c r="V189" s="88" t="s">
        <v>282</v>
      </c>
      <c r="W189" s="92" t="s">
        <v>471</v>
      </c>
      <c r="X189" s="92"/>
    </row>
    <row r="190" spans="1:24" s="72" customFormat="1" ht="32.25" customHeight="1" x14ac:dyDescent="0.2">
      <c r="A190" s="207">
        <v>218</v>
      </c>
      <c r="B190" s="123" t="s">
        <v>279</v>
      </c>
      <c r="C190" s="124">
        <v>218</v>
      </c>
      <c r="D190" s="123" t="str">
        <f t="shared" si="7"/>
        <v>SUPERMIX218</v>
      </c>
      <c r="E190" s="167" t="s">
        <v>495</v>
      </c>
      <c r="F190" s="167" t="s">
        <v>496</v>
      </c>
      <c r="G190" s="123" t="s">
        <v>310</v>
      </c>
      <c r="H190" s="125">
        <v>29412199</v>
      </c>
      <c r="I190" s="125" t="s">
        <v>3787</v>
      </c>
      <c r="J190" s="125" t="s">
        <v>515</v>
      </c>
      <c r="K190" s="123" t="s">
        <v>281</v>
      </c>
      <c r="L190" s="127">
        <v>36682</v>
      </c>
      <c r="M190" s="127">
        <v>43137</v>
      </c>
      <c r="N190" s="88">
        <f t="shared" ca="1" si="8"/>
        <v>3050</v>
      </c>
      <c r="O190" s="84" t="str">
        <f ca="1">IF(Tabla1[[#This Row],[|]]&gt;=0,"VENCIDA",IF(Tabla1[[#This Row],[|]]&gt;=-14,"POR VENCER","OK"))</f>
        <v>VENCIDA</v>
      </c>
      <c r="P190" s="125" t="s">
        <v>1369</v>
      </c>
      <c r="Q190" s="125" t="s">
        <v>312</v>
      </c>
      <c r="R190" s="123" t="s">
        <v>317</v>
      </c>
      <c r="S190" s="93"/>
      <c r="T190" s="93"/>
      <c r="U190" s="93"/>
      <c r="V190" s="123" t="s">
        <v>282</v>
      </c>
      <c r="W190" s="126" t="s">
        <v>299</v>
      </c>
      <c r="X190" s="126"/>
    </row>
    <row r="191" spans="1:24" s="63" customFormat="1" ht="32.25" customHeight="1" x14ac:dyDescent="0.2">
      <c r="A191" s="202">
        <v>219</v>
      </c>
      <c r="B191" s="88" t="s">
        <v>279</v>
      </c>
      <c r="C191" s="89">
        <v>219</v>
      </c>
      <c r="D191" s="88" t="str">
        <f t="shared" si="7"/>
        <v>SUPERMIX219</v>
      </c>
      <c r="E191" s="105" t="s">
        <v>497</v>
      </c>
      <c r="F191" s="58" t="s">
        <v>519</v>
      </c>
      <c r="G191" s="88" t="s">
        <v>310</v>
      </c>
      <c r="H191" s="107" t="s">
        <v>517</v>
      </c>
      <c r="I191" s="107" t="s">
        <v>3787</v>
      </c>
      <c r="J191" s="92" t="s">
        <v>518</v>
      </c>
      <c r="K191" s="88" t="s">
        <v>281</v>
      </c>
      <c r="L191" s="91">
        <v>37581</v>
      </c>
      <c r="M191" s="91">
        <v>41252</v>
      </c>
      <c r="N191" s="88">
        <f t="shared" ca="1" si="8"/>
        <v>4935</v>
      </c>
      <c r="O191" s="84" t="str">
        <f ca="1">IF(Tabla1[[#This Row],[|]]&gt;=0,"VENCIDA",IF(Tabla1[[#This Row],[|]]&gt;=-14,"POR VENCER","OK"))</f>
        <v>VENCIDA</v>
      </c>
      <c r="P191" s="90" t="s">
        <v>1511</v>
      </c>
      <c r="Q191" s="90" t="s">
        <v>312</v>
      </c>
      <c r="R191" s="88" t="s">
        <v>317</v>
      </c>
      <c r="S191" s="88"/>
      <c r="T191" s="88"/>
      <c r="U191" s="88"/>
      <c r="V191" s="88" t="s">
        <v>306</v>
      </c>
      <c r="W191" s="92" t="s">
        <v>377</v>
      </c>
      <c r="X191" s="203">
        <v>14</v>
      </c>
    </row>
    <row r="192" spans="1:24" ht="32.25" customHeight="1" x14ac:dyDescent="0.2">
      <c r="A192" s="200">
        <v>220</v>
      </c>
      <c r="B192" s="61" t="s">
        <v>279</v>
      </c>
      <c r="C192" s="87">
        <v>220</v>
      </c>
      <c r="D192" s="61" t="str">
        <f t="shared" si="7"/>
        <v>SUPERMIX220</v>
      </c>
      <c r="E192" s="58" t="s">
        <v>498</v>
      </c>
      <c r="F192" s="82" t="s">
        <v>499</v>
      </c>
      <c r="G192" s="61" t="s">
        <v>341</v>
      </c>
      <c r="H192" s="60">
        <v>29502639</v>
      </c>
      <c r="I192" s="60" t="s">
        <v>3788</v>
      </c>
      <c r="J192" s="61" t="s">
        <v>516</v>
      </c>
      <c r="K192" s="61" t="s">
        <v>1954</v>
      </c>
      <c r="L192" s="62">
        <v>37629</v>
      </c>
      <c r="M192" s="62">
        <v>45726</v>
      </c>
      <c r="N192" s="88">
        <f t="shared" ca="1" si="8"/>
        <v>461</v>
      </c>
      <c r="O192" s="84" t="str">
        <f ca="1">IF(Tabla1[[#This Row],[|]]&gt;=0,"VENCIDA",IF(Tabla1[[#This Row],[|]]&gt;=-14,"POR VENCER","OK"))</f>
        <v>VENCIDA</v>
      </c>
      <c r="P192" s="60" t="s">
        <v>3275</v>
      </c>
      <c r="Q192" s="60" t="s">
        <v>312</v>
      </c>
      <c r="R192" s="61" t="s">
        <v>317</v>
      </c>
      <c r="S192" s="100"/>
      <c r="T192" s="100"/>
      <c r="U192" s="100"/>
      <c r="V192" s="61" t="s">
        <v>1928</v>
      </c>
      <c r="W192" s="86" t="s">
        <v>1112</v>
      </c>
      <c r="X192" s="203" t="s">
        <v>597</v>
      </c>
    </row>
    <row r="193" spans="1:24" s="63" customFormat="1" ht="32.25" customHeight="1" x14ac:dyDescent="0.2">
      <c r="A193" s="202">
        <v>221</v>
      </c>
      <c r="B193" s="88" t="s">
        <v>279</v>
      </c>
      <c r="C193" s="89">
        <v>221</v>
      </c>
      <c r="D193" s="88" t="str">
        <f t="shared" si="7"/>
        <v>SUPERMIX221</v>
      </c>
      <c r="E193" s="58" t="s">
        <v>805</v>
      </c>
      <c r="F193" s="58" t="s">
        <v>806</v>
      </c>
      <c r="G193" s="88" t="s">
        <v>25</v>
      </c>
      <c r="H193" s="90">
        <v>44145198</v>
      </c>
      <c r="I193" s="90" t="s">
        <v>3787</v>
      </c>
      <c r="J193" s="58" t="s">
        <v>807</v>
      </c>
      <c r="K193" s="88" t="s">
        <v>293</v>
      </c>
      <c r="L193" s="91">
        <v>41634</v>
      </c>
      <c r="M193" s="91">
        <v>42364</v>
      </c>
      <c r="N193" s="88">
        <f t="shared" ca="1" si="8"/>
        <v>3823</v>
      </c>
      <c r="O193" s="84" t="str">
        <f ca="1">IF(Tabla1[[#This Row],[|]]&gt;=0,"VENCIDA",IF(Tabla1[[#This Row],[|]]&gt;=-14,"POR VENCER","OK"))</f>
        <v>VENCIDA</v>
      </c>
      <c r="P193" s="90" t="s">
        <v>777</v>
      </c>
      <c r="Q193" s="90" t="s">
        <v>312</v>
      </c>
      <c r="R193" s="88" t="s">
        <v>317</v>
      </c>
      <c r="S193" s="88"/>
      <c r="T193" s="88"/>
      <c r="U193" s="88"/>
      <c r="V193" s="88" t="s">
        <v>282</v>
      </c>
      <c r="W193" s="92" t="s">
        <v>751</v>
      </c>
      <c r="X193" s="92"/>
    </row>
    <row r="194" spans="1:24" s="63" customFormat="1" ht="32.25" customHeight="1" x14ac:dyDescent="0.2">
      <c r="A194" s="202">
        <v>222</v>
      </c>
      <c r="B194" s="88" t="s">
        <v>279</v>
      </c>
      <c r="C194" s="89">
        <v>222</v>
      </c>
      <c r="D194" s="88" t="str">
        <f t="shared" si="7"/>
        <v>SUPERMIX222</v>
      </c>
      <c r="E194" s="58" t="s">
        <v>500</v>
      </c>
      <c r="F194" s="58" t="s">
        <v>501</v>
      </c>
      <c r="G194" s="88" t="s">
        <v>25</v>
      </c>
      <c r="H194" s="90">
        <v>40939218</v>
      </c>
      <c r="I194" s="90" t="s">
        <v>3787</v>
      </c>
      <c r="J194" s="92" t="s">
        <v>502</v>
      </c>
      <c r="K194" s="88" t="s">
        <v>281</v>
      </c>
      <c r="L194" s="91">
        <v>38762</v>
      </c>
      <c r="M194" s="91">
        <v>42584</v>
      </c>
      <c r="N194" s="88">
        <f t="shared" ca="1" si="8"/>
        <v>3603</v>
      </c>
      <c r="O194" s="84" t="str">
        <f ca="1">IF(Tabla1[[#This Row],[|]]&gt;=0,"VENCIDA",IF(Tabla1[[#This Row],[|]]&gt;=-14,"POR VENCER","OK"))</f>
        <v>VENCIDA</v>
      </c>
      <c r="P194" s="90" t="s">
        <v>1060</v>
      </c>
      <c r="Q194" s="90" t="s">
        <v>312</v>
      </c>
      <c r="R194" s="88" t="s">
        <v>17</v>
      </c>
      <c r="S194" s="88"/>
      <c r="T194" s="88"/>
      <c r="U194" s="88"/>
      <c r="V194" s="90" t="s">
        <v>474</v>
      </c>
      <c r="W194" s="92" t="s">
        <v>471</v>
      </c>
      <c r="X194" s="203">
        <v>17</v>
      </c>
    </row>
    <row r="195" spans="1:24" s="63" customFormat="1" ht="32.25" customHeight="1" x14ac:dyDescent="0.2">
      <c r="A195" s="202">
        <v>223</v>
      </c>
      <c r="B195" s="88" t="s">
        <v>279</v>
      </c>
      <c r="C195" s="89">
        <v>223</v>
      </c>
      <c r="D195" s="88" t="str">
        <f t="shared" si="7"/>
        <v>SUPERMIX223</v>
      </c>
      <c r="E195" s="58" t="s">
        <v>503</v>
      </c>
      <c r="F195" s="58" t="s">
        <v>504</v>
      </c>
      <c r="G195" s="88"/>
      <c r="H195" s="90">
        <v>80528238</v>
      </c>
      <c r="I195" s="90" t="s">
        <v>3787</v>
      </c>
      <c r="J195" s="88" t="s">
        <v>505</v>
      </c>
      <c r="K195" s="88" t="s">
        <v>3142</v>
      </c>
      <c r="L195" s="91">
        <v>37435</v>
      </c>
      <c r="M195" s="91">
        <v>41222</v>
      </c>
      <c r="N195" s="88">
        <f t="shared" ca="1" si="8"/>
        <v>4965</v>
      </c>
      <c r="O195" s="84" t="str">
        <f ca="1">IF(Tabla1[[#This Row],[|]]&gt;=0,"VENCIDA",IF(Tabla1[[#This Row],[|]]&gt;=-14,"POR VENCER","OK"))</f>
        <v>VENCIDA</v>
      </c>
      <c r="P195" s="90" t="s">
        <v>520</v>
      </c>
      <c r="Q195" s="90" t="s">
        <v>312</v>
      </c>
      <c r="R195" s="88"/>
      <c r="S195" s="88"/>
      <c r="T195" s="88"/>
      <c r="U195" s="88"/>
      <c r="V195" s="90" t="s">
        <v>474</v>
      </c>
      <c r="W195" s="92" t="s">
        <v>471</v>
      </c>
      <c r="X195" s="203"/>
    </row>
    <row r="196" spans="1:24" s="56" customFormat="1" ht="32.25" customHeight="1" x14ac:dyDescent="0.2">
      <c r="A196" s="213">
        <v>224</v>
      </c>
      <c r="B196" s="146" t="s">
        <v>279</v>
      </c>
      <c r="C196" s="147">
        <v>224</v>
      </c>
      <c r="D196" s="146" t="str">
        <f t="shared" si="7"/>
        <v>SUPERMIX224</v>
      </c>
      <c r="E196" s="148" t="s">
        <v>506</v>
      </c>
      <c r="F196" s="148" t="s">
        <v>507</v>
      </c>
      <c r="G196" s="146" t="s">
        <v>341</v>
      </c>
      <c r="H196" s="149">
        <v>41109066</v>
      </c>
      <c r="I196" s="149" t="s">
        <v>3787</v>
      </c>
      <c r="J196" s="146" t="s">
        <v>508</v>
      </c>
      <c r="K196" s="146" t="s">
        <v>343</v>
      </c>
      <c r="L196" s="150">
        <v>39645</v>
      </c>
      <c r="M196" s="150">
        <v>40828</v>
      </c>
      <c r="N196" s="121">
        <f t="shared" ca="1" si="8"/>
        <v>5359</v>
      </c>
      <c r="O196" s="142" t="str">
        <f ca="1">IF(Tabla1[[#This Row],[|]]&gt;=0,"VENCIDA",IF(Tabla1[[#This Row],[|]]&gt;=-14,"POR VENCER","OK"))</f>
        <v>VENCIDA</v>
      </c>
      <c r="P196" s="149" t="s">
        <v>520</v>
      </c>
      <c r="Q196" s="149" t="s">
        <v>312</v>
      </c>
      <c r="R196" s="146"/>
      <c r="S196" s="61"/>
      <c r="T196" s="61"/>
      <c r="U196" s="61"/>
      <c r="V196" s="149" t="s">
        <v>474</v>
      </c>
      <c r="W196" s="151" t="s">
        <v>471</v>
      </c>
      <c r="X196" s="217"/>
    </row>
    <row r="197" spans="1:24" s="43" customFormat="1" ht="32.25" customHeight="1" x14ac:dyDescent="0.2">
      <c r="A197" s="42">
        <v>225</v>
      </c>
      <c r="B197" s="93" t="s">
        <v>279</v>
      </c>
      <c r="C197" s="94">
        <v>225</v>
      </c>
      <c r="D197" s="93" t="str">
        <f t="shared" si="7"/>
        <v>SUPERMIX225</v>
      </c>
      <c r="E197" s="115" t="s">
        <v>509</v>
      </c>
      <c r="F197" s="115" t="s">
        <v>510</v>
      </c>
      <c r="G197" s="93" t="s">
        <v>25</v>
      </c>
      <c r="H197" s="95">
        <v>41922785</v>
      </c>
      <c r="I197" s="95" t="s">
        <v>3788</v>
      </c>
      <c r="J197" s="97" t="s">
        <v>1307</v>
      </c>
      <c r="K197" s="93" t="s">
        <v>281</v>
      </c>
      <c r="L197" s="96">
        <v>41179</v>
      </c>
      <c r="M197" s="96">
        <v>46833</v>
      </c>
      <c r="N197" s="88">
        <f t="shared" ca="1" si="8"/>
        <v>-646</v>
      </c>
      <c r="O197" s="84" t="str">
        <f ca="1">IF(Tabla1[[#This Row],[|]]&gt;=0,"VENCIDA",IF(Tabla1[[#This Row],[|]]&gt;=-14,"POR VENCER","OK"))</f>
        <v>OK</v>
      </c>
      <c r="P197" s="95" t="s">
        <v>2827</v>
      </c>
      <c r="Q197" s="95" t="s">
        <v>312</v>
      </c>
      <c r="R197" s="93" t="s">
        <v>317</v>
      </c>
      <c r="S197" s="93"/>
      <c r="T197" s="93"/>
      <c r="U197" s="93"/>
      <c r="V197" s="95" t="s">
        <v>1981</v>
      </c>
      <c r="W197" s="97" t="s">
        <v>3619</v>
      </c>
      <c r="X197" s="204" t="s">
        <v>2866</v>
      </c>
    </row>
    <row r="198" spans="1:24" s="63" customFormat="1" ht="32.25" customHeight="1" x14ac:dyDescent="0.2">
      <c r="A198" s="202">
        <v>226</v>
      </c>
      <c r="B198" s="88" t="s">
        <v>279</v>
      </c>
      <c r="C198" s="89">
        <v>226</v>
      </c>
      <c r="D198" s="88" t="str">
        <f t="shared" si="7"/>
        <v>SUPERMIX226</v>
      </c>
      <c r="E198" s="58" t="s">
        <v>802</v>
      </c>
      <c r="F198" s="58" t="s">
        <v>803</v>
      </c>
      <c r="G198" s="90" t="s">
        <v>25</v>
      </c>
      <c r="H198" s="90">
        <v>23939348</v>
      </c>
      <c r="I198" s="90" t="s">
        <v>3787</v>
      </c>
      <c r="J198" s="90" t="s">
        <v>804</v>
      </c>
      <c r="K198" s="90" t="s">
        <v>281</v>
      </c>
      <c r="L198" s="91">
        <v>41608</v>
      </c>
      <c r="M198" s="91">
        <v>42405</v>
      </c>
      <c r="N198" s="88">
        <f t="shared" ca="1" si="8"/>
        <v>3782</v>
      </c>
      <c r="O198" s="84" t="str">
        <f ca="1">IF(Tabla1[[#This Row],[|]]&gt;=0,"VENCIDA",IF(Tabla1[[#This Row],[|]]&gt;=-14,"POR VENCER","OK"))</f>
        <v>VENCIDA</v>
      </c>
      <c r="P198" s="90" t="s">
        <v>323</v>
      </c>
      <c r="Q198" s="90" t="s">
        <v>312</v>
      </c>
      <c r="R198" s="90"/>
      <c r="S198" s="90"/>
      <c r="T198" s="90"/>
      <c r="U198" s="90"/>
      <c r="V198" s="90" t="s">
        <v>763</v>
      </c>
      <c r="W198" s="90" t="s">
        <v>416</v>
      </c>
      <c r="X198" s="203"/>
    </row>
    <row r="199" spans="1:24" s="63" customFormat="1" ht="32.25" customHeight="1" x14ac:dyDescent="0.2">
      <c r="A199" s="202">
        <v>227</v>
      </c>
      <c r="B199" s="88" t="s">
        <v>279</v>
      </c>
      <c r="C199" s="89">
        <v>227</v>
      </c>
      <c r="D199" s="88" t="str">
        <f t="shared" si="7"/>
        <v>SUPERMIX227</v>
      </c>
      <c r="E199" s="58" t="s">
        <v>529</v>
      </c>
      <c r="F199" s="58" t="s">
        <v>530</v>
      </c>
      <c r="G199" s="90" t="s">
        <v>25</v>
      </c>
      <c r="H199" s="88">
        <v>30661632</v>
      </c>
      <c r="I199" s="88" t="s">
        <v>3787</v>
      </c>
      <c r="J199" s="88" t="s">
        <v>1107</v>
      </c>
      <c r="K199" s="88" t="s">
        <v>281</v>
      </c>
      <c r="L199" s="91">
        <v>35310</v>
      </c>
      <c r="M199" s="91">
        <v>44585</v>
      </c>
      <c r="N199" s="88">
        <f t="shared" ca="1" si="8"/>
        <v>1602</v>
      </c>
      <c r="O199" s="84" t="str">
        <f ca="1">IF(Tabla1[[#This Row],[|]]&gt;=0,"VENCIDA",IF(Tabla1[[#This Row],[|]]&gt;=-14,"POR VENCER","OK"))</f>
        <v>VENCIDA</v>
      </c>
      <c r="P199" s="90" t="s">
        <v>2926</v>
      </c>
      <c r="Q199" s="90" t="s">
        <v>312</v>
      </c>
      <c r="R199" s="88" t="s">
        <v>17</v>
      </c>
      <c r="S199" s="88"/>
      <c r="T199" s="88"/>
      <c r="U199" s="88"/>
      <c r="V199" s="88" t="s">
        <v>443</v>
      </c>
      <c r="W199" s="88" t="s">
        <v>2776</v>
      </c>
      <c r="X199" s="209" t="s">
        <v>2927</v>
      </c>
    </row>
    <row r="200" spans="1:24" s="63" customFormat="1" ht="32.25" customHeight="1" x14ac:dyDescent="0.2">
      <c r="A200" s="205">
        <v>230</v>
      </c>
      <c r="B200" s="88" t="s">
        <v>279</v>
      </c>
      <c r="C200" s="89">
        <v>230</v>
      </c>
      <c r="D200" s="88" t="str">
        <f t="shared" ref="D200:D263" si="9">CONCATENATE(B200,C200)</f>
        <v>SUPERMIX230</v>
      </c>
      <c r="E200" s="105" t="s">
        <v>531</v>
      </c>
      <c r="F200" s="58" t="s">
        <v>532</v>
      </c>
      <c r="G200" s="88" t="s">
        <v>25</v>
      </c>
      <c r="H200" s="88">
        <v>41426235</v>
      </c>
      <c r="I200" s="88" t="s">
        <v>3787</v>
      </c>
      <c r="J200" s="88" t="s">
        <v>565</v>
      </c>
      <c r="K200" s="88" t="s">
        <v>281</v>
      </c>
      <c r="L200" s="91">
        <v>39609</v>
      </c>
      <c r="M200" s="91">
        <v>41859</v>
      </c>
      <c r="N200" s="88">
        <f t="shared" ca="1" si="8"/>
        <v>4328</v>
      </c>
      <c r="O200" s="84" t="str">
        <f ca="1">IF(Tabla1[[#This Row],[|]]&gt;=0,"VENCIDA",IF(Tabla1[[#This Row],[|]]&gt;=-14,"POR VENCER","OK"))</f>
        <v>VENCIDA</v>
      </c>
      <c r="P200" s="90" t="s">
        <v>1510</v>
      </c>
      <c r="Q200" s="90" t="s">
        <v>312</v>
      </c>
      <c r="R200" s="88" t="s">
        <v>17</v>
      </c>
      <c r="S200" s="88"/>
      <c r="T200" s="88"/>
      <c r="U200" s="88"/>
      <c r="V200" s="88" t="s">
        <v>306</v>
      </c>
      <c r="W200" s="88" t="s">
        <v>377</v>
      </c>
      <c r="X200" s="209">
        <v>16</v>
      </c>
    </row>
    <row r="201" spans="1:24" s="63" customFormat="1" ht="32.25" customHeight="1" x14ac:dyDescent="0.2">
      <c r="A201" s="202">
        <v>231</v>
      </c>
      <c r="B201" s="88" t="s">
        <v>279</v>
      </c>
      <c r="C201" s="89">
        <v>231</v>
      </c>
      <c r="D201" s="88" t="str">
        <f t="shared" si="9"/>
        <v>SUPERMIX231</v>
      </c>
      <c r="E201" s="58" t="s">
        <v>533</v>
      </c>
      <c r="F201" s="58" t="s">
        <v>534</v>
      </c>
      <c r="G201" s="88" t="s">
        <v>25</v>
      </c>
      <c r="H201" s="88">
        <v>41203589</v>
      </c>
      <c r="I201" s="88" t="s">
        <v>3787</v>
      </c>
      <c r="J201" s="88" t="s">
        <v>557</v>
      </c>
      <c r="K201" s="88" t="s">
        <v>281</v>
      </c>
      <c r="L201" s="91">
        <v>41481</v>
      </c>
      <c r="M201" s="91">
        <v>41673</v>
      </c>
      <c r="N201" s="88">
        <f t="shared" ca="1" si="8"/>
        <v>4514</v>
      </c>
      <c r="O201" s="84" t="str">
        <f ca="1">IF(Tabla1[[#This Row],[|]]&gt;=0,"VENCIDA",IF(Tabla1[[#This Row],[|]]&gt;=-14,"POR VENCER","OK"))</f>
        <v>VENCIDA</v>
      </c>
      <c r="P201" s="90" t="s">
        <v>597</v>
      </c>
      <c r="Q201" s="90" t="s">
        <v>312</v>
      </c>
      <c r="R201" s="88" t="s">
        <v>17</v>
      </c>
      <c r="S201" s="88"/>
      <c r="T201" s="88"/>
      <c r="U201" s="88"/>
      <c r="V201" s="88" t="s">
        <v>715</v>
      </c>
      <c r="W201" s="88" t="s">
        <v>716</v>
      </c>
      <c r="X201" s="209"/>
    </row>
    <row r="202" spans="1:24" s="63" customFormat="1" ht="32.25" customHeight="1" x14ac:dyDescent="0.2">
      <c r="A202" s="202">
        <v>235</v>
      </c>
      <c r="B202" s="88" t="s">
        <v>279</v>
      </c>
      <c r="C202" s="89">
        <v>235</v>
      </c>
      <c r="D202" s="88" t="str">
        <f t="shared" si="9"/>
        <v>SUPERMIX235</v>
      </c>
      <c r="E202" s="58" t="s">
        <v>536</v>
      </c>
      <c r="F202" s="58" t="s">
        <v>553</v>
      </c>
      <c r="G202" s="88" t="s">
        <v>25</v>
      </c>
      <c r="H202" s="90">
        <v>29639240</v>
      </c>
      <c r="I202" s="90" t="s">
        <v>3787</v>
      </c>
      <c r="J202" s="88" t="s">
        <v>554</v>
      </c>
      <c r="K202" s="88" t="s">
        <v>281</v>
      </c>
      <c r="L202" s="91">
        <v>41475</v>
      </c>
      <c r="M202" s="91">
        <v>42722</v>
      </c>
      <c r="N202" s="88">
        <f t="shared" ca="1" si="8"/>
        <v>3465</v>
      </c>
      <c r="O202" s="84" t="str">
        <f ca="1">IF(Tabla1[[#This Row],[|]]&gt;=0,"VENCIDA",IF(Tabla1[[#This Row],[|]]&gt;=-14,"POR VENCER","OK"))</f>
        <v>VENCIDA</v>
      </c>
      <c r="P202" s="90" t="s">
        <v>597</v>
      </c>
      <c r="Q202" s="90" t="s">
        <v>312</v>
      </c>
      <c r="R202" s="88" t="s">
        <v>317</v>
      </c>
      <c r="S202" s="88"/>
      <c r="T202" s="88"/>
      <c r="U202" s="88"/>
      <c r="V202" s="88" t="s">
        <v>612</v>
      </c>
      <c r="W202" s="92" t="s">
        <v>704</v>
      </c>
      <c r="X202" s="203"/>
    </row>
    <row r="203" spans="1:24" s="63" customFormat="1" ht="32.25" customHeight="1" x14ac:dyDescent="0.2">
      <c r="A203" s="202">
        <v>237</v>
      </c>
      <c r="B203" s="88" t="s">
        <v>279</v>
      </c>
      <c r="C203" s="89">
        <v>237</v>
      </c>
      <c r="D203" s="88" t="str">
        <f t="shared" si="9"/>
        <v>SUPERMIX237</v>
      </c>
      <c r="E203" s="105" t="s">
        <v>537</v>
      </c>
      <c r="F203" s="58" t="s">
        <v>26</v>
      </c>
      <c r="G203" s="88" t="s">
        <v>25</v>
      </c>
      <c r="H203" s="107" t="s">
        <v>538</v>
      </c>
      <c r="I203" s="107" t="s">
        <v>3787</v>
      </c>
      <c r="J203" s="107" t="s">
        <v>934</v>
      </c>
      <c r="K203" s="88" t="s">
        <v>281</v>
      </c>
      <c r="L203" s="91">
        <v>37812</v>
      </c>
      <c r="M203" s="91">
        <v>44271</v>
      </c>
      <c r="N203" s="88">
        <f t="shared" ca="1" si="8"/>
        <v>1916</v>
      </c>
      <c r="O203" s="84" t="str">
        <f ca="1">IF(Tabla1[[#This Row],[|]]&gt;=0,"VENCIDA",IF(Tabla1[[#This Row],[|]]&gt;=-14,"POR VENCER","OK"))</f>
        <v>VENCIDA</v>
      </c>
      <c r="P203" s="90" t="s">
        <v>2847</v>
      </c>
      <c r="Q203" s="90" t="s">
        <v>312</v>
      </c>
      <c r="R203" s="88" t="s">
        <v>317</v>
      </c>
      <c r="S203" s="88"/>
      <c r="T203" s="88"/>
      <c r="U203" s="88"/>
      <c r="V203" s="90" t="s">
        <v>372</v>
      </c>
      <c r="W203" s="92" t="s">
        <v>2776</v>
      </c>
      <c r="X203" s="203" t="s">
        <v>597</v>
      </c>
    </row>
    <row r="204" spans="1:24" s="63" customFormat="1" ht="32.25" customHeight="1" x14ac:dyDescent="0.2">
      <c r="A204" s="202">
        <v>238</v>
      </c>
      <c r="B204" s="88" t="s">
        <v>279</v>
      </c>
      <c r="C204" s="88">
        <v>238</v>
      </c>
      <c r="D204" s="88" t="str">
        <f t="shared" si="9"/>
        <v>SUPERMIX238</v>
      </c>
      <c r="E204" s="105" t="s">
        <v>539</v>
      </c>
      <c r="F204" s="58" t="s">
        <v>661</v>
      </c>
      <c r="G204" s="88" t="s">
        <v>310</v>
      </c>
      <c r="H204" s="90">
        <v>46201212</v>
      </c>
      <c r="I204" s="90" t="s">
        <v>3787</v>
      </c>
      <c r="J204" s="90" t="s">
        <v>662</v>
      </c>
      <c r="K204" s="88" t="s">
        <v>343</v>
      </c>
      <c r="L204" s="91"/>
      <c r="M204" s="91">
        <v>41929</v>
      </c>
      <c r="N204" s="88">
        <f t="shared" ca="1" si="8"/>
        <v>4258</v>
      </c>
      <c r="O204" s="84" t="str">
        <f ca="1">IF(Tabla1[[#This Row],[|]]&gt;=0,"VENCIDA",IF(Tabla1[[#This Row],[|]]&gt;=-14,"POR VENCER","OK"))</f>
        <v>VENCIDA</v>
      </c>
      <c r="P204" s="90" t="s">
        <v>321</v>
      </c>
      <c r="Q204" s="90" t="s">
        <v>312</v>
      </c>
      <c r="R204" s="88" t="s">
        <v>317</v>
      </c>
      <c r="S204" s="88"/>
      <c r="T204" s="88"/>
      <c r="U204" s="88"/>
      <c r="V204" s="90" t="s">
        <v>656</v>
      </c>
      <c r="W204" s="92" t="s">
        <v>373</v>
      </c>
      <c r="X204" s="203"/>
    </row>
    <row r="205" spans="1:24" s="63" customFormat="1" ht="32.25" customHeight="1" x14ac:dyDescent="0.2">
      <c r="A205" s="202">
        <v>239</v>
      </c>
      <c r="B205" s="88" t="s">
        <v>279</v>
      </c>
      <c r="C205" s="89">
        <v>239</v>
      </c>
      <c r="D205" s="88" t="str">
        <f t="shared" si="9"/>
        <v>SUPERMIX239</v>
      </c>
      <c r="E205" s="58" t="s">
        <v>542</v>
      </c>
      <c r="F205" s="58" t="s">
        <v>543</v>
      </c>
      <c r="G205" s="88" t="s">
        <v>25</v>
      </c>
      <c r="H205" s="88">
        <v>29585822</v>
      </c>
      <c r="I205" s="88" t="s">
        <v>3787</v>
      </c>
      <c r="J205" s="90" t="s">
        <v>544</v>
      </c>
      <c r="K205" s="88" t="s">
        <v>293</v>
      </c>
      <c r="L205" s="91">
        <v>40700</v>
      </c>
      <c r="M205" s="91">
        <v>42870</v>
      </c>
      <c r="N205" s="88">
        <f t="shared" ca="1" si="8"/>
        <v>3317</v>
      </c>
      <c r="O205" s="84" t="str">
        <f ca="1">IF(Tabla1[[#This Row],[|]]&gt;=0,"VENCIDA",IF(Tabla1[[#This Row],[|]]&gt;=-14,"POR VENCER","OK"))</f>
        <v>VENCIDA</v>
      </c>
      <c r="P205" s="90" t="s">
        <v>597</v>
      </c>
      <c r="Q205" s="90" t="s">
        <v>312</v>
      </c>
      <c r="R205" s="88" t="s">
        <v>317</v>
      </c>
      <c r="S205" s="88"/>
      <c r="T205" s="88"/>
      <c r="U205" s="88"/>
      <c r="V205" s="88" t="s">
        <v>282</v>
      </c>
      <c r="W205" s="92" t="s">
        <v>672</v>
      </c>
      <c r="X205" s="203">
        <v>14</v>
      </c>
    </row>
    <row r="206" spans="1:24" s="63" customFormat="1" ht="32.25" customHeight="1" x14ac:dyDescent="0.2">
      <c r="A206" s="202">
        <v>240</v>
      </c>
      <c r="B206" s="88" t="s">
        <v>279</v>
      </c>
      <c r="C206" s="89">
        <v>240</v>
      </c>
      <c r="D206" s="88" t="str">
        <f t="shared" si="9"/>
        <v>SUPERMIX240</v>
      </c>
      <c r="E206" s="105" t="s">
        <v>546</v>
      </c>
      <c r="F206" s="58" t="s">
        <v>547</v>
      </c>
      <c r="G206" s="88" t="s">
        <v>25</v>
      </c>
      <c r="H206" s="90">
        <v>40439404</v>
      </c>
      <c r="I206" s="90" t="s">
        <v>3787</v>
      </c>
      <c r="J206" s="92" t="s">
        <v>548</v>
      </c>
      <c r="K206" s="88" t="s">
        <v>281</v>
      </c>
      <c r="L206" s="91">
        <v>40437</v>
      </c>
      <c r="M206" s="91">
        <v>41533</v>
      </c>
      <c r="N206" s="88">
        <f t="shared" ca="1" si="8"/>
        <v>4654</v>
      </c>
      <c r="O206" s="84" t="str">
        <f ca="1">IF(Tabla1[[#This Row],[|]]&gt;=0,"VENCIDA",IF(Tabla1[[#This Row],[|]]&gt;=-14,"POR VENCER","OK"))</f>
        <v>VENCIDA</v>
      </c>
      <c r="P206" s="90" t="s">
        <v>597</v>
      </c>
      <c r="Q206" s="90" t="s">
        <v>312</v>
      </c>
      <c r="R206" s="88" t="s">
        <v>17</v>
      </c>
      <c r="S206" s="88"/>
      <c r="T206" s="88"/>
      <c r="U206" s="88"/>
      <c r="V206" s="90" t="s">
        <v>352</v>
      </c>
      <c r="W206" s="92" t="s">
        <v>353</v>
      </c>
      <c r="X206" s="203"/>
    </row>
    <row r="207" spans="1:24" s="63" customFormat="1" ht="32.25" customHeight="1" x14ac:dyDescent="0.2">
      <c r="A207" s="202">
        <v>241</v>
      </c>
      <c r="B207" s="88" t="s">
        <v>279</v>
      </c>
      <c r="C207" s="89">
        <v>241</v>
      </c>
      <c r="D207" s="88" t="str">
        <f t="shared" si="9"/>
        <v>SUPERMIX241</v>
      </c>
      <c r="E207" s="105" t="s">
        <v>770</v>
      </c>
      <c r="F207" s="58" t="s">
        <v>771</v>
      </c>
      <c r="G207" s="88" t="s">
        <v>310</v>
      </c>
      <c r="H207" s="90">
        <v>29700400</v>
      </c>
      <c r="I207" s="90" t="s">
        <v>3787</v>
      </c>
      <c r="J207" s="92" t="s">
        <v>772</v>
      </c>
      <c r="K207" s="88" t="s">
        <v>281</v>
      </c>
      <c r="L207" s="91">
        <v>39647</v>
      </c>
      <c r="M207" s="91">
        <v>42860</v>
      </c>
      <c r="N207" s="88">
        <f t="shared" ca="1" si="8"/>
        <v>3327</v>
      </c>
      <c r="O207" s="84" t="str">
        <f ca="1">IF(Tabla1[[#This Row],[|]]&gt;=0,"VENCIDA",IF(Tabla1[[#This Row],[|]]&gt;=-14,"POR VENCER","OK"))</f>
        <v>VENCIDA</v>
      </c>
      <c r="P207" s="90" t="s">
        <v>624</v>
      </c>
      <c r="Q207" s="90" t="s">
        <v>312</v>
      </c>
      <c r="R207" s="88" t="s">
        <v>317</v>
      </c>
      <c r="S207" s="88"/>
      <c r="T207" s="88"/>
      <c r="U207" s="88"/>
      <c r="V207" s="88" t="s">
        <v>763</v>
      </c>
      <c r="W207" s="92" t="s">
        <v>416</v>
      </c>
      <c r="X207" s="203"/>
    </row>
    <row r="208" spans="1:24" s="63" customFormat="1" ht="32.25" customHeight="1" x14ac:dyDescent="0.2">
      <c r="A208" s="202">
        <v>243</v>
      </c>
      <c r="B208" s="88" t="s">
        <v>279</v>
      </c>
      <c r="C208" s="89">
        <v>243</v>
      </c>
      <c r="D208" s="88" t="str">
        <f t="shared" si="9"/>
        <v>SUPERMIX243</v>
      </c>
      <c r="E208" s="58" t="s">
        <v>550</v>
      </c>
      <c r="F208" s="58" t="s">
        <v>551</v>
      </c>
      <c r="G208" s="88" t="s">
        <v>310</v>
      </c>
      <c r="H208" s="90">
        <v>30862626</v>
      </c>
      <c r="I208" s="90" t="s">
        <v>3787</v>
      </c>
      <c r="J208" s="88" t="s">
        <v>552</v>
      </c>
      <c r="K208" s="88" t="s">
        <v>293</v>
      </c>
      <c r="L208" s="91">
        <v>41494</v>
      </c>
      <c r="M208" s="91">
        <v>41520</v>
      </c>
      <c r="N208" s="88">
        <f t="shared" ca="1" si="8"/>
        <v>4667</v>
      </c>
      <c r="O208" s="84" t="str">
        <f ca="1">IF(Tabla1[[#This Row],[|]]&gt;=0,"VENCIDA",IF(Tabla1[[#This Row],[|]]&gt;=-14,"POR VENCER","OK"))</f>
        <v>VENCIDA</v>
      </c>
      <c r="P208" s="90" t="s">
        <v>597</v>
      </c>
      <c r="Q208" s="90" t="s">
        <v>312</v>
      </c>
      <c r="R208" s="88" t="s">
        <v>317</v>
      </c>
      <c r="S208" s="88"/>
      <c r="T208" s="88"/>
      <c r="U208" s="88"/>
      <c r="V208" s="88" t="s">
        <v>715</v>
      </c>
      <c r="W208" s="92" t="s">
        <v>716</v>
      </c>
      <c r="X208" s="203"/>
    </row>
    <row r="209" spans="1:24" s="63" customFormat="1" ht="32.25" customHeight="1" x14ac:dyDescent="0.2">
      <c r="A209" s="202">
        <v>245</v>
      </c>
      <c r="B209" s="88" t="s">
        <v>279</v>
      </c>
      <c r="C209" s="89">
        <v>245</v>
      </c>
      <c r="D209" s="88" t="str">
        <f t="shared" si="9"/>
        <v>SUPERMIX245</v>
      </c>
      <c r="E209" s="58" t="s">
        <v>728</v>
      </c>
      <c r="F209" s="58" t="s">
        <v>729</v>
      </c>
      <c r="G209" s="88" t="s">
        <v>25</v>
      </c>
      <c r="H209" s="107" t="s">
        <v>730</v>
      </c>
      <c r="I209" s="107" t="s">
        <v>3787</v>
      </c>
      <c r="J209" s="88" t="s">
        <v>731</v>
      </c>
      <c r="K209" s="88" t="s">
        <v>281</v>
      </c>
      <c r="L209" s="91">
        <v>41085</v>
      </c>
      <c r="M209" s="91">
        <v>45440</v>
      </c>
      <c r="N209" s="88">
        <f t="shared" ca="1" si="8"/>
        <v>747</v>
      </c>
      <c r="O209" s="84" t="str">
        <f ca="1">IF(Tabla1[[#This Row],[|]]&gt;=0,"VENCIDA",IF(Tabla1[[#This Row],[|]]&gt;=-14,"POR VENCER","OK"))</f>
        <v>VENCIDA</v>
      </c>
      <c r="P209" s="90" t="s">
        <v>2847</v>
      </c>
      <c r="Q209" s="90" t="s">
        <v>312</v>
      </c>
      <c r="R209" s="88" t="s">
        <v>317</v>
      </c>
      <c r="S209" s="88"/>
      <c r="T209" s="88"/>
      <c r="U209" s="88"/>
      <c r="V209" s="88" t="s">
        <v>282</v>
      </c>
      <c r="W209" s="92" t="s">
        <v>850</v>
      </c>
      <c r="X209" s="203" t="s">
        <v>597</v>
      </c>
    </row>
    <row r="210" spans="1:24" s="72" customFormat="1" ht="32.25" customHeight="1" x14ac:dyDescent="0.2">
      <c r="A210" s="207">
        <v>248</v>
      </c>
      <c r="B210" s="123" t="s">
        <v>279</v>
      </c>
      <c r="C210" s="124">
        <v>248</v>
      </c>
      <c r="D210" s="123" t="str">
        <f t="shared" si="9"/>
        <v>SUPERMIX248</v>
      </c>
      <c r="E210" s="167" t="s">
        <v>558</v>
      </c>
      <c r="F210" s="167" t="s">
        <v>559</v>
      </c>
      <c r="G210" s="123" t="s">
        <v>25</v>
      </c>
      <c r="H210" s="129">
        <v>25208860</v>
      </c>
      <c r="I210" s="129" t="s">
        <v>3787</v>
      </c>
      <c r="J210" s="126" t="s">
        <v>560</v>
      </c>
      <c r="K210" s="123" t="s">
        <v>281</v>
      </c>
      <c r="L210" s="127">
        <v>30096</v>
      </c>
      <c r="M210" s="127">
        <v>42891</v>
      </c>
      <c r="N210" s="88">
        <f t="shared" ref="N210:N273" ca="1" si="10">TODAY()-M210</f>
        <v>3296</v>
      </c>
      <c r="O210" s="84" t="str">
        <f ca="1">IF(Tabla1[[#This Row],[|]]&gt;=0,"VENCIDA",IF(Tabla1[[#This Row],[|]]&gt;=-14,"POR VENCER","OK"))</f>
        <v>VENCIDA</v>
      </c>
      <c r="P210" s="125" t="s">
        <v>1083</v>
      </c>
      <c r="Q210" s="125" t="s">
        <v>312</v>
      </c>
      <c r="R210" s="123" t="s">
        <v>17</v>
      </c>
      <c r="S210" s="93"/>
      <c r="T210" s="93"/>
      <c r="U210" s="93"/>
      <c r="V210" s="125" t="s">
        <v>474</v>
      </c>
      <c r="W210" s="126"/>
      <c r="X210" s="208"/>
    </row>
    <row r="211" spans="1:24" s="43" customFormat="1" ht="32.25" customHeight="1" x14ac:dyDescent="0.2">
      <c r="A211" s="42">
        <v>249</v>
      </c>
      <c r="B211" s="93" t="s">
        <v>279</v>
      </c>
      <c r="C211" s="94">
        <v>249</v>
      </c>
      <c r="D211" s="93" t="str">
        <f t="shared" si="9"/>
        <v>SUPERMIX249</v>
      </c>
      <c r="E211" s="115" t="s">
        <v>561</v>
      </c>
      <c r="F211" s="115" t="s">
        <v>562</v>
      </c>
      <c r="G211" s="93" t="s">
        <v>25</v>
      </c>
      <c r="H211" s="95">
        <v>25000296</v>
      </c>
      <c r="I211" s="95" t="s">
        <v>3788</v>
      </c>
      <c r="J211" s="93" t="s">
        <v>563</v>
      </c>
      <c r="K211" s="93" t="s">
        <v>281</v>
      </c>
      <c r="L211" s="96">
        <v>38065</v>
      </c>
      <c r="M211" s="96">
        <v>47528</v>
      </c>
      <c r="N211" s="88">
        <f t="shared" ca="1" si="10"/>
        <v>-1341</v>
      </c>
      <c r="O211" s="84" t="str">
        <f ca="1">IF(Tabla1[[#This Row],[|]]&gt;=0,"VENCIDA",IF(Tabla1[[#This Row],[|]]&gt;=-14,"POR VENCER","OK"))</f>
        <v>OK</v>
      </c>
      <c r="P211" s="95" t="s">
        <v>4144</v>
      </c>
      <c r="Q211" s="95" t="s">
        <v>312</v>
      </c>
      <c r="R211" s="93" t="s">
        <v>317</v>
      </c>
      <c r="S211" s="93"/>
      <c r="T211" s="93"/>
      <c r="U211" s="93"/>
      <c r="V211" s="95" t="s">
        <v>474</v>
      </c>
      <c r="W211" s="97" t="s">
        <v>2776</v>
      </c>
      <c r="X211" s="204" t="s">
        <v>760</v>
      </c>
    </row>
    <row r="212" spans="1:24" s="63" customFormat="1" ht="32.25" customHeight="1" x14ac:dyDescent="0.2">
      <c r="A212" s="202">
        <v>250</v>
      </c>
      <c r="B212" s="88" t="s">
        <v>279</v>
      </c>
      <c r="C212" s="89">
        <v>250</v>
      </c>
      <c r="D212" s="88" t="str">
        <f t="shared" si="9"/>
        <v>SUPERMIX250</v>
      </c>
      <c r="E212" s="58" t="s">
        <v>569</v>
      </c>
      <c r="F212" s="58" t="s">
        <v>570</v>
      </c>
      <c r="G212" s="88" t="s">
        <v>25</v>
      </c>
      <c r="H212" s="90">
        <v>44437596</v>
      </c>
      <c r="I212" s="90" t="s">
        <v>3787</v>
      </c>
      <c r="J212" s="88" t="s">
        <v>571</v>
      </c>
      <c r="K212" s="88" t="s">
        <v>281</v>
      </c>
      <c r="L212" s="91">
        <v>41911</v>
      </c>
      <c r="M212" s="91">
        <v>43007</v>
      </c>
      <c r="N212" s="88">
        <f t="shared" ca="1" si="10"/>
        <v>3180</v>
      </c>
      <c r="O212" s="84" t="str">
        <f ca="1">IF(Tabla1[[#This Row],[|]]&gt;=0,"VENCIDA",IF(Tabla1[[#This Row],[|]]&gt;=-14,"POR VENCER","OK"))</f>
        <v>VENCIDA</v>
      </c>
      <c r="P212" s="90" t="s">
        <v>597</v>
      </c>
      <c r="Q212" s="90" t="s">
        <v>312</v>
      </c>
      <c r="R212" s="88" t="s">
        <v>317</v>
      </c>
      <c r="S212" s="88"/>
      <c r="T212" s="88"/>
      <c r="U212" s="88"/>
      <c r="V212" s="88" t="s">
        <v>282</v>
      </c>
      <c r="W212" s="92" t="s">
        <v>1350</v>
      </c>
      <c r="X212" s="203">
        <v>14</v>
      </c>
    </row>
    <row r="213" spans="1:24" s="63" customFormat="1" ht="32.25" customHeight="1" x14ac:dyDescent="0.2">
      <c r="A213" s="202">
        <v>251</v>
      </c>
      <c r="B213" s="88" t="s">
        <v>279</v>
      </c>
      <c r="C213" s="89">
        <v>251</v>
      </c>
      <c r="D213" s="88" t="str">
        <f t="shared" si="9"/>
        <v>SUPERMIX251</v>
      </c>
      <c r="E213" s="58" t="s">
        <v>572</v>
      </c>
      <c r="F213" s="58" t="s">
        <v>573</v>
      </c>
      <c r="G213" s="88" t="s">
        <v>25</v>
      </c>
      <c r="H213" s="90">
        <v>40867301</v>
      </c>
      <c r="I213" s="90" t="s">
        <v>3787</v>
      </c>
      <c r="J213" s="88" t="s">
        <v>614</v>
      </c>
      <c r="K213" s="88" t="s">
        <v>293</v>
      </c>
      <c r="L213" s="91">
        <v>41478</v>
      </c>
      <c r="M213" s="91">
        <v>41519</v>
      </c>
      <c r="N213" s="88">
        <f t="shared" ca="1" si="10"/>
        <v>4668</v>
      </c>
      <c r="O213" s="84" t="str">
        <f ca="1">IF(Tabla1[[#This Row],[|]]&gt;=0,"VENCIDA",IF(Tabla1[[#This Row],[|]]&gt;=-14,"POR VENCER","OK"))</f>
        <v>VENCIDA</v>
      </c>
      <c r="P213" s="90" t="s">
        <v>597</v>
      </c>
      <c r="Q213" s="90" t="s">
        <v>312</v>
      </c>
      <c r="R213" s="88" t="s">
        <v>317</v>
      </c>
      <c r="S213" s="88"/>
      <c r="T213" s="88"/>
      <c r="U213" s="88"/>
      <c r="V213" s="90" t="s">
        <v>549</v>
      </c>
      <c r="W213" s="92" t="s">
        <v>710</v>
      </c>
      <c r="X213" s="203"/>
    </row>
    <row r="214" spans="1:24" s="43" customFormat="1" ht="32.25" customHeight="1" x14ac:dyDescent="0.2">
      <c r="A214" s="42">
        <v>252</v>
      </c>
      <c r="B214" s="93" t="s">
        <v>279</v>
      </c>
      <c r="C214" s="94">
        <v>252</v>
      </c>
      <c r="D214" s="93" t="str">
        <f t="shared" si="9"/>
        <v>SUPERMIX252</v>
      </c>
      <c r="E214" s="115" t="s">
        <v>574</v>
      </c>
      <c r="F214" s="115" t="s">
        <v>575</v>
      </c>
      <c r="G214" s="93" t="s">
        <v>310</v>
      </c>
      <c r="H214" s="95">
        <v>29423248</v>
      </c>
      <c r="I214" s="95" t="s">
        <v>3788</v>
      </c>
      <c r="J214" s="111" t="s">
        <v>576</v>
      </c>
      <c r="K214" s="93" t="s">
        <v>281</v>
      </c>
      <c r="L214" s="96">
        <v>38518</v>
      </c>
      <c r="M214" s="96">
        <v>46252</v>
      </c>
      <c r="N214" s="88">
        <f t="shared" ca="1" si="10"/>
        <v>-65</v>
      </c>
      <c r="O214" s="84" t="str">
        <f ca="1">IF(Tabla1[[#This Row],[|]]&gt;=0,"VENCIDA",IF(Tabla1[[#This Row],[|]]&gt;=-14,"POR VENCER","OK"))</f>
        <v>OK</v>
      </c>
      <c r="P214" s="95" t="s">
        <v>3396</v>
      </c>
      <c r="Q214" s="95" t="s">
        <v>312</v>
      </c>
      <c r="R214" s="93" t="s">
        <v>17</v>
      </c>
      <c r="S214" s="93"/>
      <c r="T214" s="93"/>
      <c r="U214" s="93"/>
      <c r="V214" s="93" t="s">
        <v>423</v>
      </c>
      <c r="W214" s="97" t="s">
        <v>3397</v>
      </c>
      <c r="X214" s="204" t="s">
        <v>1788</v>
      </c>
    </row>
    <row r="215" spans="1:24" s="63" customFormat="1" ht="32.25" customHeight="1" x14ac:dyDescent="0.2">
      <c r="A215" s="202">
        <v>253</v>
      </c>
      <c r="B215" s="88" t="s">
        <v>279</v>
      </c>
      <c r="C215" s="89">
        <v>253</v>
      </c>
      <c r="D215" s="88" t="str">
        <f t="shared" si="9"/>
        <v>SUPERMIX253</v>
      </c>
      <c r="E215" s="58" t="s">
        <v>577</v>
      </c>
      <c r="F215" s="58" t="s">
        <v>578</v>
      </c>
      <c r="G215" s="88" t="s">
        <v>25</v>
      </c>
      <c r="H215" s="99">
        <v>29688208</v>
      </c>
      <c r="I215" s="99" t="s">
        <v>3787</v>
      </c>
      <c r="J215" s="88" t="s">
        <v>579</v>
      </c>
      <c r="K215" s="88" t="s">
        <v>281</v>
      </c>
      <c r="L215" s="91">
        <v>41472</v>
      </c>
      <c r="M215" s="91">
        <v>42493</v>
      </c>
      <c r="N215" s="88">
        <f t="shared" ca="1" si="10"/>
        <v>3694</v>
      </c>
      <c r="O215" s="84" t="str">
        <f ca="1">IF(Tabla1[[#This Row],[|]]&gt;=0,"VENCIDA",IF(Tabla1[[#This Row],[|]]&gt;=-14,"POR VENCER","OK"))</f>
        <v>VENCIDA</v>
      </c>
      <c r="P215" s="90" t="s">
        <v>597</v>
      </c>
      <c r="Q215" s="90" t="s">
        <v>312</v>
      </c>
      <c r="R215" s="88" t="s">
        <v>17</v>
      </c>
      <c r="S215" s="88"/>
      <c r="T215" s="88"/>
      <c r="U215" s="88"/>
      <c r="V215" s="88" t="s">
        <v>282</v>
      </c>
      <c r="W215" s="92" t="s">
        <v>672</v>
      </c>
      <c r="X215" s="203"/>
    </row>
    <row r="216" spans="1:24" s="63" customFormat="1" ht="32.25" customHeight="1" x14ac:dyDescent="0.2">
      <c r="A216" s="202">
        <v>254</v>
      </c>
      <c r="B216" s="88" t="s">
        <v>279</v>
      </c>
      <c r="C216" s="89">
        <v>254</v>
      </c>
      <c r="D216" s="88" t="str">
        <f t="shared" si="9"/>
        <v>SUPERMIX254</v>
      </c>
      <c r="E216" s="58" t="s">
        <v>580</v>
      </c>
      <c r="F216" s="58" t="s">
        <v>581</v>
      </c>
      <c r="G216" s="88" t="s">
        <v>25</v>
      </c>
      <c r="H216" s="99">
        <v>41157237</v>
      </c>
      <c r="I216" s="99" t="s">
        <v>3787</v>
      </c>
      <c r="J216" s="109" t="s">
        <v>582</v>
      </c>
      <c r="K216" s="88" t="s">
        <v>281</v>
      </c>
      <c r="L216" s="91">
        <v>39295</v>
      </c>
      <c r="M216" s="91">
        <v>42512</v>
      </c>
      <c r="N216" s="88">
        <f t="shared" ca="1" si="10"/>
        <v>3675</v>
      </c>
      <c r="O216" s="84" t="str">
        <f ca="1">IF(Tabla1[[#This Row],[|]]&gt;=0,"VENCIDA",IF(Tabla1[[#This Row],[|]]&gt;=-14,"POR VENCER","OK"))</f>
        <v>VENCIDA</v>
      </c>
      <c r="P216" s="90" t="s">
        <v>1786</v>
      </c>
      <c r="Q216" s="90" t="s">
        <v>312</v>
      </c>
      <c r="R216" s="88" t="s">
        <v>317</v>
      </c>
      <c r="S216" s="88"/>
      <c r="T216" s="88"/>
      <c r="U216" s="88"/>
      <c r="V216" s="88" t="s">
        <v>306</v>
      </c>
      <c r="W216" s="92" t="s">
        <v>649</v>
      </c>
      <c r="X216" s="203"/>
    </row>
    <row r="217" spans="1:24" s="63" customFormat="1" ht="32.25" customHeight="1" x14ac:dyDescent="0.2">
      <c r="A217" s="202">
        <v>255</v>
      </c>
      <c r="B217" s="88" t="s">
        <v>279</v>
      </c>
      <c r="C217" s="89">
        <v>255</v>
      </c>
      <c r="D217" s="88" t="str">
        <f t="shared" si="9"/>
        <v>SUPERMIX255</v>
      </c>
      <c r="E217" s="58" t="s">
        <v>583</v>
      </c>
      <c r="F217" s="58" t="s">
        <v>584</v>
      </c>
      <c r="G217" s="88" t="s">
        <v>25</v>
      </c>
      <c r="H217" s="90">
        <v>29384104</v>
      </c>
      <c r="I217" s="90" t="s">
        <v>3787</v>
      </c>
      <c r="J217" s="88" t="s">
        <v>585</v>
      </c>
      <c r="K217" s="88" t="s">
        <v>281</v>
      </c>
      <c r="L217" s="91">
        <v>41600</v>
      </c>
      <c r="M217" s="91">
        <v>43575</v>
      </c>
      <c r="N217" s="88">
        <f t="shared" ca="1" si="10"/>
        <v>2612</v>
      </c>
      <c r="O217" s="84" t="str">
        <f ca="1">IF(Tabla1[[#This Row],[|]]&gt;=0,"VENCIDA",IF(Tabla1[[#This Row],[|]]&gt;=-14,"POR VENCER","OK"))</f>
        <v>VENCIDA</v>
      </c>
      <c r="P217" s="90" t="s">
        <v>1059</v>
      </c>
      <c r="Q217" s="90" t="s">
        <v>312</v>
      </c>
      <c r="R217" s="88" t="s">
        <v>317</v>
      </c>
      <c r="S217" s="88"/>
      <c r="T217" s="88"/>
      <c r="U217" s="88"/>
      <c r="V217" s="88" t="s">
        <v>282</v>
      </c>
      <c r="W217" s="92" t="s">
        <v>672</v>
      </c>
      <c r="X217" s="203"/>
    </row>
    <row r="218" spans="1:24" s="43" customFormat="1" ht="32.25" customHeight="1" x14ac:dyDescent="0.2">
      <c r="A218" s="42">
        <v>256</v>
      </c>
      <c r="B218" s="93" t="s">
        <v>279</v>
      </c>
      <c r="C218" s="94">
        <v>256</v>
      </c>
      <c r="D218" s="93" t="str">
        <f t="shared" si="9"/>
        <v>SUPERMIX256</v>
      </c>
      <c r="E218" s="115" t="s">
        <v>588</v>
      </c>
      <c r="F218" s="115" t="s">
        <v>589</v>
      </c>
      <c r="G218" s="93" t="s">
        <v>2825</v>
      </c>
      <c r="H218" s="95">
        <v>44452843</v>
      </c>
      <c r="I218" s="95" t="s">
        <v>3788</v>
      </c>
      <c r="J218" s="93" t="s">
        <v>590</v>
      </c>
      <c r="K218" s="93" t="s">
        <v>3623</v>
      </c>
      <c r="L218" s="96">
        <v>41162</v>
      </c>
      <c r="M218" s="96">
        <v>46313</v>
      </c>
      <c r="N218" s="88">
        <f t="shared" ca="1" si="10"/>
        <v>-126</v>
      </c>
      <c r="O218" s="84" t="str">
        <f ca="1">IF(Tabla1[[#This Row],[|]]&gt;=0,"VENCIDA",IF(Tabla1[[#This Row],[|]]&gt;=-14,"POR VENCER","OK"))</f>
        <v>OK</v>
      </c>
      <c r="P218" s="95" t="s">
        <v>3597</v>
      </c>
      <c r="Q218" s="95" t="s">
        <v>312</v>
      </c>
      <c r="R218" s="93" t="s">
        <v>317</v>
      </c>
      <c r="S218" s="93"/>
      <c r="T218" s="93"/>
      <c r="U218" s="93"/>
      <c r="V218" s="93" t="s">
        <v>306</v>
      </c>
      <c r="W218" s="97" t="s">
        <v>1017</v>
      </c>
      <c r="X218" s="204" t="s">
        <v>2819</v>
      </c>
    </row>
    <row r="219" spans="1:24" s="63" customFormat="1" ht="32.25" customHeight="1" x14ac:dyDescent="0.2">
      <c r="A219" s="202">
        <v>257</v>
      </c>
      <c r="B219" s="88" t="s">
        <v>279</v>
      </c>
      <c r="C219" s="89">
        <v>257</v>
      </c>
      <c r="D219" s="88" t="str">
        <f t="shared" si="9"/>
        <v>SUPERMIX257</v>
      </c>
      <c r="E219" s="58" t="s">
        <v>591</v>
      </c>
      <c r="F219" s="58" t="s">
        <v>592</v>
      </c>
      <c r="G219" s="88" t="s">
        <v>310</v>
      </c>
      <c r="H219" s="90">
        <v>29627597</v>
      </c>
      <c r="I219" s="90" t="s">
        <v>3787</v>
      </c>
      <c r="J219" s="88" t="s">
        <v>593</v>
      </c>
      <c r="K219" s="88" t="s">
        <v>3623</v>
      </c>
      <c r="L219" s="91">
        <v>40284</v>
      </c>
      <c r="M219" s="91">
        <v>46685</v>
      </c>
      <c r="N219" s="88">
        <f t="shared" ca="1" si="10"/>
        <v>-498</v>
      </c>
      <c r="O219" s="84" t="str">
        <f ca="1">IF(Tabla1[[#This Row],[|]]&gt;=0,"VENCIDA",IF(Tabla1[[#This Row],[|]]&gt;=-14,"POR VENCER","OK"))</f>
        <v>OK</v>
      </c>
      <c r="P219" s="90" t="s">
        <v>3713</v>
      </c>
      <c r="Q219" s="90" t="s">
        <v>312</v>
      </c>
      <c r="R219" s="88" t="s">
        <v>17</v>
      </c>
      <c r="S219" s="88"/>
      <c r="T219" s="88"/>
      <c r="U219" s="88"/>
      <c r="V219" s="88" t="s">
        <v>282</v>
      </c>
      <c r="W219" s="92" t="s">
        <v>1017</v>
      </c>
      <c r="X219" s="203" t="s">
        <v>597</v>
      </c>
    </row>
    <row r="220" spans="1:24" s="43" customFormat="1" ht="32.25" customHeight="1" x14ac:dyDescent="0.2">
      <c r="A220" s="42">
        <v>258</v>
      </c>
      <c r="B220" s="93" t="s">
        <v>279</v>
      </c>
      <c r="C220" s="94">
        <v>258</v>
      </c>
      <c r="D220" s="93" t="str">
        <f t="shared" si="9"/>
        <v>SUPERMIX258</v>
      </c>
      <c r="E220" s="115" t="s">
        <v>594</v>
      </c>
      <c r="F220" s="115" t="s">
        <v>595</v>
      </c>
      <c r="G220" s="93" t="s">
        <v>25</v>
      </c>
      <c r="H220" s="95">
        <v>29606530</v>
      </c>
      <c r="I220" s="95" t="s">
        <v>3788</v>
      </c>
      <c r="J220" s="93" t="s">
        <v>596</v>
      </c>
      <c r="K220" s="93" t="s">
        <v>1954</v>
      </c>
      <c r="L220" s="96">
        <v>37684</v>
      </c>
      <c r="M220" s="96">
        <v>46268</v>
      </c>
      <c r="N220" s="88">
        <f t="shared" ca="1" si="10"/>
        <v>-81</v>
      </c>
      <c r="O220" s="84" t="str">
        <f ca="1">IF(Tabla1[[#This Row],[|]]&gt;=0,"VENCIDA",IF(Tabla1[[#This Row],[|]]&gt;=-14,"POR VENCER","OK"))</f>
        <v>OK</v>
      </c>
      <c r="P220" s="95" t="s">
        <v>2838</v>
      </c>
      <c r="Q220" s="95" t="s">
        <v>312</v>
      </c>
      <c r="R220" s="93" t="s">
        <v>17</v>
      </c>
      <c r="S220" s="93"/>
      <c r="T220" s="93"/>
      <c r="U220" s="93"/>
      <c r="V220" s="93" t="s">
        <v>282</v>
      </c>
      <c r="W220" s="97" t="s">
        <v>2776</v>
      </c>
      <c r="X220" s="204" t="s">
        <v>597</v>
      </c>
    </row>
    <row r="221" spans="1:24" s="63" customFormat="1" ht="32.25" customHeight="1" x14ac:dyDescent="0.2">
      <c r="A221" s="202">
        <v>259</v>
      </c>
      <c r="B221" s="88" t="s">
        <v>279</v>
      </c>
      <c r="C221" s="89">
        <v>259</v>
      </c>
      <c r="D221" s="88" t="str">
        <f t="shared" si="9"/>
        <v>SUPERMIX259</v>
      </c>
      <c r="E221" s="58" t="s">
        <v>601</v>
      </c>
      <c r="F221" s="58" t="s">
        <v>602</v>
      </c>
      <c r="G221" s="88" t="s">
        <v>310</v>
      </c>
      <c r="H221" s="90">
        <v>29729857</v>
      </c>
      <c r="I221" s="90" t="s">
        <v>3787</v>
      </c>
      <c r="J221" s="88" t="s">
        <v>603</v>
      </c>
      <c r="K221" s="88" t="s">
        <v>281</v>
      </c>
      <c r="L221" s="91">
        <v>36741</v>
      </c>
      <c r="M221" s="91">
        <v>41280</v>
      </c>
      <c r="N221" s="88">
        <f t="shared" ca="1" si="10"/>
        <v>4907</v>
      </c>
      <c r="O221" s="84" t="str">
        <f ca="1">IF(Tabla1[[#This Row],[|]]&gt;=0,"VENCIDA",IF(Tabla1[[#This Row],[|]]&gt;=-14,"POR VENCER","OK"))</f>
        <v>VENCIDA</v>
      </c>
      <c r="P221" s="90" t="s">
        <v>597</v>
      </c>
      <c r="Q221" s="90" t="s">
        <v>312</v>
      </c>
      <c r="R221" s="88" t="s">
        <v>317</v>
      </c>
      <c r="S221" s="88"/>
      <c r="T221" s="88"/>
      <c r="U221" s="88"/>
      <c r="V221" s="88" t="s">
        <v>282</v>
      </c>
      <c r="W221" s="92" t="s">
        <v>471</v>
      </c>
      <c r="X221" s="203"/>
    </row>
    <row r="222" spans="1:24" s="63" customFormat="1" ht="32.25" customHeight="1" x14ac:dyDescent="0.2">
      <c r="A222" s="202">
        <v>260</v>
      </c>
      <c r="B222" s="88" t="s">
        <v>279</v>
      </c>
      <c r="C222" s="89">
        <v>260</v>
      </c>
      <c r="D222" s="88" t="str">
        <f t="shared" si="9"/>
        <v>SUPERMIX260</v>
      </c>
      <c r="E222" s="58" t="s">
        <v>605</v>
      </c>
      <c r="F222" s="58" t="s">
        <v>606</v>
      </c>
      <c r="G222" s="88" t="s">
        <v>25</v>
      </c>
      <c r="H222" s="90">
        <v>29381137</v>
      </c>
      <c r="I222" s="90" t="s">
        <v>3787</v>
      </c>
      <c r="J222" s="88" t="s">
        <v>607</v>
      </c>
      <c r="K222" s="88" t="s">
        <v>281</v>
      </c>
      <c r="L222" s="91">
        <v>36788</v>
      </c>
      <c r="M222" s="91">
        <v>42056</v>
      </c>
      <c r="N222" s="88">
        <f t="shared" ca="1" si="10"/>
        <v>4131</v>
      </c>
      <c r="O222" s="84" t="str">
        <f ca="1">IF(Tabla1[[#This Row],[|]]&gt;=0,"VENCIDA",IF(Tabla1[[#This Row],[|]]&gt;=-14,"POR VENCER","OK"))</f>
        <v>VENCIDA</v>
      </c>
      <c r="P222" s="90" t="s">
        <v>1789</v>
      </c>
      <c r="Q222" s="90" t="s">
        <v>312</v>
      </c>
      <c r="R222" s="88" t="s">
        <v>317</v>
      </c>
      <c r="S222" s="88"/>
      <c r="T222" s="88"/>
      <c r="U222" s="88"/>
      <c r="V222" s="88" t="s">
        <v>306</v>
      </c>
      <c r="W222" s="92" t="s">
        <v>377</v>
      </c>
      <c r="X222" s="203"/>
    </row>
    <row r="223" spans="1:24" s="63" customFormat="1" ht="32.25" customHeight="1" x14ac:dyDescent="0.2">
      <c r="A223" s="202">
        <v>261</v>
      </c>
      <c r="B223" s="88" t="s">
        <v>279</v>
      </c>
      <c r="C223" s="89">
        <v>261</v>
      </c>
      <c r="D223" s="88" t="str">
        <f t="shared" si="9"/>
        <v>SUPERMIX261</v>
      </c>
      <c r="E223" s="58" t="s">
        <v>1457</v>
      </c>
      <c r="F223" s="58" t="s">
        <v>1458</v>
      </c>
      <c r="G223" s="88" t="s">
        <v>25</v>
      </c>
      <c r="H223" s="107" t="s">
        <v>1459</v>
      </c>
      <c r="I223" s="107" t="s">
        <v>3787</v>
      </c>
      <c r="J223" s="88" t="s">
        <v>1460</v>
      </c>
      <c r="K223" s="88" t="s">
        <v>281</v>
      </c>
      <c r="L223" s="91">
        <v>41787</v>
      </c>
      <c r="M223" s="91">
        <v>43956</v>
      </c>
      <c r="N223" s="88">
        <f t="shared" ca="1" si="10"/>
        <v>2231</v>
      </c>
      <c r="O223" s="84" t="str">
        <f ca="1">IF(Tabla1[[#This Row],[|]]&gt;=0,"VENCIDA",IF(Tabla1[[#This Row],[|]]&gt;=-14,"POR VENCER","OK"))</f>
        <v>VENCIDA</v>
      </c>
      <c r="P223" s="90" t="s">
        <v>2009</v>
      </c>
      <c r="Q223" s="90" t="s">
        <v>312</v>
      </c>
      <c r="R223" s="88" t="s">
        <v>317</v>
      </c>
      <c r="S223" s="88"/>
      <c r="T223" s="88"/>
      <c r="U223" s="88"/>
      <c r="V223" s="88" t="s">
        <v>306</v>
      </c>
      <c r="W223" s="92" t="s">
        <v>649</v>
      </c>
      <c r="X223" s="203"/>
    </row>
    <row r="224" spans="1:24" s="63" customFormat="1" ht="32.25" customHeight="1" x14ac:dyDescent="0.2">
      <c r="A224" s="202">
        <v>262</v>
      </c>
      <c r="B224" s="88" t="s">
        <v>279</v>
      </c>
      <c r="C224" s="89">
        <v>262</v>
      </c>
      <c r="D224" s="88" t="str">
        <f t="shared" si="9"/>
        <v>SUPERMIX262</v>
      </c>
      <c r="E224" s="58" t="s">
        <v>616</v>
      </c>
      <c r="F224" s="58" t="s">
        <v>617</v>
      </c>
      <c r="G224" s="88" t="s">
        <v>25</v>
      </c>
      <c r="H224" s="90">
        <v>29665095</v>
      </c>
      <c r="I224" s="90" t="s">
        <v>3787</v>
      </c>
      <c r="J224" s="88" t="s">
        <v>618</v>
      </c>
      <c r="K224" s="88" t="s">
        <v>281</v>
      </c>
      <c r="L224" s="91">
        <v>41475</v>
      </c>
      <c r="M224" s="91">
        <v>42187</v>
      </c>
      <c r="N224" s="88">
        <f t="shared" ca="1" si="10"/>
        <v>4000</v>
      </c>
      <c r="O224" s="84" t="str">
        <f ca="1">IF(Tabla1[[#This Row],[|]]&gt;=0,"VENCIDA",IF(Tabla1[[#This Row],[|]]&gt;=-14,"POR VENCER","OK"))</f>
        <v>VENCIDA</v>
      </c>
      <c r="P224" s="90" t="s">
        <v>597</v>
      </c>
      <c r="Q224" s="90" t="s">
        <v>312</v>
      </c>
      <c r="R224" s="88" t="s">
        <v>317</v>
      </c>
      <c r="S224" s="88"/>
      <c r="T224" s="88"/>
      <c r="U224" s="88"/>
      <c r="V224" s="90" t="s">
        <v>615</v>
      </c>
      <c r="W224" s="92" t="s">
        <v>704</v>
      </c>
      <c r="X224" s="203"/>
    </row>
    <row r="225" spans="1:24" s="63" customFormat="1" ht="32.25" customHeight="1" x14ac:dyDescent="0.2">
      <c r="A225" s="202">
        <v>263</v>
      </c>
      <c r="B225" s="88" t="s">
        <v>279</v>
      </c>
      <c r="C225" s="89">
        <v>263</v>
      </c>
      <c r="D225" s="88" t="str">
        <f t="shared" si="9"/>
        <v>SUPERMIX263</v>
      </c>
      <c r="E225" s="58" t="s">
        <v>619</v>
      </c>
      <c r="F225" s="58" t="s">
        <v>620</v>
      </c>
      <c r="G225" s="88"/>
      <c r="H225" s="90"/>
      <c r="I225" s="90" t="s">
        <v>3787</v>
      </c>
      <c r="J225" s="90"/>
      <c r="K225" s="88"/>
      <c r="L225" s="91"/>
      <c r="M225" s="91"/>
      <c r="N225" s="88">
        <f t="shared" ca="1" si="10"/>
        <v>46187</v>
      </c>
      <c r="O225" s="84" t="str">
        <f ca="1">IF(Tabla1[[#This Row],[|]]&gt;=0,"VENCIDA",IF(Tabla1[[#This Row],[|]]&gt;=-14,"POR VENCER","OK"))</f>
        <v>VENCIDA</v>
      </c>
      <c r="P225" s="90" t="s">
        <v>1788</v>
      </c>
      <c r="Q225" s="90" t="s">
        <v>312</v>
      </c>
      <c r="R225" s="88"/>
      <c r="S225" s="88"/>
      <c r="T225" s="88"/>
      <c r="U225" s="88"/>
      <c r="V225" s="88" t="s">
        <v>621</v>
      </c>
      <c r="W225" s="92" t="s">
        <v>416</v>
      </c>
      <c r="X225" s="203"/>
    </row>
    <row r="226" spans="1:24" s="63" customFormat="1" ht="32.25" customHeight="1" x14ac:dyDescent="0.2">
      <c r="A226" s="202">
        <v>264</v>
      </c>
      <c r="B226" s="88" t="s">
        <v>279</v>
      </c>
      <c r="C226" s="89">
        <v>264</v>
      </c>
      <c r="D226" s="88" t="str">
        <f t="shared" si="9"/>
        <v>SUPERMIX264</v>
      </c>
      <c r="E226" s="58" t="s">
        <v>622</v>
      </c>
      <c r="F226" s="58" t="s">
        <v>623</v>
      </c>
      <c r="G226" s="88"/>
      <c r="H226" s="90"/>
      <c r="I226" s="90" t="s">
        <v>3787</v>
      </c>
      <c r="J226" s="88"/>
      <c r="K226" s="88"/>
      <c r="L226" s="91"/>
      <c r="M226" s="91"/>
      <c r="N226" s="88">
        <f t="shared" ca="1" si="10"/>
        <v>46187</v>
      </c>
      <c r="O226" s="84" t="str">
        <f ca="1">IF(Tabla1[[#This Row],[|]]&gt;=0,"VENCIDA",IF(Tabla1[[#This Row],[|]]&gt;=-14,"POR VENCER","OK"))</f>
        <v>VENCIDA</v>
      </c>
      <c r="P226" s="90" t="s">
        <v>624</v>
      </c>
      <c r="Q226" s="90" t="s">
        <v>312</v>
      </c>
      <c r="R226" s="88"/>
      <c r="S226" s="88"/>
      <c r="T226" s="88"/>
      <c r="U226" s="88"/>
      <c r="V226" s="88" t="s">
        <v>621</v>
      </c>
      <c r="W226" s="92" t="s">
        <v>416</v>
      </c>
      <c r="X226" s="203"/>
    </row>
    <row r="227" spans="1:24" s="63" customFormat="1" ht="32.25" customHeight="1" x14ac:dyDescent="0.2">
      <c r="A227" s="202">
        <v>265</v>
      </c>
      <c r="B227" s="88" t="s">
        <v>279</v>
      </c>
      <c r="C227" s="89">
        <v>265</v>
      </c>
      <c r="D227" s="88" t="str">
        <f t="shared" si="9"/>
        <v>SUPERMIX265</v>
      </c>
      <c r="E227" s="58" t="s">
        <v>768</v>
      </c>
      <c r="F227" s="58" t="s">
        <v>769</v>
      </c>
      <c r="G227" s="88" t="s">
        <v>25</v>
      </c>
      <c r="H227" s="90">
        <v>45605286</v>
      </c>
      <c r="I227" s="90" t="s">
        <v>3787</v>
      </c>
      <c r="J227" s="90" t="s">
        <v>1678</v>
      </c>
      <c r="K227" s="88" t="s">
        <v>343</v>
      </c>
      <c r="L227" s="91">
        <v>41463</v>
      </c>
      <c r="M227" s="91">
        <v>43646</v>
      </c>
      <c r="N227" s="88">
        <f t="shared" ca="1" si="10"/>
        <v>2541</v>
      </c>
      <c r="O227" s="84" t="str">
        <f ca="1">IF(Tabla1[[#This Row],[|]]&gt;=0,"VENCIDA",IF(Tabla1[[#This Row],[|]]&gt;=-14,"POR VENCER","OK"))</f>
        <v>VENCIDA</v>
      </c>
      <c r="P227" s="90" t="s">
        <v>640</v>
      </c>
      <c r="Q227" s="90" t="s">
        <v>312</v>
      </c>
      <c r="R227" s="88" t="s">
        <v>317</v>
      </c>
      <c r="S227" s="88"/>
      <c r="T227" s="88"/>
      <c r="U227" s="88"/>
      <c r="V227" s="88" t="s">
        <v>763</v>
      </c>
      <c r="W227" s="92"/>
      <c r="X227" s="203"/>
    </row>
    <row r="228" spans="1:24" s="43" customFormat="1" ht="32.25" customHeight="1" x14ac:dyDescent="0.2">
      <c r="A228" s="42">
        <v>266</v>
      </c>
      <c r="B228" s="93" t="s">
        <v>279</v>
      </c>
      <c r="C228" s="94">
        <v>266</v>
      </c>
      <c r="D228" s="93" t="str">
        <f t="shared" si="9"/>
        <v>SUPERMIX266</v>
      </c>
      <c r="E228" s="115" t="s">
        <v>627</v>
      </c>
      <c r="F228" s="115" t="s">
        <v>28</v>
      </c>
      <c r="G228" s="93" t="s">
        <v>25</v>
      </c>
      <c r="H228" s="95">
        <v>29654104</v>
      </c>
      <c r="I228" s="95" t="s">
        <v>3788</v>
      </c>
      <c r="J228" s="95" t="s">
        <v>628</v>
      </c>
      <c r="K228" s="93" t="s">
        <v>1954</v>
      </c>
      <c r="L228" s="96">
        <v>38111</v>
      </c>
      <c r="M228" s="96">
        <v>46483</v>
      </c>
      <c r="N228" s="88">
        <f t="shared" ca="1" si="10"/>
        <v>-296</v>
      </c>
      <c r="O228" s="84" t="str">
        <f ca="1">IF(Tabla1[[#This Row],[|]]&gt;=0,"VENCIDA",IF(Tabla1[[#This Row],[|]]&gt;=-14,"POR VENCER","OK"))</f>
        <v>OK</v>
      </c>
      <c r="P228" s="95" t="s">
        <v>2160</v>
      </c>
      <c r="Q228" s="95" t="s">
        <v>312</v>
      </c>
      <c r="R228" s="93" t="s">
        <v>17</v>
      </c>
      <c r="S228" s="93"/>
      <c r="T228" s="93"/>
      <c r="U228" s="93"/>
      <c r="V228" s="93" t="s">
        <v>763</v>
      </c>
      <c r="W228" s="97" t="s">
        <v>2772</v>
      </c>
      <c r="X228" s="204" t="s">
        <v>3008</v>
      </c>
    </row>
    <row r="229" spans="1:24" s="63" customFormat="1" ht="32.25" customHeight="1" x14ac:dyDescent="0.2">
      <c r="A229" s="202">
        <v>267</v>
      </c>
      <c r="B229" s="88" t="s">
        <v>279</v>
      </c>
      <c r="C229" s="89">
        <v>267</v>
      </c>
      <c r="D229" s="88" t="str">
        <f t="shared" si="9"/>
        <v>SUPERMIX267</v>
      </c>
      <c r="E229" s="130" t="s">
        <v>630</v>
      </c>
      <c r="F229" s="130" t="s">
        <v>629</v>
      </c>
      <c r="G229" s="88" t="s">
        <v>25</v>
      </c>
      <c r="H229" s="90">
        <v>29675754</v>
      </c>
      <c r="I229" s="90" t="s">
        <v>3787</v>
      </c>
      <c r="J229" s="90" t="s">
        <v>631</v>
      </c>
      <c r="K229" s="88" t="s">
        <v>281</v>
      </c>
      <c r="L229" s="91">
        <v>41572</v>
      </c>
      <c r="M229" s="91">
        <v>42510</v>
      </c>
      <c r="N229" s="88">
        <f t="shared" ca="1" si="10"/>
        <v>3677</v>
      </c>
      <c r="O229" s="84" t="str">
        <f ca="1">IF(Tabla1[[#This Row],[|]]&gt;=0,"VENCIDA",IF(Tabla1[[#This Row],[|]]&gt;=-14,"POR VENCER","OK"))</f>
        <v>VENCIDA</v>
      </c>
      <c r="P229" s="90" t="s">
        <v>640</v>
      </c>
      <c r="Q229" s="90" t="s">
        <v>312</v>
      </c>
      <c r="R229" s="88"/>
      <c r="S229" s="88"/>
      <c r="T229" s="88"/>
      <c r="U229" s="88"/>
      <c r="V229" s="88" t="s">
        <v>763</v>
      </c>
      <c r="W229" s="92" t="s">
        <v>416</v>
      </c>
      <c r="X229" s="203"/>
    </row>
    <row r="230" spans="1:24" s="63" customFormat="1" ht="32.25" customHeight="1" x14ac:dyDescent="0.2">
      <c r="A230" s="202">
        <v>268</v>
      </c>
      <c r="B230" s="88" t="s">
        <v>279</v>
      </c>
      <c r="C230" s="89">
        <v>268</v>
      </c>
      <c r="D230" s="88" t="str">
        <f t="shared" si="9"/>
        <v>SUPERMIX268</v>
      </c>
      <c r="E230" s="58" t="s">
        <v>632</v>
      </c>
      <c r="F230" s="58" t="s">
        <v>633</v>
      </c>
      <c r="G230" s="88"/>
      <c r="H230" s="90"/>
      <c r="I230" s="90" t="s">
        <v>3787</v>
      </c>
      <c r="J230" s="90"/>
      <c r="K230" s="88"/>
      <c r="L230" s="91"/>
      <c r="M230" s="91"/>
      <c r="N230" s="88">
        <f t="shared" ca="1" si="10"/>
        <v>46187</v>
      </c>
      <c r="O230" s="84" t="str">
        <f ca="1">IF(Tabla1[[#This Row],[|]]&gt;=0,"VENCIDA",IF(Tabla1[[#This Row],[|]]&gt;=-14,"POR VENCER","OK"))</f>
        <v>VENCIDA</v>
      </c>
      <c r="P230" s="90" t="s">
        <v>1059</v>
      </c>
      <c r="Q230" s="90" t="s">
        <v>312</v>
      </c>
      <c r="R230" s="88"/>
      <c r="S230" s="88"/>
      <c r="T230" s="88"/>
      <c r="U230" s="88"/>
      <c r="V230" s="88" t="s">
        <v>621</v>
      </c>
      <c r="W230" s="92" t="s">
        <v>416</v>
      </c>
      <c r="X230" s="203"/>
    </row>
    <row r="231" spans="1:24" s="63" customFormat="1" ht="32.25" customHeight="1" x14ac:dyDescent="0.2">
      <c r="A231" s="202">
        <v>269</v>
      </c>
      <c r="B231" s="88" t="s">
        <v>279</v>
      </c>
      <c r="C231" s="89">
        <v>269</v>
      </c>
      <c r="D231" s="88" t="str">
        <f t="shared" si="9"/>
        <v>SUPERMIX269</v>
      </c>
      <c r="E231" s="58" t="s">
        <v>634</v>
      </c>
      <c r="F231" s="58" t="s">
        <v>484</v>
      </c>
      <c r="G231" s="88"/>
      <c r="H231" s="90"/>
      <c r="I231" s="90" t="s">
        <v>3787</v>
      </c>
      <c r="J231" s="90"/>
      <c r="K231" s="88"/>
      <c r="L231" s="91"/>
      <c r="M231" s="91"/>
      <c r="N231" s="88">
        <f t="shared" ca="1" si="10"/>
        <v>46187</v>
      </c>
      <c r="O231" s="84" t="str">
        <f ca="1">IF(Tabla1[[#This Row],[|]]&gt;=0,"VENCIDA",IF(Tabla1[[#This Row],[|]]&gt;=-14,"POR VENCER","OK"))</f>
        <v>VENCIDA</v>
      </c>
      <c r="P231" s="90" t="s">
        <v>624</v>
      </c>
      <c r="Q231" s="90" t="s">
        <v>312</v>
      </c>
      <c r="R231" s="88"/>
      <c r="S231" s="88"/>
      <c r="T231" s="88"/>
      <c r="U231" s="88"/>
      <c r="V231" s="88" t="s">
        <v>635</v>
      </c>
      <c r="W231" s="92" t="s">
        <v>416</v>
      </c>
      <c r="X231" s="203"/>
    </row>
    <row r="232" spans="1:24" s="63" customFormat="1" ht="32.25" customHeight="1" x14ac:dyDescent="0.2">
      <c r="A232" s="202">
        <v>270</v>
      </c>
      <c r="B232" s="88" t="s">
        <v>279</v>
      </c>
      <c r="C232" s="89">
        <v>270</v>
      </c>
      <c r="D232" s="88" t="str">
        <f t="shared" si="9"/>
        <v>SUPERMIX270</v>
      </c>
      <c r="E232" s="58" t="s">
        <v>636</v>
      </c>
      <c r="F232" s="58" t="s">
        <v>637</v>
      </c>
      <c r="G232" s="88"/>
      <c r="H232" s="90"/>
      <c r="I232" s="90" t="s">
        <v>3787</v>
      </c>
      <c r="J232" s="90"/>
      <c r="K232" s="88"/>
      <c r="L232" s="91"/>
      <c r="M232" s="91"/>
      <c r="N232" s="88">
        <f t="shared" ca="1" si="10"/>
        <v>46187</v>
      </c>
      <c r="O232" s="84" t="str">
        <f ca="1">IF(Tabla1[[#This Row],[|]]&gt;=0,"VENCIDA",IF(Tabla1[[#This Row],[|]]&gt;=-14,"POR VENCER","OK"))</f>
        <v>VENCIDA</v>
      </c>
      <c r="P232" s="90" t="s">
        <v>624</v>
      </c>
      <c r="Q232" s="90" t="s">
        <v>312</v>
      </c>
      <c r="R232" s="88"/>
      <c r="S232" s="88"/>
      <c r="T232" s="88"/>
      <c r="U232" s="88"/>
      <c r="V232" s="88" t="s">
        <v>635</v>
      </c>
      <c r="W232" s="92" t="s">
        <v>416</v>
      </c>
      <c r="X232" s="203"/>
    </row>
    <row r="233" spans="1:24" s="63" customFormat="1" ht="32.25" customHeight="1" x14ac:dyDescent="0.2">
      <c r="A233" s="202">
        <v>271</v>
      </c>
      <c r="B233" s="88" t="s">
        <v>279</v>
      </c>
      <c r="C233" s="89">
        <v>271</v>
      </c>
      <c r="D233" s="88" t="str">
        <f t="shared" si="9"/>
        <v>SUPERMIX271</v>
      </c>
      <c r="E233" s="58" t="s">
        <v>639</v>
      </c>
      <c r="F233" s="58" t="s">
        <v>207</v>
      </c>
      <c r="G233" s="88" t="s">
        <v>25</v>
      </c>
      <c r="H233" s="90">
        <v>44036252</v>
      </c>
      <c r="I233" s="90" t="s">
        <v>3787</v>
      </c>
      <c r="J233" s="90" t="s">
        <v>1498</v>
      </c>
      <c r="K233" s="88" t="s">
        <v>281</v>
      </c>
      <c r="L233" s="91">
        <v>42311</v>
      </c>
      <c r="M233" s="91">
        <v>43262</v>
      </c>
      <c r="N233" s="88">
        <f t="shared" ca="1" si="10"/>
        <v>2925</v>
      </c>
      <c r="O233" s="84" t="str">
        <f ca="1">IF(Tabla1[[#This Row],[|]]&gt;=0,"VENCIDA",IF(Tabla1[[#This Row],[|]]&gt;=-14,"POR VENCER","OK"))</f>
        <v>VENCIDA</v>
      </c>
      <c r="P233" s="90" t="s">
        <v>640</v>
      </c>
      <c r="Q233" s="90" t="s">
        <v>312</v>
      </c>
      <c r="R233" s="88" t="s">
        <v>317</v>
      </c>
      <c r="S233" s="88"/>
      <c r="T233" s="88"/>
      <c r="U233" s="88"/>
      <c r="V233" s="88" t="s">
        <v>750</v>
      </c>
      <c r="W233" s="92" t="s">
        <v>700</v>
      </c>
      <c r="X233" s="203"/>
    </row>
    <row r="234" spans="1:24" s="63" customFormat="1" ht="32.25" customHeight="1" x14ac:dyDescent="0.2">
      <c r="A234" s="202">
        <v>272</v>
      </c>
      <c r="B234" s="88" t="s">
        <v>279</v>
      </c>
      <c r="C234" s="89">
        <v>272</v>
      </c>
      <c r="D234" s="88" t="str">
        <f t="shared" si="9"/>
        <v>SUPERMIX272</v>
      </c>
      <c r="E234" s="58" t="s">
        <v>641</v>
      </c>
      <c r="F234" s="58" t="s">
        <v>642</v>
      </c>
      <c r="G234" s="88" t="s">
        <v>25</v>
      </c>
      <c r="H234" s="90">
        <v>41178230</v>
      </c>
      <c r="I234" s="90" t="s">
        <v>3787</v>
      </c>
      <c r="J234" s="88" t="s">
        <v>643</v>
      </c>
      <c r="K234" s="88" t="s">
        <v>281</v>
      </c>
      <c r="L234" s="91">
        <v>39559</v>
      </c>
      <c r="M234" s="91">
        <v>41705</v>
      </c>
      <c r="N234" s="88">
        <f t="shared" ca="1" si="10"/>
        <v>4482</v>
      </c>
      <c r="O234" s="84" t="str">
        <f ca="1">IF(Tabla1[[#This Row],[|]]&gt;=0,"VENCIDA",IF(Tabla1[[#This Row],[|]]&gt;=-14,"POR VENCER","OK"))</f>
        <v>VENCIDA</v>
      </c>
      <c r="P234" s="90" t="s">
        <v>597</v>
      </c>
      <c r="Q234" s="90" t="s">
        <v>312</v>
      </c>
      <c r="R234" s="88"/>
      <c r="S234" s="88"/>
      <c r="T234" s="88"/>
      <c r="U234" s="88"/>
      <c r="V234" s="88" t="s">
        <v>282</v>
      </c>
      <c r="W234" s="92" t="s">
        <v>471</v>
      </c>
      <c r="X234" s="203"/>
    </row>
    <row r="235" spans="1:24" s="63" customFormat="1" ht="32.25" customHeight="1" x14ac:dyDescent="0.2">
      <c r="A235" s="202">
        <v>273</v>
      </c>
      <c r="B235" s="88" t="s">
        <v>279</v>
      </c>
      <c r="C235" s="89">
        <v>273</v>
      </c>
      <c r="D235" s="88" t="str">
        <f t="shared" si="9"/>
        <v>SUPERMIX273</v>
      </c>
      <c r="E235" s="58" t="s">
        <v>646</v>
      </c>
      <c r="F235" s="58" t="s">
        <v>647</v>
      </c>
      <c r="G235" s="88" t="s">
        <v>25</v>
      </c>
      <c r="H235" s="90">
        <v>41186979</v>
      </c>
      <c r="I235" s="90" t="s">
        <v>3787</v>
      </c>
      <c r="J235" s="88" t="s">
        <v>648</v>
      </c>
      <c r="K235" s="88" t="s">
        <v>293</v>
      </c>
      <c r="L235" s="91">
        <v>38616</v>
      </c>
      <c r="M235" s="91">
        <v>42875</v>
      </c>
      <c r="N235" s="88">
        <f t="shared" ca="1" si="10"/>
        <v>3312</v>
      </c>
      <c r="O235" s="84" t="str">
        <f ca="1">IF(Tabla1[[#This Row],[|]]&gt;=0,"VENCIDA",IF(Tabla1[[#This Row],[|]]&gt;=-14,"POR VENCER","OK"))</f>
        <v>VENCIDA</v>
      </c>
      <c r="P235" s="90" t="s">
        <v>1512</v>
      </c>
      <c r="Q235" s="90" t="s">
        <v>312</v>
      </c>
      <c r="R235" s="88" t="s">
        <v>317</v>
      </c>
      <c r="S235" s="88"/>
      <c r="T235" s="88"/>
      <c r="U235" s="88"/>
      <c r="V235" s="88" t="s">
        <v>306</v>
      </c>
      <c r="W235" s="92" t="s">
        <v>649</v>
      </c>
      <c r="X235" s="203"/>
    </row>
    <row r="236" spans="1:24" s="63" customFormat="1" ht="32.25" customHeight="1" x14ac:dyDescent="0.2">
      <c r="A236" s="202">
        <v>274</v>
      </c>
      <c r="B236" s="88" t="s">
        <v>279</v>
      </c>
      <c r="C236" s="89">
        <v>274</v>
      </c>
      <c r="D236" s="88" t="str">
        <f t="shared" si="9"/>
        <v>SUPERMIX274</v>
      </c>
      <c r="E236" s="58" t="s">
        <v>652</v>
      </c>
      <c r="F236" s="58" t="s">
        <v>653</v>
      </c>
      <c r="G236" s="88" t="s">
        <v>25</v>
      </c>
      <c r="H236" s="90" t="s">
        <v>671</v>
      </c>
      <c r="I236" s="90" t="s">
        <v>3787</v>
      </c>
      <c r="J236" s="88" t="s">
        <v>677</v>
      </c>
      <c r="K236" s="88" t="s">
        <v>281</v>
      </c>
      <c r="L236" s="91">
        <v>41437</v>
      </c>
      <c r="M236" s="91">
        <v>42659</v>
      </c>
      <c r="N236" s="88">
        <f t="shared" ca="1" si="10"/>
        <v>3528</v>
      </c>
      <c r="O236" s="84" t="str">
        <f ca="1">IF(Tabla1[[#This Row],[|]]&gt;=0,"VENCIDA",IF(Tabla1[[#This Row],[|]]&gt;=-14,"POR VENCER","OK"))</f>
        <v>VENCIDA</v>
      </c>
      <c r="P236" s="90" t="s">
        <v>597</v>
      </c>
      <c r="Q236" s="90" t="s">
        <v>312</v>
      </c>
      <c r="R236" s="88" t="s">
        <v>17</v>
      </c>
      <c r="S236" s="88"/>
      <c r="T236" s="88"/>
      <c r="U236" s="88"/>
      <c r="V236" s="88" t="s">
        <v>928</v>
      </c>
      <c r="W236" s="92" t="s">
        <v>373</v>
      </c>
      <c r="X236" s="203"/>
    </row>
    <row r="237" spans="1:24" s="63" customFormat="1" ht="32.25" customHeight="1" x14ac:dyDescent="0.2">
      <c r="A237" s="202">
        <v>275</v>
      </c>
      <c r="B237" s="88" t="s">
        <v>279</v>
      </c>
      <c r="C237" s="89">
        <v>275</v>
      </c>
      <c r="D237" s="88" t="str">
        <f t="shared" si="9"/>
        <v>SUPERMIX275</v>
      </c>
      <c r="E237" s="58" t="s">
        <v>654</v>
      </c>
      <c r="F237" s="58" t="s">
        <v>655</v>
      </c>
      <c r="G237" s="88" t="s">
        <v>25</v>
      </c>
      <c r="H237" s="107" t="s">
        <v>1704</v>
      </c>
      <c r="I237" s="107" t="s">
        <v>3787</v>
      </c>
      <c r="J237" s="88" t="s">
        <v>1705</v>
      </c>
      <c r="K237" s="90" t="s">
        <v>281</v>
      </c>
      <c r="L237" s="91">
        <v>34320</v>
      </c>
      <c r="M237" s="91">
        <v>43701</v>
      </c>
      <c r="N237" s="88">
        <f t="shared" ca="1" si="10"/>
        <v>2486</v>
      </c>
      <c r="O237" s="84" t="str">
        <f ca="1">IF(Tabla1[[#This Row],[|]]&gt;=0,"VENCIDA",IF(Tabla1[[#This Row],[|]]&gt;=-14,"POR VENCER","OK"))</f>
        <v>VENCIDA</v>
      </c>
      <c r="P237" s="90" t="s">
        <v>597</v>
      </c>
      <c r="Q237" s="90" t="s">
        <v>312</v>
      </c>
      <c r="R237" s="88" t="s">
        <v>317</v>
      </c>
      <c r="S237" s="88"/>
      <c r="T237" s="88"/>
      <c r="U237" s="88"/>
      <c r="V237" s="88" t="s">
        <v>1702</v>
      </c>
      <c r="W237" s="92" t="s">
        <v>1703</v>
      </c>
      <c r="X237" s="203"/>
    </row>
    <row r="238" spans="1:24" s="63" customFormat="1" ht="32.25" customHeight="1" x14ac:dyDescent="0.2">
      <c r="A238" s="202">
        <v>276</v>
      </c>
      <c r="B238" s="88" t="s">
        <v>279</v>
      </c>
      <c r="C238" s="89">
        <v>276</v>
      </c>
      <c r="D238" s="88" t="str">
        <f t="shared" si="9"/>
        <v>SUPERMIX276</v>
      </c>
      <c r="E238" s="58" t="s">
        <v>659</v>
      </c>
      <c r="F238" s="58" t="s">
        <v>660</v>
      </c>
      <c r="G238" s="88" t="s">
        <v>25</v>
      </c>
      <c r="H238" s="90"/>
      <c r="I238" s="90" t="s">
        <v>3787</v>
      </c>
      <c r="J238" s="90"/>
      <c r="K238" s="88"/>
      <c r="L238" s="91"/>
      <c r="M238" s="91"/>
      <c r="N238" s="88">
        <f t="shared" ca="1" si="10"/>
        <v>46187</v>
      </c>
      <c r="O238" s="84" t="str">
        <f ca="1">IF(Tabla1[[#This Row],[|]]&gt;=0,"VENCIDA",IF(Tabla1[[#This Row],[|]]&gt;=-14,"POR VENCER","OK"))</f>
        <v>VENCIDA</v>
      </c>
      <c r="P238" s="90" t="s">
        <v>676</v>
      </c>
      <c r="Q238" s="90" t="s">
        <v>312</v>
      </c>
      <c r="R238" s="88" t="s">
        <v>317</v>
      </c>
      <c r="S238" s="88"/>
      <c r="T238" s="88"/>
      <c r="U238" s="88"/>
      <c r="V238" s="88" t="s">
        <v>656</v>
      </c>
      <c r="W238" s="92" t="s">
        <v>658</v>
      </c>
      <c r="X238" s="203"/>
    </row>
    <row r="239" spans="1:24" s="63" customFormat="1" ht="32.25" customHeight="1" x14ac:dyDescent="0.2">
      <c r="A239" s="202">
        <v>277</v>
      </c>
      <c r="B239" s="88" t="s">
        <v>279</v>
      </c>
      <c r="C239" s="89">
        <v>277</v>
      </c>
      <c r="D239" s="88" t="str">
        <f t="shared" si="9"/>
        <v>SUPERMIX277</v>
      </c>
      <c r="E239" s="58" t="s">
        <v>664</v>
      </c>
      <c r="F239" s="58" t="s">
        <v>665</v>
      </c>
      <c r="G239" s="88" t="s">
        <v>25</v>
      </c>
      <c r="H239" s="90">
        <v>80186134</v>
      </c>
      <c r="I239" s="90" t="s">
        <v>3787</v>
      </c>
      <c r="J239" s="90" t="s">
        <v>666</v>
      </c>
      <c r="K239" s="88" t="s">
        <v>281</v>
      </c>
      <c r="L239" s="91">
        <v>41437</v>
      </c>
      <c r="M239" s="91">
        <v>42022</v>
      </c>
      <c r="N239" s="88">
        <f t="shared" ca="1" si="10"/>
        <v>4165</v>
      </c>
      <c r="O239" s="84" t="str">
        <f ca="1">IF(Tabla1[[#This Row],[|]]&gt;=0,"VENCIDA",IF(Tabla1[[#This Row],[|]]&gt;=-14,"POR VENCER","OK"))</f>
        <v>VENCIDA</v>
      </c>
      <c r="P239" s="90" t="s">
        <v>1787</v>
      </c>
      <c r="Q239" s="90" t="s">
        <v>312</v>
      </c>
      <c r="R239" s="88" t="s">
        <v>317</v>
      </c>
      <c r="S239" s="88"/>
      <c r="T239" s="88"/>
      <c r="U239" s="88"/>
      <c r="V239" s="88" t="s">
        <v>656</v>
      </c>
      <c r="W239" s="92" t="s">
        <v>658</v>
      </c>
      <c r="X239" s="203"/>
    </row>
    <row r="240" spans="1:24" s="43" customFormat="1" ht="32.25" customHeight="1" x14ac:dyDescent="0.2">
      <c r="A240" s="42">
        <v>278</v>
      </c>
      <c r="B240" s="93" t="s">
        <v>279</v>
      </c>
      <c r="C240" s="94">
        <v>278</v>
      </c>
      <c r="D240" s="93" t="str">
        <f t="shared" si="9"/>
        <v>SUPERMIX278</v>
      </c>
      <c r="E240" s="115" t="s">
        <v>673</v>
      </c>
      <c r="F240" s="115" t="s">
        <v>667</v>
      </c>
      <c r="G240" s="93" t="s">
        <v>25</v>
      </c>
      <c r="H240" s="95">
        <v>40530124</v>
      </c>
      <c r="I240" s="95" t="s">
        <v>3788</v>
      </c>
      <c r="J240" s="95" t="s">
        <v>674</v>
      </c>
      <c r="K240" s="93" t="s">
        <v>281</v>
      </c>
      <c r="L240" s="96">
        <v>42244</v>
      </c>
      <c r="M240" s="117">
        <v>46217</v>
      </c>
      <c r="N240" s="88">
        <f t="shared" ca="1" si="10"/>
        <v>-30</v>
      </c>
      <c r="O240" s="84" t="str">
        <f ca="1">IF(Tabla1[[#This Row],[|]]&gt;=0,"VENCIDA",IF(Tabla1[[#This Row],[|]]&gt;=-14,"POR VENCER","OK"))</f>
        <v>OK</v>
      </c>
      <c r="P240" s="95" t="s">
        <v>2780</v>
      </c>
      <c r="Q240" s="95" t="s">
        <v>312</v>
      </c>
      <c r="R240" s="93" t="s">
        <v>317</v>
      </c>
      <c r="S240" s="93"/>
      <c r="T240" s="93"/>
      <c r="U240" s="93"/>
      <c r="V240" s="93" t="s">
        <v>668</v>
      </c>
      <c r="W240" s="97" t="s">
        <v>649</v>
      </c>
      <c r="X240" s="204"/>
    </row>
    <row r="241" spans="1:24" s="43" customFormat="1" ht="32.25" customHeight="1" x14ac:dyDescent="0.2">
      <c r="A241" s="42">
        <v>279</v>
      </c>
      <c r="B241" s="93" t="s">
        <v>279</v>
      </c>
      <c r="C241" s="94">
        <v>279</v>
      </c>
      <c r="D241" s="93" t="str">
        <f t="shared" si="9"/>
        <v>SUPERMIX279</v>
      </c>
      <c r="E241" s="115" t="s">
        <v>669</v>
      </c>
      <c r="F241" s="115" t="s">
        <v>3711</v>
      </c>
      <c r="G241" s="93" t="s">
        <v>25</v>
      </c>
      <c r="H241" s="95">
        <v>30863047</v>
      </c>
      <c r="I241" s="95" t="s">
        <v>3788</v>
      </c>
      <c r="J241" s="95" t="s">
        <v>670</v>
      </c>
      <c r="K241" s="228" t="s">
        <v>3791</v>
      </c>
      <c r="L241" s="96">
        <v>40450</v>
      </c>
      <c r="M241" s="96">
        <v>46685</v>
      </c>
      <c r="N241" s="88">
        <f t="shared" ca="1" si="10"/>
        <v>-498</v>
      </c>
      <c r="O241" s="84" t="str">
        <f ca="1">IF(Tabla1[[#This Row],[|]]&gt;=0,"VENCIDA",IF(Tabla1[[#This Row],[|]]&gt;=-14,"POR VENCER","OK"))</f>
        <v>OK</v>
      </c>
      <c r="P241" s="95" t="s">
        <v>4018</v>
      </c>
      <c r="Q241" s="95" t="s">
        <v>312</v>
      </c>
      <c r="R241" s="93" t="s">
        <v>317</v>
      </c>
      <c r="S241" s="93"/>
      <c r="T241" s="93"/>
      <c r="U241" s="93"/>
      <c r="V241" s="93" t="s">
        <v>656</v>
      </c>
      <c r="W241" s="97" t="s">
        <v>1017</v>
      </c>
      <c r="X241" s="204" t="s">
        <v>4019</v>
      </c>
    </row>
    <row r="242" spans="1:24" s="63" customFormat="1" ht="32.25" customHeight="1" x14ac:dyDescent="0.2">
      <c r="A242" s="202">
        <v>280</v>
      </c>
      <c r="B242" s="88" t="s">
        <v>279</v>
      </c>
      <c r="C242" s="89">
        <v>280</v>
      </c>
      <c r="D242" s="88" t="str">
        <f t="shared" si="9"/>
        <v>SUPERMIX280</v>
      </c>
      <c r="E242" s="58" t="s">
        <v>210</v>
      </c>
      <c r="F242" s="58" t="s">
        <v>678</v>
      </c>
      <c r="G242" s="88" t="s">
        <v>25</v>
      </c>
      <c r="H242" s="90">
        <v>41975786</v>
      </c>
      <c r="I242" s="90" t="s">
        <v>3787</v>
      </c>
      <c r="J242" s="90" t="s">
        <v>679</v>
      </c>
      <c r="K242" s="88" t="s">
        <v>281</v>
      </c>
      <c r="L242" s="91">
        <v>39057</v>
      </c>
      <c r="M242" s="91">
        <v>42528</v>
      </c>
      <c r="N242" s="88">
        <f t="shared" ca="1" si="10"/>
        <v>3659</v>
      </c>
      <c r="O242" s="84" t="str">
        <f ca="1">IF(Tabla1[[#This Row],[|]]&gt;=0,"VENCIDA",IF(Tabla1[[#This Row],[|]]&gt;=-14,"POR VENCER","OK"))</f>
        <v>VENCIDA</v>
      </c>
      <c r="P242" s="90" t="s">
        <v>1173</v>
      </c>
      <c r="Q242" s="90" t="s">
        <v>312</v>
      </c>
      <c r="R242" s="88" t="s">
        <v>317</v>
      </c>
      <c r="S242" s="88"/>
      <c r="T242" s="88"/>
      <c r="U242" s="88"/>
      <c r="V242" s="88" t="s">
        <v>680</v>
      </c>
      <c r="W242" s="92" t="s">
        <v>681</v>
      </c>
      <c r="X242" s="203"/>
    </row>
    <row r="243" spans="1:24" s="63" customFormat="1" ht="32.25" customHeight="1" x14ac:dyDescent="0.2">
      <c r="A243" s="202">
        <v>281</v>
      </c>
      <c r="B243" s="88" t="s">
        <v>279</v>
      </c>
      <c r="C243" s="89">
        <v>281</v>
      </c>
      <c r="D243" s="88" t="str">
        <f t="shared" si="9"/>
        <v>SUPERMIX281</v>
      </c>
      <c r="E243" s="58" t="s">
        <v>682</v>
      </c>
      <c r="F243" s="58" t="s">
        <v>683</v>
      </c>
      <c r="G243" s="88" t="s">
        <v>25</v>
      </c>
      <c r="H243" s="107" t="s">
        <v>684</v>
      </c>
      <c r="I243" s="107" t="s">
        <v>3787</v>
      </c>
      <c r="J243" s="88" t="s">
        <v>685</v>
      </c>
      <c r="K243" s="88" t="s">
        <v>281</v>
      </c>
      <c r="L243" s="91">
        <v>41446</v>
      </c>
      <c r="M243" s="91">
        <v>42489</v>
      </c>
      <c r="N243" s="88">
        <f t="shared" ca="1" si="10"/>
        <v>3698</v>
      </c>
      <c r="O243" s="84" t="str">
        <f ca="1">IF(Tabla1[[#This Row],[|]]&gt;=0,"VENCIDA",IF(Tabla1[[#This Row],[|]]&gt;=-14,"POR VENCER","OK"))</f>
        <v>VENCIDA</v>
      </c>
      <c r="P243" s="90" t="s">
        <v>597</v>
      </c>
      <c r="Q243" s="90" t="s">
        <v>312</v>
      </c>
      <c r="R243" s="88" t="s">
        <v>17</v>
      </c>
      <c r="S243" s="88"/>
      <c r="T243" s="88"/>
      <c r="U243" s="88"/>
      <c r="V243" s="88" t="s">
        <v>680</v>
      </c>
      <c r="W243" s="92" t="s">
        <v>681</v>
      </c>
      <c r="X243" s="203"/>
    </row>
    <row r="244" spans="1:24" s="63" customFormat="1" ht="32.25" customHeight="1" x14ac:dyDescent="0.2">
      <c r="A244" s="202">
        <v>282</v>
      </c>
      <c r="B244" s="88" t="s">
        <v>279</v>
      </c>
      <c r="C244" s="89">
        <v>282</v>
      </c>
      <c r="D244" s="88" t="str">
        <f t="shared" si="9"/>
        <v>SUPERMIX282</v>
      </c>
      <c r="E244" s="58" t="s">
        <v>210</v>
      </c>
      <c r="F244" s="58" t="s">
        <v>686</v>
      </c>
      <c r="G244" s="88" t="s">
        <v>25</v>
      </c>
      <c r="H244" s="107" t="s">
        <v>687</v>
      </c>
      <c r="I244" s="107" t="s">
        <v>3787</v>
      </c>
      <c r="J244" s="88" t="s">
        <v>688</v>
      </c>
      <c r="K244" s="88" t="s">
        <v>281</v>
      </c>
      <c r="L244" s="91">
        <v>41446</v>
      </c>
      <c r="M244" s="91">
        <v>42251</v>
      </c>
      <c r="N244" s="88">
        <f t="shared" ca="1" si="10"/>
        <v>3936</v>
      </c>
      <c r="O244" s="84" t="str">
        <f ca="1">IF(Tabla1[[#This Row],[|]]&gt;=0,"VENCIDA",IF(Tabla1[[#This Row],[|]]&gt;=-14,"POR VENCER","OK"))</f>
        <v>VENCIDA</v>
      </c>
      <c r="P244" s="90" t="s">
        <v>597</v>
      </c>
      <c r="Q244" s="90" t="s">
        <v>312</v>
      </c>
      <c r="R244" s="88" t="s">
        <v>317</v>
      </c>
      <c r="S244" s="88"/>
      <c r="T244" s="88"/>
      <c r="U244" s="88"/>
      <c r="V244" s="88" t="s">
        <v>680</v>
      </c>
      <c r="W244" s="92" t="s">
        <v>681</v>
      </c>
      <c r="X244" s="203"/>
    </row>
    <row r="245" spans="1:24" s="63" customFormat="1" ht="32.25" customHeight="1" x14ac:dyDescent="0.2">
      <c r="A245" s="202">
        <v>283</v>
      </c>
      <c r="B245" s="88" t="s">
        <v>279</v>
      </c>
      <c r="C245" s="89">
        <v>283</v>
      </c>
      <c r="D245" s="88" t="str">
        <f t="shared" si="9"/>
        <v>SUPERMIX283</v>
      </c>
      <c r="E245" s="58" t="s">
        <v>689</v>
      </c>
      <c r="F245" s="58" t="s">
        <v>690</v>
      </c>
      <c r="G245" s="88" t="s">
        <v>25</v>
      </c>
      <c r="H245" s="107" t="s">
        <v>691</v>
      </c>
      <c r="I245" s="107" t="s">
        <v>3787</v>
      </c>
      <c r="J245" s="88" t="s">
        <v>692</v>
      </c>
      <c r="K245" s="88" t="s">
        <v>1961</v>
      </c>
      <c r="L245" s="91">
        <v>40750</v>
      </c>
      <c r="M245" s="91">
        <v>44099</v>
      </c>
      <c r="N245" s="88">
        <f t="shared" ca="1" si="10"/>
        <v>2088</v>
      </c>
      <c r="O245" s="84" t="str">
        <f ca="1">IF(Tabla1[[#This Row],[|]]&gt;=0,"VENCIDA",IF(Tabla1[[#This Row],[|]]&gt;=-14,"POR VENCER","OK"))</f>
        <v>VENCIDA</v>
      </c>
      <c r="P245" s="90" t="s">
        <v>640</v>
      </c>
      <c r="Q245" s="90" t="s">
        <v>312</v>
      </c>
      <c r="R245" s="88" t="s">
        <v>317</v>
      </c>
      <c r="S245" s="88"/>
      <c r="T245" s="88"/>
      <c r="U245" s="88"/>
      <c r="V245" s="88" t="s">
        <v>680</v>
      </c>
      <c r="W245" s="92" t="s">
        <v>850</v>
      </c>
      <c r="X245" s="203"/>
    </row>
    <row r="246" spans="1:24" s="63" customFormat="1" ht="32.25" customHeight="1" x14ac:dyDescent="0.2">
      <c r="A246" s="202">
        <v>284</v>
      </c>
      <c r="B246" s="88" t="s">
        <v>279</v>
      </c>
      <c r="C246" s="89">
        <v>284</v>
      </c>
      <c r="D246" s="88" t="str">
        <f t="shared" si="9"/>
        <v>SUPERMIX284</v>
      </c>
      <c r="E246" s="58" t="s">
        <v>693</v>
      </c>
      <c r="F246" s="58" t="s">
        <v>694</v>
      </c>
      <c r="G246" s="88" t="s">
        <v>25</v>
      </c>
      <c r="H246" s="107" t="s">
        <v>695</v>
      </c>
      <c r="I246" s="107" t="s">
        <v>3787</v>
      </c>
      <c r="J246" s="88" t="s">
        <v>701</v>
      </c>
      <c r="K246" s="88" t="s">
        <v>281</v>
      </c>
      <c r="L246" s="91">
        <v>41467</v>
      </c>
      <c r="M246" s="91">
        <v>42280</v>
      </c>
      <c r="N246" s="88">
        <f t="shared" ca="1" si="10"/>
        <v>3907</v>
      </c>
      <c r="O246" s="84" t="str">
        <f ca="1">IF(Tabla1[[#This Row],[|]]&gt;=0,"VENCIDA",IF(Tabla1[[#This Row],[|]]&gt;=-14,"POR VENCER","OK"))</f>
        <v>VENCIDA</v>
      </c>
      <c r="P246" s="90" t="s">
        <v>1512</v>
      </c>
      <c r="Q246" s="90" t="s">
        <v>312</v>
      </c>
      <c r="R246" s="88" t="s">
        <v>317</v>
      </c>
      <c r="S246" s="88"/>
      <c r="T246" s="88"/>
      <c r="U246" s="88"/>
      <c r="V246" s="88" t="s">
        <v>668</v>
      </c>
      <c r="W246" s="92" t="s">
        <v>649</v>
      </c>
      <c r="X246" s="203"/>
    </row>
    <row r="247" spans="1:24" s="63" customFormat="1" ht="32.25" customHeight="1" x14ac:dyDescent="0.2">
      <c r="A247" s="202">
        <v>285</v>
      </c>
      <c r="B247" s="88" t="s">
        <v>279</v>
      </c>
      <c r="C247" s="89">
        <v>285</v>
      </c>
      <c r="D247" s="88" t="str">
        <f t="shared" si="9"/>
        <v>SUPERMIX285</v>
      </c>
      <c r="E247" s="58" t="s">
        <v>696</v>
      </c>
      <c r="F247" s="58" t="s">
        <v>697</v>
      </c>
      <c r="G247" s="88" t="s">
        <v>25</v>
      </c>
      <c r="H247" s="107" t="s">
        <v>698</v>
      </c>
      <c r="I247" s="107" t="s">
        <v>3787</v>
      </c>
      <c r="J247" s="88" t="s">
        <v>699</v>
      </c>
      <c r="K247" s="88" t="s">
        <v>281</v>
      </c>
      <c r="L247" s="91">
        <v>42388</v>
      </c>
      <c r="M247" s="91">
        <v>46815</v>
      </c>
      <c r="N247" s="88">
        <f t="shared" ca="1" si="10"/>
        <v>-628</v>
      </c>
      <c r="O247" s="84" t="str">
        <f ca="1">IF(Tabla1[[#This Row],[|]]&gt;=0,"VENCIDA",IF(Tabla1[[#This Row],[|]]&gt;=-14,"POR VENCER","OK"))</f>
        <v>OK</v>
      </c>
      <c r="P247" s="90" t="s">
        <v>3508</v>
      </c>
      <c r="Q247" s="90" t="s">
        <v>312</v>
      </c>
      <c r="R247" s="88" t="s">
        <v>317</v>
      </c>
      <c r="S247" s="88"/>
      <c r="T247" s="88"/>
      <c r="U247" s="88"/>
      <c r="V247" s="88" t="s">
        <v>329</v>
      </c>
      <c r="W247" s="92" t="s">
        <v>700</v>
      </c>
      <c r="X247" s="203" t="s">
        <v>3509</v>
      </c>
    </row>
    <row r="248" spans="1:24" s="63" customFormat="1" ht="32.25" customHeight="1" x14ac:dyDescent="0.2">
      <c r="A248" s="202">
        <v>286</v>
      </c>
      <c r="B248" s="88" t="s">
        <v>279</v>
      </c>
      <c r="C248" s="89">
        <v>286</v>
      </c>
      <c r="D248" s="88" t="str">
        <f t="shared" si="9"/>
        <v>SUPERMIX286</v>
      </c>
      <c r="E248" s="58" t="s">
        <v>705</v>
      </c>
      <c r="F248" s="58" t="s">
        <v>706</v>
      </c>
      <c r="G248" s="88" t="s">
        <v>25</v>
      </c>
      <c r="H248" s="107" t="s">
        <v>707</v>
      </c>
      <c r="I248" s="107" t="s">
        <v>3787</v>
      </c>
      <c r="J248" s="88" t="s">
        <v>708</v>
      </c>
      <c r="K248" s="88" t="s">
        <v>343</v>
      </c>
      <c r="L248" s="91">
        <v>41475</v>
      </c>
      <c r="M248" s="91">
        <v>41603</v>
      </c>
      <c r="N248" s="88">
        <f t="shared" ca="1" si="10"/>
        <v>4584</v>
      </c>
      <c r="O248" s="84" t="str">
        <f ca="1">IF(Tabla1[[#This Row],[|]]&gt;=0,"VENCIDA",IF(Tabla1[[#This Row],[|]]&gt;=-14,"POR VENCER","OK"))</f>
        <v>VENCIDA</v>
      </c>
      <c r="P248" s="90" t="s">
        <v>640</v>
      </c>
      <c r="Q248" s="90" t="s">
        <v>312</v>
      </c>
      <c r="R248" s="88" t="s">
        <v>317</v>
      </c>
      <c r="S248" s="88"/>
      <c r="T248" s="88"/>
      <c r="U248" s="88"/>
      <c r="V248" s="88" t="s">
        <v>612</v>
      </c>
      <c r="W248" s="92" t="s">
        <v>704</v>
      </c>
      <c r="X248" s="203"/>
    </row>
    <row r="249" spans="1:24" s="63" customFormat="1" ht="32.25" customHeight="1" x14ac:dyDescent="0.2">
      <c r="A249" s="202">
        <v>287</v>
      </c>
      <c r="B249" s="88" t="s">
        <v>279</v>
      </c>
      <c r="C249" s="89">
        <v>287</v>
      </c>
      <c r="D249" s="88" t="str">
        <f t="shared" si="9"/>
        <v>SUPERMIX287</v>
      </c>
      <c r="E249" s="58" t="s">
        <v>711</v>
      </c>
      <c r="F249" s="58" t="s">
        <v>712</v>
      </c>
      <c r="G249" s="88" t="s">
        <v>25</v>
      </c>
      <c r="H249" s="107" t="s">
        <v>713</v>
      </c>
      <c r="I249" s="107" t="s">
        <v>3787</v>
      </c>
      <c r="J249" s="88" t="s">
        <v>714</v>
      </c>
      <c r="K249" s="88" t="s">
        <v>281</v>
      </c>
      <c r="L249" s="91">
        <v>28747</v>
      </c>
      <c r="M249" s="91">
        <v>44033</v>
      </c>
      <c r="N249" s="88">
        <f t="shared" ca="1" si="10"/>
        <v>2154</v>
      </c>
      <c r="O249" s="84" t="str">
        <f ca="1">IF(Tabla1[[#This Row],[|]]&gt;=0,"VENCIDA",IF(Tabla1[[#This Row],[|]]&gt;=-14,"POR VENCER","OK"))</f>
        <v>VENCIDA</v>
      </c>
      <c r="P249" s="90" t="s">
        <v>2797</v>
      </c>
      <c r="Q249" s="90" t="s">
        <v>312</v>
      </c>
      <c r="R249" s="88" t="s">
        <v>17</v>
      </c>
      <c r="S249" s="88"/>
      <c r="T249" s="88"/>
      <c r="U249" s="88"/>
      <c r="V249" s="88" t="s">
        <v>1595</v>
      </c>
      <c r="W249" s="92" t="s">
        <v>732</v>
      </c>
      <c r="X249" s="203" t="s">
        <v>597</v>
      </c>
    </row>
    <row r="250" spans="1:24" s="43" customFormat="1" ht="32.25" customHeight="1" x14ac:dyDescent="0.2">
      <c r="A250" s="42">
        <v>288</v>
      </c>
      <c r="B250" s="93" t="s">
        <v>279</v>
      </c>
      <c r="C250" s="94">
        <v>288</v>
      </c>
      <c r="D250" s="93" t="str">
        <f t="shared" si="9"/>
        <v>SUPERMIX288</v>
      </c>
      <c r="E250" s="115" t="s">
        <v>736</v>
      </c>
      <c r="F250" s="115" t="s">
        <v>737</v>
      </c>
      <c r="G250" s="93" t="s">
        <v>25</v>
      </c>
      <c r="H250" s="128" t="s">
        <v>738</v>
      </c>
      <c r="I250" s="128" t="s">
        <v>3788</v>
      </c>
      <c r="J250" s="93" t="s">
        <v>739</v>
      </c>
      <c r="K250" s="93" t="s">
        <v>368</v>
      </c>
      <c r="L250" s="96">
        <v>41288</v>
      </c>
      <c r="M250" s="96">
        <v>46385</v>
      </c>
      <c r="N250" s="88">
        <f t="shared" ca="1" si="10"/>
        <v>-198</v>
      </c>
      <c r="O250" s="84" t="str">
        <f ca="1">IF(Tabla1[[#This Row],[|]]&gt;=0,"VENCIDA",IF(Tabla1[[#This Row],[|]]&gt;=-14,"POR VENCER","OK"))</f>
        <v>OK</v>
      </c>
      <c r="P250" s="95" t="s">
        <v>2876</v>
      </c>
      <c r="Q250" s="95" t="s">
        <v>312</v>
      </c>
      <c r="R250" s="93" t="s">
        <v>17</v>
      </c>
      <c r="S250" s="93"/>
      <c r="T250" s="93"/>
      <c r="U250" s="93"/>
      <c r="V250" s="93" t="s">
        <v>329</v>
      </c>
      <c r="W250" s="97" t="s">
        <v>700</v>
      </c>
      <c r="X250" s="204" t="s">
        <v>2822</v>
      </c>
    </row>
    <row r="251" spans="1:24" s="63" customFormat="1" ht="32.25" customHeight="1" x14ac:dyDescent="0.2">
      <c r="A251" s="202">
        <v>289</v>
      </c>
      <c r="B251" s="88" t="s">
        <v>279</v>
      </c>
      <c r="C251" s="89">
        <v>289</v>
      </c>
      <c r="D251" s="88" t="str">
        <f t="shared" si="9"/>
        <v>SUPERMIX289</v>
      </c>
      <c r="E251" s="58" t="s">
        <v>808</v>
      </c>
      <c r="F251" s="58" t="s">
        <v>813</v>
      </c>
      <c r="G251" s="88" t="s">
        <v>25</v>
      </c>
      <c r="H251" s="131" t="s">
        <v>809</v>
      </c>
      <c r="I251" s="131" t="s">
        <v>3787</v>
      </c>
      <c r="J251" s="88" t="s">
        <v>810</v>
      </c>
      <c r="K251" s="88" t="s">
        <v>3142</v>
      </c>
      <c r="L251" s="91">
        <v>39206</v>
      </c>
      <c r="M251" s="91">
        <v>42765</v>
      </c>
      <c r="N251" s="88">
        <f t="shared" ca="1" si="10"/>
        <v>3422</v>
      </c>
      <c r="O251" s="84" t="str">
        <f ca="1">IF(Tabla1[[#This Row],[|]]&gt;=0,"VENCIDA",IF(Tabla1[[#This Row],[|]]&gt;=-14,"POR VENCER","OK"))</f>
        <v>VENCIDA</v>
      </c>
      <c r="P251" s="90" t="s">
        <v>823</v>
      </c>
      <c r="Q251" s="90" t="s">
        <v>312</v>
      </c>
      <c r="R251" s="88" t="s">
        <v>317</v>
      </c>
      <c r="S251" s="88"/>
      <c r="T251" s="88"/>
      <c r="U251" s="88"/>
      <c r="V251" s="88" t="s">
        <v>811</v>
      </c>
      <c r="W251" s="92" t="s">
        <v>812</v>
      </c>
      <c r="X251" s="203"/>
    </row>
    <row r="252" spans="1:24" s="43" customFormat="1" ht="32.25" customHeight="1" x14ac:dyDescent="0.2">
      <c r="A252" s="42">
        <v>290</v>
      </c>
      <c r="B252" s="93" t="s">
        <v>279</v>
      </c>
      <c r="C252" s="94">
        <v>290</v>
      </c>
      <c r="D252" s="93" t="str">
        <f t="shared" si="9"/>
        <v>SUPERMIX290</v>
      </c>
      <c r="E252" s="115" t="s">
        <v>815</v>
      </c>
      <c r="F252" s="115" t="s">
        <v>814</v>
      </c>
      <c r="G252" s="93" t="s">
        <v>25</v>
      </c>
      <c r="H252" s="128" t="s">
        <v>816</v>
      </c>
      <c r="I252" s="128" t="s">
        <v>3788</v>
      </c>
      <c r="J252" s="93" t="s">
        <v>817</v>
      </c>
      <c r="K252" s="93" t="s">
        <v>281</v>
      </c>
      <c r="L252" s="96">
        <v>37438</v>
      </c>
      <c r="M252" s="96">
        <v>46740</v>
      </c>
      <c r="N252" s="88">
        <f t="shared" ca="1" si="10"/>
        <v>-553</v>
      </c>
      <c r="O252" s="84" t="str">
        <f ca="1">IF(Tabla1[[#This Row],[|]]&gt;=0,"VENCIDA",IF(Tabla1[[#This Row],[|]]&gt;=-14,"POR VENCER","OK"))</f>
        <v>OK</v>
      </c>
      <c r="P252" s="95" t="s">
        <v>3208</v>
      </c>
      <c r="Q252" s="95" t="s">
        <v>312</v>
      </c>
      <c r="R252" s="93" t="s">
        <v>317</v>
      </c>
      <c r="S252" s="93"/>
      <c r="T252" s="93"/>
      <c r="U252" s="93"/>
      <c r="V252" s="93" t="s">
        <v>3210</v>
      </c>
      <c r="W252" s="97" t="s">
        <v>2997</v>
      </c>
      <c r="X252" s="204" t="s">
        <v>3209</v>
      </c>
    </row>
    <row r="253" spans="1:24" s="43" customFormat="1" ht="32.25" customHeight="1" x14ac:dyDescent="0.2">
      <c r="A253" s="42">
        <v>291</v>
      </c>
      <c r="B253" s="93" t="s">
        <v>279</v>
      </c>
      <c r="C253" s="94">
        <v>291</v>
      </c>
      <c r="D253" s="93" t="str">
        <f t="shared" si="9"/>
        <v>SUPERMIX291</v>
      </c>
      <c r="E253" s="115" t="s">
        <v>818</v>
      </c>
      <c r="F253" s="115" t="s">
        <v>819</v>
      </c>
      <c r="G253" s="93" t="s">
        <v>25</v>
      </c>
      <c r="H253" s="132" t="s">
        <v>820</v>
      </c>
      <c r="I253" s="132" t="s">
        <v>3788</v>
      </c>
      <c r="J253" s="93" t="s">
        <v>822</v>
      </c>
      <c r="K253" s="93" t="s">
        <v>343</v>
      </c>
      <c r="L253" s="96">
        <v>42209</v>
      </c>
      <c r="M253" s="96">
        <v>47247</v>
      </c>
      <c r="N253" s="88">
        <f t="shared" ca="1" si="10"/>
        <v>-1060</v>
      </c>
      <c r="O253" s="84" t="str">
        <f ca="1">IF(Tabla1[[#This Row],[|]]&gt;=0,"VENCIDA",IF(Tabla1[[#This Row],[|]]&gt;=-14,"POR VENCER","OK"))</f>
        <v>OK</v>
      </c>
      <c r="P253" s="95" t="s">
        <v>3420</v>
      </c>
      <c r="Q253" s="95" t="s">
        <v>312</v>
      </c>
      <c r="R253" s="93" t="s">
        <v>17</v>
      </c>
      <c r="S253" s="93"/>
      <c r="T253" s="93"/>
      <c r="U253" s="93"/>
      <c r="V253" s="93" t="s">
        <v>821</v>
      </c>
      <c r="W253" s="97" t="s">
        <v>511</v>
      </c>
      <c r="X253" s="204" t="s">
        <v>2871</v>
      </c>
    </row>
    <row r="254" spans="1:24" s="63" customFormat="1" ht="32.25" customHeight="1" x14ac:dyDescent="0.2">
      <c r="A254" s="202">
        <v>293</v>
      </c>
      <c r="B254" s="88" t="s">
        <v>279</v>
      </c>
      <c r="C254" s="89">
        <v>293</v>
      </c>
      <c r="D254" s="88" t="str">
        <f t="shared" si="9"/>
        <v>SUPERMIX293</v>
      </c>
      <c r="E254" s="58" t="s">
        <v>826</v>
      </c>
      <c r="F254" s="58" t="s">
        <v>827</v>
      </c>
      <c r="G254" s="88" t="s">
        <v>25</v>
      </c>
      <c r="H254" s="107" t="s">
        <v>828</v>
      </c>
      <c r="I254" s="107" t="s">
        <v>3787</v>
      </c>
      <c r="J254" s="88" t="s">
        <v>829</v>
      </c>
      <c r="K254" s="88" t="s">
        <v>293</v>
      </c>
      <c r="L254" s="91">
        <v>41660</v>
      </c>
      <c r="M254" s="91">
        <v>42756</v>
      </c>
      <c r="N254" s="88">
        <f t="shared" ca="1" si="10"/>
        <v>3431</v>
      </c>
      <c r="O254" s="84" t="str">
        <f ca="1">IF(Tabla1[[#This Row],[|]]&gt;=0,"VENCIDA",IF(Tabla1[[#This Row],[|]]&gt;=-14,"POR VENCER","OK"))</f>
        <v>VENCIDA</v>
      </c>
      <c r="P254" s="90" t="s">
        <v>830</v>
      </c>
      <c r="Q254" s="90" t="s">
        <v>312</v>
      </c>
      <c r="R254" s="88" t="s">
        <v>317</v>
      </c>
      <c r="S254" s="88"/>
      <c r="T254" s="88"/>
      <c r="U254" s="88"/>
      <c r="V254" s="88" t="s">
        <v>831</v>
      </c>
      <c r="W254" s="92" t="s">
        <v>832</v>
      </c>
      <c r="X254" s="203"/>
    </row>
    <row r="255" spans="1:24" s="43" customFormat="1" ht="32.25" customHeight="1" x14ac:dyDescent="0.2">
      <c r="A255" s="42">
        <v>294</v>
      </c>
      <c r="B255" s="93" t="s">
        <v>279</v>
      </c>
      <c r="C255" s="94">
        <v>294</v>
      </c>
      <c r="D255" s="93" t="str">
        <f t="shared" si="9"/>
        <v>SUPERMIX294</v>
      </c>
      <c r="E255" s="115" t="s">
        <v>833</v>
      </c>
      <c r="F255" s="115" t="s">
        <v>834</v>
      </c>
      <c r="G255" s="93" t="s">
        <v>25</v>
      </c>
      <c r="H255" s="132" t="s">
        <v>835</v>
      </c>
      <c r="I255" s="132" t="s">
        <v>3788</v>
      </c>
      <c r="J255" s="93" t="s">
        <v>837</v>
      </c>
      <c r="K255" s="93" t="s">
        <v>3142</v>
      </c>
      <c r="L255" s="96">
        <v>35935</v>
      </c>
      <c r="M255" s="108">
        <v>48422</v>
      </c>
      <c r="N255" s="88">
        <f t="shared" ca="1" si="10"/>
        <v>-2235</v>
      </c>
      <c r="O255" s="84" t="str">
        <f ca="1">IF(Tabla1[[#This Row],[|]]&gt;=0,"VENCIDA",IF(Tabla1[[#This Row],[|]]&gt;=-14,"POR VENCER","OK"))</f>
        <v>OK</v>
      </c>
      <c r="P255" s="95" t="s">
        <v>2827</v>
      </c>
      <c r="Q255" s="95" t="s">
        <v>312</v>
      </c>
      <c r="R255" s="93" t="s">
        <v>317</v>
      </c>
      <c r="S255" s="93"/>
      <c r="T255" s="93"/>
      <c r="U255" s="93"/>
      <c r="V255" s="93" t="s">
        <v>836</v>
      </c>
      <c r="W255" s="97" t="s">
        <v>3529</v>
      </c>
      <c r="X255" s="204" t="s">
        <v>3875</v>
      </c>
    </row>
    <row r="256" spans="1:24" s="59" customFormat="1" ht="32.25" customHeight="1" x14ac:dyDescent="0.2">
      <c r="A256" s="200">
        <v>295</v>
      </c>
      <c r="B256" s="61" t="s">
        <v>279</v>
      </c>
      <c r="C256" s="87">
        <v>295</v>
      </c>
      <c r="D256" s="61" t="str">
        <f t="shared" si="9"/>
        <v>SUPERMIX295</v>
      </c>
      <c r="E256" s="82" t="s">
        <v>838</v>
      </c>
      <c r="F256" s="82" t="s">
        <v>28</v>
      </c>
      <c r="G256" s="61" t="s">
        <v>341</v>
      </c>
      <c r="H256" s="133" t="s">
        <v>839</v>
      </c>
      <c r="I256" s="133" t="s">
        <v>3787</v>
      </c>
      <c r="J256" s="61" t="s">
        <v>840</v>
      </c>
      <c r="K256" s="61" t="s">
        <v>293</v>
      </c>
      <c r="L256" s="62">
        <v>40611</v>
      </c>
      <c r="M256" s="62">
        <v>42804</v>
      </c>
      <c r="N256" s="61">
        <f t="shared" ca="1" si="10"/>
        <v>3383</v>
      </c>
      <c r="O256" s="84" t="str">
        <f ca="1">IF(Tabla1[[#This Row],[|]]&gt;=0,"VENCIDA",IF(Tabla1[[#This Row],[|]]&gt;=-14,"POR VENCER","OK"))</f>
        <v>VENCIDA</v>
      </c>
      <c r="P256" s="60" t="s">
        <v>1507</v>
      </c>
      <c r="Q256" s="60" t="s">
        <v>312</v>
      </c>
      <c r="R256" s="61" t="s">
        <v>17</v>
      </c>
      <c r="S256" s="61"/>
      <c r="T256" s="61"/>
      <c r="U256" s="61"/>
      <c r="V256" s="61" t="s">
        <v>282</v>
      </c>
      <c r="W256" s="86" t="s">
        <v>672</v>
      </c>
      <c r="X256" s="201"/>
    </row>
    <row r="257" spans="1:24" s="63" customFormat="1" ht="32.25" customHeight="1" x14ac:dyDescent="0.2">
      <c r="A257" s="202">
        <v>296</v>
      </c>
      <c r="B257" s="88" t="s">
        <v>279</v>
      </c>
      <c r="C257" s="89">
        <v>296</v>
      </c>
      <c r="D257" s="88" t="str">
        <f t="shared" si="9"/>
        <v>SUPERMIX296</v>
      </c>
      <c r="E257" s="58" t="s">
        <v>841</v>
      </c>
      <c r="F257" s="58" t="s">
        <v>842</v>
      </c>
      <c r="G257" s="88" t="s">
        <v>25</v>
      </c>
      <c r="H257" s="107" t="s">
        <v>843</v>
      </c>
      <c r="I257" s="107" t="s">
        <v>3787</v>
      </c>
      <c r="J257" s="88" t="s">
        <v>844</v>
      </c>
      <c r="K257" s="88" t="s">
        <v>281</v>
      </c>
      <c r="L257" s="91">
        <v>41185</v>
      </c>
      <c r="M257" s="91">
        <v>42280</v>
      </c>
      <c r="N257" s="88">
        <f t="shared" ca="1" si="10"/>
        <v>3907</v>
      </c>
      <c r="O257" s="84" t="str">
        <f ca="1">IF(Tabla1[[#This Row],[|]]&gt;=0,"VENCIDA",IF(Tabla1[[#This Row],[|]]&gt;=-14,"POR VENCER","OK"))</f>
        <v>VENCIDA</v>
      </c>
      <c r="P257" s="90" t="s">
        <v>1059</v>
      </c>
      <c r="Q257" s="90" t="s">
        <v>312</v>
      </c>
      <c r="R257" s="88" t="s">
        <v>17</v>
      </c>
      <c r="S257" s="88"/>
      <c r="T257" s="88"/>
      <c r="U257" s="88"/>
      <c r="V257" s="88" t="s">
        <v>825</v>
      </c>
      <c r="W257" s="92" t="s">
        <v>845</v>
      </c>
      <c r="X257" s="203"/>
    </row>
    <row r="258" spans="1:24" s="63" customFormat="1" ht="32.25" customHeight="1" x14ac:dyDescent="0.2">
      <c r="A258" s="202">
        <v>297</v>
      </c>
      <c r="B258" s="88" t="s">
        <v>279</v>
      </c>
      <c r="C258" s="89">
        <v>297</v>
      </c>
      <c r="D258" s="88" t="str">
        <f t="shared" si="9"/>
        <v>SUPERMIX297</v>
      </c>
      <c r="E258" s="58" t="s">
        <v>846</v>
      </c>
      <c r="F258" s="58" t="s">
        <v>847</v>
      </c>
      <c r="G258" s="88" t="s">
        <v>25</v>
      </c>
      <c r="H258" s="107" t="s">
        <v>848</v>
      </c>
      <c r="I258" s="107" t="s">
        <v>3787</v>
      </c>
      <c r="J258" s="88" t="s">
        <v>854</v>
      </c>
      <c r="K258" s="88" t="s">
        <v>293</v>
      </c>
      <c r="L258" s="91">
        <v>38392</v>
      </c>
      <c r="M258" s="91">
        <v>42091</v>
      </c>
      <c r="N258" s="88">
        <f t="shared" ca="1" si="10"/>
        <v>4096</v>
      </c>
      <c r="O258" s="84" t="str">
        <f ca="1">IF(Tabla1[[#This Row],[|]]&gt;=0,"VENCIDA",IF(Tabla1[[#This Row],[|]]&gt;=-14,"POR VENCER","OK"))</f>
        <v>VENCIDA</v>
      </c>
      <c r="P258" s="90" t="s">
        <v>597</v>
      </c>
      <c r="Q258" s="90" t="s">
        <v>312</v>
      </c>
      <c r="R258" s="88" t="s">
        <v>317</v>
      </c>
      <c r="S258" s="88"/>
      <c r="T258" s="88"/>
      <c r="U258" s="88"/>
      <c r="V258" s="88" t="s">
        <v>849</v>
      </c>
      <c r="W258" s="92" t="s">
        <v>850</v>
      </c>
      <c r="X258" s="203"/>
    </row>
    <row r="259" spans="1:24" s="43" customFormat="1" ht="32.25" customHeight="1" x14ac:dyDescent="0.2">
      <c r="A259" s="42">
        <v>298</v>
      </c>
      <c r="B259" s="93" t="s">
        <v>279</v>
      </c>
      <c r="C259" s="94">
        <v>298</v>
      </c>
      <c r="D259" s="93" t="str">
        <f t="shared" si="9"/>
        <v>SUPERMIX298</v>
      </c>
      <c r="E259" s="115" t="s">
        <v>851</v>
      </c>
      <c r="F259" s="115" t="s">
        <v>1325</v>
      </c>
      <c r="G259" s="93" t="s">
        <v>25</v>
      </c>
      <c r="H259" s="128" t="s">
        <v>852</v>
      </c>
      <c r="I259" s="128" t="s">
        <v>3788</v>
      </c>
      <c r="J259" s="93" t="s">
        <v>853</v>
      </c>
      <c r="K259" s="93" t="s">
        <v>281</v>
      </c>
      <c r="L259" s="96">
        <v>44308</v>
      </c>
      <c r="M259" s="96">
        <v>47882</v>
      </c>
      <c r="N259" s="93">
        <f t="shared" ca="1" si="10"/>
        <v>-1695</v>
      </c>
      <c r="O259" s="84" t="str">
        <f ca="1">IF(Tabla1[[#This Row],[|]]&gt;=0,"VENCIDA",IF(Tabla1[[#This Row],[|]]&gt;=-14,"POR VENCER","OK"))</f>
        <v>OK</v>
      </c>
      <c r="P259" s="95" t="s">
        <v>2623</v>
      </c>
      <c r="Q259" s="95" t="s">
        <v>312</v>
      </c>
      <c r="R259" s="93" t="s">
        <v>17</v>
      </c>
      <c r="S259" s="93"/>
      <c r="T259" s="93"/>
      <c r="U259" s="93"/>
      <c r="V259" s="93" t="s">
        <v>849</v>
      </c>
      <c r="W259" s="97" t="s">
        <v>850</v>
      </c>
      <c r="X259" s="204" t="s">
        <v>4265</v>
      </c>
    </row>
    <row r="260" spans="1:24" s="63" customFormat="1" ht="32.25" customHeight="1" x14ac:dyDescent="0.2">
      <c r="A260" s="202">
        <v>299</v>
      </c>
      <c r="B260" s="88" t="s">
        <v>279</v>
      </c>
      <c r="C260" s="89">
        <v>299</v>
      </c>
      <c r="D260" s="88" t="str">
        <f t="shared" si="9"/>
        <v>SUPERMIX299</v>
      </c>
      <c r="E260" s="58" t="s">
        <v>855</v>
      </c>
      <c r="F260" s="58" t="s">
        <v>856</v>
      </c>
      <c r="G260" s="88" t="s">
        <v>25</v>
      </c>
      <c r="H260" s="107" t="s">
        <v>857</v>
      </c>
      <c r="I260" s="107" t="s">
        <v>3787</v>
      </c>
      <c r="J260" s="88" t="s">
        <v>858</v>
      </c>
      <c r="K260" s="88" t="s">
        <v>281</v>
      </c>
      <c r="L260" s="91">
        <v>37496</v>
      </c>
      <c r="M260" s="91">
        <v>41887</v>
      </c>
      <c r="N260" s="88">
        <f t="shared" ca="1" si="10"/>
        <v>4300</v>
      </c>
      <c r="O260" s="84" t="str">
        <f ca="1">IF(Tabla1[[#This Row],[|]]&gt;=0,"VENCIDA",IF(Tabla1[[#This Row],[|]]&gt;=-14,"POR VENCER","OK"))</f>
        <v>VENCIDA</v>
      </c>
      <c r="P260" s="90" t="s">
        <v>597</v>
      </c>
      <c r="Q260" s="90" t="s">
        <v>312</v>
      </c>
      <c r="R260" s="88" t="s">
        <v>17</v>
      </c>
      <c r="S260" s="88"/>
      <c r="T260" s="88"/>
      <c r="U260" s="88"/>
      <c r="V260" s="88" t="s">
        <v>849</v>
      </c>
      <c r="W260" s="92" t="s">
        <v>850</v>
      </c>
      <c r="X260" s="203"/>
    </row>
    <row r="261" spans="1:24" s="63" customFormat="1" ht="32.25" customHeight="1" x14ac:dyDescent="0.2">
      <c r="A261" s="202">
        <v>300</v>
      </c>
      <c r="B261" s="88" t="s">
        <v>279</v>
      </c>
      <c r="C261" s="89">
        <v>300</v>
      </c>
      <c r="D261" s="88" t="str">
        <f t="shared" si="9"/>
        <v>SUPERMIX300</v>
      </c>
      <c r="E261" s="58" t="s">
        <v>3784</v>
      </c>
      <c r="F261" s="58" t="s">
        <v>3785</v>
      </c>
      <c r="G261" s="88" t="s">
        <v>310</v>
      </c>
      <c r="H261" s="107" t="s">
        <v>859</v>
      </c>
      <c r="I261" s="107" t="s">
        <v>3787</v>
      </c>
      <c r="J261" s="88" t="s">
        <v>860</v>
      </c>
      <c r="K261" s="88" t="s">
        <v>281</v>
      </c>
      <c r="L261" s="91">
        <v>40997</v>
      </c>
      <c r="M261" s="91">
        <v>42092</v>
      </c>
      <c r="N261" s="88">
        <f t="shared" ca="1" si="10"/>
        <v>4095</v>
      </c>
      <c r="O261" s="84" t="str">
        <f ca="1">IF(Tabla1[[#This Row],[|]]&gt;=0,"VENCIDA",IF(Tabla1[[#This Row],[|]]&gt;=-14,"POR VENCER","OK"))</f>
        <v>VENCIDA</v>
      </c>
      <c r="P261" s="90" t="s">
        <v>597</v>
      </c>
      <c r="Q261" s="90" t="s">
        <v>312</v>
      </c>
      <c r="R261" s="88" t="s">
        <v>317</v>
      </c>
      <c r="S261" s="88"/>
      <c r="T261" s="88"/>
      <c r="U261" s="88"/>
      <c r="V261" s="88" t="s">
        <v>849</v>
      </c>
      <c r="W261" s="92" t="s">
        <v>850</v>
      </c>
      <c r="X261" s="203"/>
    </row>
    <row r="262" spans="1:24" s="43" customFormat="1" ht="32.25" customHeight="1" x14ac:dyDescent="0.2">
      <c r="A262" s="42">
        <v>301</v>
      </c>
      <c r="B262" s="93" t="s">
        <v>279</v>
      </c>
      <c r="C262" s="94">
        <v>301</v>
      </c>
      <c r="D262" s="93" t="str">
        <f t="shared" si="9"/>
        <v>SUPERMIX301</v>
      </c>
      <c r="E262" s="115" t="s">
        <v>861</v>
      </c>
      <c r="F262" s="115" t="s">
        <v>862</v>
      </c>
      <c r="G262" s="93" t="s">
        <v>25</v>
      </c>
      <c r="H262" s="128" t="s">
        <v>863</v>
      </c>
      <c r="I262" s="128" t="s">
        <v>3788</v>
      </c>
      <c r="J262" s="93" t="s">
        <v>864</v>
      </c>
      <c r="K262" s="93" t="s">
        <v>1954</v>
      </c>
      <c r="L262" s="96">
        <v>37120</v>
      </c>
      <c r="M262" s="96">
        <v>46432</v>
      </c>
      <c r="N262" s="93">
        <f t="shared" ca="1" si="10"/>
        <v>-245</v>
      </c>
      <c r="O262" s="84" t="str">
        <f ca="1">IF(Tabla1[[#This Row],[|]]&gt;=0,"VENCIDA",IF(Tabla1[[#This Row],[|]]&gt;=-14,"POR VENCER","OK"))</f>
        <v>OK</v>
      </c>
      <c r="P262" s="95" t="s">
        <v>2917</v>
      </c>
      <c r="Q262" s="95" t="s">
        <v>312</v>
      </c>
      <c r="R262" s="93" t="s">
        <v>17</v>
      </c>
      <c r="S262" s="93"/>
      <c r="T262" s="93"/>
      <c r="U262" s="93"/>
      <c r="V262" s="93" t="s">
        <v>282</v>
      </c>
      <c r="W262" s="97" t="s">
        <v>1017</v>
      </c>
      <c r="X262" s="204" t="s">
        <v>597</v>
      </c>
    </row>
    <row r="263" spans="1:24" s="63" customFormat="1" ht="32.25" customHeight="1" x14ac:dyDescent="0.2">
      <c r="A263" s="202">
        <v>302</v>
      </c>
      <c r="B263" s="88" t="s">
        <v>279</v>
      </c>
      <c r="C263" s="89">
        <v>302</v>
      </c>
      <c r="D263" s="88" t="str">
        <f t="shared" si="9"/>
        <v>SUPERMIX302</v>
      </c>
      <c r="E263" s="58" t="s">
        <v>865</v>
      </c>
      <c r="F263" s="58" t="s">
        <v>866</v>
      </c>
      <c r="G263" s="88" t="s">
        <v>25</v>
      </c>
      <c r="H263" s="107" t="s">
        <v>867</v>
      </c>
      <c r="I263" s="107" t="s">
        <v>3787</v>
      </c>
      <c r="J263" s="88" t="s">
        <v>868</v>
      </c>
      <c r="K263" s="88" t="s">
        <v>281</v>
      </c>
      <c r="L263" s="91">
        <v>38201</v>
      </c>
      <c r="M263" s="91">
        <v>42343</v>
      </c>
      <c r="N263" s="88">
        <f t="shared" ca="1" si="10"/>
        <v>3844</v>
      </c>
      <c r="O263" s="84" t="str">
        <f ca="1">IF(Tabla1[[#This Row],[|]]&gt;=0,"VENCIDA",IF(Tabla1[[#This Row],[|]]&gt;=-14,"POR VENCER","OK"))</f>
        <v>VENCIDA</v>
      </c>
      <c r="P263" s="90" t="s">
        <v>597</v>
      </c>
      <c r="Q263" s="90" t="s">
        <v>312</v>
      </c>
      <c r="R263" s="88" t="s">
        <v>317</v>
      </c>
      <c r="S263" s="88"/>
      <c r="T263" s="88"/>
      <c r="U263" s="88"/>
      <c r="V263" s="88" t="s">
        <v>849</v>
      </c>
      <c r="W263" s="92" t="s">
        <v>850</v>
      </c>
      <c r="X263" s="203"/>
    </row>
    <row r="264" spans="1:24" s="59" customFormat="1" ht="32.25" customHeight="1" x14ac:dyDescent="0.2">
      <c r="A264" s="200">
        <v>303</v>
      </c>
      <c r="B264" s="61" t="s">
        <v>279</v>
      </c>
      <c r="C264" s="87">
        <v>303</v>
      </c>
      <c r="D264" s="61" t="str">
        <f t="shared" ref="D264:D325" si="11">CONCATENATE(B264,C264)</f>
        <v>SUPERMIX303</v>
      </c>
      <c r="E264" s="82" t="s">
        <v>869</v>
      </c>
      <c r="F264" s="82" t="s">
        <v>870</v>
      </c>
      <c r="G264" s="61" t="s">
        <v>341</v>
      </c>
      <c r="H264" s="133" t="s">
        <v>871</v>
      </c>
      <c r="I264" s="133" t="s">
        <v>3787</v>
      </c>
      <c r="J264" s="61" t="s">
        <v>872</v>
      </c>
      <c r="K264" s="61" t="s">
        <v>281</v>
      </c>
      <c r="L264" s="62">
        <v>42538</v>
      </c>
      <c r="M264" s="62">
        <v>43633</v>
      </c>
      <c r="N264" s="61">
        <f t="shared" ca="1" si="10"/>
        <v>2554</v>
      </c>
      <c r="O264" s="84" t="str">
        <f ca="1">IF(Tabla1[[#This Row],[|]]&gt;=0,"VENCIDA",IF(Tabla1[[#This Row],[|]]&gt;=-14,"POR VENCER","OK"))</f>
        <v>VENCIDA</v>
      </c>
      <c r="P264" s="60" t="s">
        <v>1936</v>
      </c>
      <c r="Q264" s="60" t="s">
        <v>312</v>
      </c>
      <c r="R264" s="61" t="s">
        <v>317</v>
      </c>
      <c r="S264" s="61"/>
      <c r="T264" s="61"/>
      <c r="U264" s="61"/>
      <c r="V264" s="61" t="s">
        <v>1755</v>
      </c>
      <c r="W264" s="86" t="s">
        <v>1112</v>
      </c>
      <c r="X264" s="201"/>
    </row>
    <row r="265" spans="1:24" s="63" customFormat="1" ht="32.25" customHeight="1" x14ac:dyDescent="0.2">
      <c r="A265" s="202">
        <v>304</v>
      </c>
      <c r="B265" s="88" t="s">
        <v>279</v>
      </c>
      <c r="C265" s="89">
        <v>304</v>
      </c>
      <c r="D265" s="88" t="str">
        <f t="shared" si="11"/>
        <v>SUPERMIX304</v>
      </c>
      <c r="E265" s="58" t="s">
        <v>873</v>
      </c>
      <c r="F265" s="58" t="s">
        <v>874</v>
      </c>
      <c r="G265" s="88" t="s">
        <v>25</v>
      </c>
      <c r="H265" s="107" t="s">
        <v>875</v>
      </c>
      <c r="I265" s="107" t="s">
        <v>3787</v>
      </c>
      <c r="J265" s="88" t="s">
        <v>876</v>
      </c>
      <c r="K265" s="88" t="s">
        <v>281</v>
      </c>
      <c r="L265" s="91">
        <v>42489</v>
      </c>
      <c r="M265" s="91">
        <v>43584</v>
      </c>
      <c r="N265" s="88">
        <f t="shared" ca="1" si="10"/>
        <v>2603</v>
      </c>
      <c r="O265" s="84" t="str">
        <f ca="1">IF(Tabla1[[#This Row],[|]]&gt;=0,"VENCIDA",IF(Tabla1[[#This Row],[|]]&gt;=-14,"POR VENCER","OK"))</f>
        <v>VENCIDA</v>
      </c>
      <c r="P265" s="90" t="s">
        <v>640</v>
      </c>
      <c r="Q265" s="90" t="s">
        <v>312</v>
      </c>
      <c r="R265" s="88" t="s">
        <v>317</v>
      </c>
      <c r="S265" s="88"/>
      <c r="T265" s="88"/>
      <c r="U265" s="88"/>
      <c r="V265" s="88" t="s">
        <v>849</v>
      </c>
      <c r="W265" s="92" t="s">
        <v>850</v>
      </c>
      <c r="X265" s="203"/>
    </row>
    <row r="266" spans="1:24" s="63" customFormat="1" ht="32.25" customHeight="1" x14ac:dyDescent="0.2">
      <c r="A266" s="202">
        <v>305</v>
      </c>
      <c r="B266" s="88" t="s">
        <v>279</v>
      </c>
      <c r="C266" s="89">
        <v>305</v>
      </c>
      <c r="D266" s="88" t="str">
        <f t="shared" si="11"/>
        <v>SUPERMIX305</v>
      </c>
      <c r="E266" s="58" t="s">
        <v>879</v>
      </c>
      <c r="F266" s="58" t="s">
        <v>880</v>
      </c>
      <c r="G266" s="88" t="s">
        <v>25</v>
      </c>
      <c r="H266" s="107" t="s">
        <v>878</v>
      </c>
      <c r="I266" s="107" t="s">
        <v>3787</v>
      </c>
      <c r="J266" s="88" t="s">
        <v>881</v>
      </c>
      <c r="K266" s="88" t="s">
        <v>281</v>
      </c>
      <c r="L266" s="91" t="s">
        <v>882</v>
      </c>
      <c r="M266" s="91">
        <v>42784</v>
      </c>
      <c r="N266" s="88">
        <f t="shared" ca="1" si="10"/>
        <v>3403</v>
      </c>
      <c r="O266" s="84" t="str">
        <f ca="1">IF(Tabla1[[#This Row],[|]]&gt;=0,"VENCIDA",IF(Tabla1[[#This Row],[|]]&gt;=-14,"POR VENCER","OK"))</f>
        <v>VENCIDA</v>
      </c>
      <c r="P266" s="90" t="s">
        <v>3079</v>
      </c>
      <c r="Q266" s="90" t="s">
        <v>312</v>
      </c>
      <c r="R266" s="88" t="s">
        <v>317</v>
      </c>
      <c r="S266" s="88"/>
      <c r="T266" s="88"/>
      <c r="U266" s="88"/>
      <c r="V266" s="88" t="s">
        <v>680</v>
      </c>
      <c r="W266" s="92" t="s">
        <v>471</v>
      </c>
      <c r="X266" s="92"/>
    </row>
    <row r="267" spans="1:24" s="63" customFormat="1" ht="32.25" customHeight="1" x14ac:dyDescent="0.2">
      <c r="A267" s="202">
        <v>306</v>
      </c>
      <c r="B267" s="88" t="s">
        <v>279</v>
      </c>
      <c r="C267" s="89">
        <v>306</v>
      </c>
      <c r="D267" s="88" t="str">
        <f t="shared" si="11"/>
        <v>SUPERMIX306</v>
      </c>
      <c r="E267" s="58" t="s">
        <v>883</v>
      </c>
      <c r="F267" s="58" t="s">
        <v>884</v>
      </c>
      <c r="G267" s="88" t="s">
        <v>25</v>
      </c>
      <c r="H267" s="131" t="s">
        <v>885</v>
      </c>
      <c r="I267" s="131" t="s">
        <v>3787</v>
      </c>
      <c r="J267" s="88" t="s">
        <v>886</v>
      </c>
      <c r="K267" s="88" t="s">
        <v>281</v>
      </c>
      <c r="L267" s="91">
        <v>30511</v>
      </c>
      <c r="M267" s="91">
        <v>42667</v>
      </c>
      <c r="N267" s="88">
        <f t="shared" ca="1" si="10"/>
        <v>3520</v>
      </c>
      <c r="O267" s="84" t="str">
        <f ca="1">IF(Tabla1[[#This Row],[|]]&gt;=0,"VENCIDA",IF(Tabla1[[#This Row],[|]]&gt;=-14,"POR VENCER","OK"))</f>
        <v>VENCIDA</v>
      </c>
      <c r="P267" s="90" t="s">
        <v>597</v>
      </c>
      <c r="Q267" s="90" t="s">
        <v>312</v>
      </c>
      <c r="R267" s="88" t="s">
        <v>317</v>
      </c>
      <c r="S267" s="88"/>
      <c r="T267" s="88"/>
      <c r="U267" s="88"/>
      <c r="V267" s="88" t="s">
        <v>680</v>
      </c>
      <c r="W267" s="92" t="s">
        <v>471</v>
      </c>
      <c r="X267" s="92"/>
    </row>
    <row r="268" spans="1:24" s="63" customFormat="1" ht="32.25" customHeight="1" x14ac:dyDescent="0.2">
      <c r="A268" s="202">
        <v>307</v>
      </c>
      <c r="B268" s="88" t="s">
        <v>279</v>
      </c>
      <c r="C268" s="89">
        <v>307</v>
      </c>
      <c r="D268" s="88" t="str">
        <f t="shared" si="11"/>
        <v>SUPERMIX307</v>
      </c>
      <c r="E268" s="58" t="s">
        <v>887</v>
      </c>
      <c r="F268" s="58" t="s">
        <v>609</v>
      </c>
      <c r="G268" s="88" t="s">
        <v>25</v>
      </c>
      <c r="H268" s="107" t="s">
        <v>888</v>
      </c>
      <c r="I268" s="107" t="s">
        <v>3787</v>
      </c>
      <c r="J268" s="107" t="s">
        <v>889</v>
      </c>
      <c r="K268" s="88" t="s">
        <v>343</v>
      </c>
      <c r="L268" s="91">
        <v>41744</v>
      </c>
      <c r="M268" s="91">
        <v>42840</v>
      </c>
      <c r="N268" s="88">
        <f t="shared" ca="1" si="10"/>
        <v>3347</v>
      </c>
      <c r="O268" s="84" t="str">
        <f ca="1">IF(Tabla1[[#This Row],[|]]&gt;=0,"VENCIDA",IF(Tabla1[[#This Row],[|]]&gt;=-14,"POR VENCER","OK"))</f>
        <v>VENCIDA</v>
      </c>
      <c r="P268" s="90" t="s">
        <v>1059</v>
      </c>
      <c r="Q268" s="90" t="s">
        <v>312</v>
      </c>
      <c r="R268" s="90" t="s">
        <v>17</v>
      </c>
      <c r="S268" s="88"/>
      <c r="T268" s="88"/>
      <c r="U268" s="88"/>
      <c r="V268" s="88" t="s">
        <v>680</v>
      </c>
      <c r="W268" s="92" t="s">
        <v>471</v>
      </c>
      <c r="X268" s="92"/>
    </row>
    <row r="269" spans="1:24" s="63" customFormat="1" ht="32.25" customHeight="1" x14ac:dyDescent="0.2">
      <c r="A269" s="202">
        <v>308</v>
      </c>
      <c r="B269" s="88" t="s">
        <v>279</v>
      </c>
      <c r="C269" s="89">
        <v>308</v>
      </c>
      <c r="D269" s="88" t="str">
        <f t="shared" si="11"/>
        <v>SUPERMIX308</v>
      </c>
      <c r="E269" s="58" t="s">
        <v>890</v>
      </c>
      <c r="F269" s="58" t="s">
        <v>891</v>
      </c>
      <c r="G269" s="88" t="s">
        <v>25</v>
      </c>
      <c r="H269" s="131" t="s">
        <v>892</v>
      </c>
      <c r="I269" s="131" t="s">
        <v>3787</v>
      </c>
      <c r="J269" s="131" t="s">
        <v>893</v>
      </c>
      <c r="K269" s="88" t="s">
        <v>1954</v>
      </c>
      <c r="L269" s="91">
        <v>37210</v>
      </c>
      <c r="M269" s="91">
        <v>44858</v>
      </c>
      <c r="N269" s="88">
        <f t="shared" ca="1" si="10"/>
        <v>1329</v>
      </c>
      <c r="O269" s="84" t="str">
        <f ca="1">IF(Tabla1[[#This Row],[|]]&gt;=0,"VENCIDA",IF(Tabla1[[#This Row],[|]]&gt;=-14,"POR VENCER","OK"))</f>
        <v>VENCIDA</v>
      </c>
      <c r="P269" s="90" t="s">
        <v>3319</v>
      </c>
      <c r="Q269" s="90" t="s">
        <v>312</v>
      </c>
      <c r="R269" s="88" t="s">
        <v>17</v>
      </c>
      <c r="S269" s="88"/>
      <c r="T269" s="88"/>
      <c r="U269" s="88"/>
      <c r="V269" s="88" t="s">
        <v>680</v>
      </c>
      <c r="W269" s="92" t="s">
        <v>2776</v>
      </c>
      <c r="X269" s="92" t="s">
        <v>597</v>
      </c>
    </row>
    <row r="270" spans="1:24" s="63" customFormat="1" ht="32.25" customHeight="1" x14ac:dyDescent="0.2">
      <c r="A270" s="202">
        <v>309</v>
      </c>
      <c r="B270" s="88" t="s">
        <v>279</v>
      </c>
      <c r="C270" s="89">
        <v>309</v>
      </c>
      <c r="D270" s="88" t="str">
        <f t="shared" si="11"/>
        <v>SUPERMIX309</v>
      </c>
      <c r="E270" s="58" t="s">
        <v>894</v>
      </c>
      <c r="F270" s="58" t="s">
        <v>895</v>
      </c>
      <c r="G270" s="88" t="s">
        <v>25</v>
      </c>
      <c r="H270" s="107" t="s">
        <v>896</v>
      </c>
      <c r="I270" s="107" t="s">
        <v>3787</v>
      </c>
      <c r="J270" s="107" t="s">
        <v>897</v>
      </c>
      <c r="K270" s="88" t="s">
        <v>281</v>
      </c>
      <c r="L270" s="91">
        <v>39246</v>
      </c>
      <c r="M270" s="91">
        <v>42672</v>
      </c>
      <c r="N270" s="88">
        <f t="shared" ca="1" si="10"/>
        <v>3515</v>
      </c>
      <c r="O270" s="84" t="str">
        <f ca="1">IF(Tabla1[[#This Row],[|]]&gt;=0,"VENCIDA",IF(Tabla1[[#This Row],[|]]&gt;=-14,"POR VENCER","OK"))</f>
        <v>VENCIDA</v>
      </c>
      <c r="P270" s="90" t="s">
        <v>597</v>
      </c>
      <c r="Q270" s="90" t="s">
        <v>312</v>
      </c>
      <c r="R270" s="88" t="s">
        <v>317</v>
      </c>
      <c r="S270" s="88"/>
      <c r="T270" s="88"/>
      <c r="U270" s="88"/>
      <c r="V270" s="88" t="s">
        <v>680</v>
      </c>
      <c r="W270" s="92" t="s">
        <v>471</v>
      </c>
      <c r="X270" s="92"/>
    </row>
    <row r="271" spans="1:24" s="63" customFormat="1" ht="32.25" customHeight="1" x14ac:dyDescent="0.2">
      <c r="A271" s="202">
        <v>310</v>
      </c>
      <c r="B271" s="88" t="s">
        <v>279</v>
      </c>
      <c r="C271" s="89">
        <v>310</v>
      </c>
      <c r="D271" s="88" t="str">
        <f t="shared" si="11"/>
        <v>SUPERMIX310</v>
      </c>
      <c r="E271" s="58" t="s">
        <v>898</v>
      </c>
      <c r="F271" s="58" t="s">
        <v>899</v>
      </c>
      <c r="G271" s="88" t="s">
        <v>310</v>
      </c>
      <c r="H271" s="107" t="s">
        <v>900</v>
      </c>
      <c r="I271" s="107" t="s">
        <v>3787</v>
      </c>
      <c r="J271" s="107" t="s">
        <v>901</v>
      </c>
      <c r="K271" s="88" t="s">
        <v>281</v>
      </c>
      <c r="L271" s="91">
        <v>41442</v>
      </c>
      <c r="M271" s="91">
        <v>42538</v>
      </c>
      <c r="N271" s="88">
        <f t="shared" ca="1" si="10"/>
        <v>3649</v>
      </c>
      <c r="O271" s="84" t="str">
        <f ca="1">IF(Tabla1[[#This Row],[|]]&gt;=0,"VENCIDA",IF(Tabla1[[#This Row],[|]]&gt;=-14,"POR VENCER","OK"))</f>
        <v>VENCIDA</v>
      </c>
      <c r="P271" s="90" t="s">
        <v>1359</v>
      </c>
      <c r="Q271" s="90" t="s">
        <v>312</v>
      </c>
      <c r="R271" s="88" t="s">
        <v>17</v>
      </c>
      <c r="S271" s="88"/>
      <c r="T271" s="88"/>
      <c r="U271" s="88"/>
      <c r="V271" s="88" t="s">
        <v>668</v>
      </c>
      <c r="W271" s="92" t="s">
        <v>902</v>
      </c>
      <c r="X271" s="92"/>
    </row>
    <row r="272" spans="1:24" s="63" customFormat="1" ht="32.25" customHeight="1" x14ac:dyDescent="0.2">
      <c r="A272" s="202">
        <v>311</v>
      </c>
      <c r="B272" s="88" t="s">
        <v>279</v>
      </c>
      <c r="C272" s="89">
        <v>311</v>
      </c>
      <c r="D272" s="88" t="str">
        <f t="shared" si="11"/>
        <v>SUPERMIX311</v>
      </c>
      <c r="E272" s="58" t="s">
        <v>903</v>
      </c>
      <c r="F272" s="58" t="s">
        <v>904</v>
      </c>
      <c r="G272" s="88" t="s">
        <v>25</v>
      </c>
      <c r="H272" s="107" t="s">
        <v>905</v>
      </c>
      <c r="I272" s="107" t="s">
        <v>3787</v>
      </c>
      <c r="J272" s="88" t="s">
        <v>906</v>
      </c>
      <c r="K272" s="88" t="s">
        <v>293</v>
      </c>
      <c r="L272" s="91">
        <v>39878</v>
      </c>
      <c r="M272" s="91">
        <v>44506</v>
      </c>
      <c r="N272" s="88">
        <f t="shared" ca="1" si="10"/>
        <v>1681</v>
      </c>
      <c r="O272" s="84" t="str">
        <f ca="1">IF(Tabla1[[#This Row],[|]]&gt;=0,"VENCIDA",IF(Tabla1[[#This Row],[|]]&gt;=-14,"POR VENCER","OK"))</f>
        <v>VENCIDA</v>
      </c>
      <c r="P272" s="90" t="s">
        <v>2916</v>
      </c>
      <c r="Q272" s="90" t="s">
        <v>312</v>
      </c>
      <c r="R272" s="88" t="s">
        <v>17</v>
      </c>
      <c r="S272" s="88"/>
      <c r="T272" s="88"/>
      <c r="U272" s="88"/>
      <c r="V272" s="88" t="s">
        <v>668</v>
      </c>
      <c r="W272" s="92" t="s">
        <v>2776</v>
      </c>
      <c r="X272" s="92" t="s">
        <v>2796</v>
      </c>
    </row>
    <row r="273" spans="1:24" s="43" customFormat="1" ht="32.25" customHeight="1" x14ac:dyDescent="0.2">
      <c r="A273" s="42">
        <v>312</v>
      </c>
      <c r="B273" s="93" t="s">
        <v>279</v>
      </c>
      <c r="C273" s="94">
        <v>312</v>
      </c>
      <c r="D273" s="93" t="str">
        <f t="shared" si="11"/>
        <v>SUPERMIX312</v>
      </c>
      <c r="E273" s="115" t="s">
        <v>908</v>
      </c>
      <c r="F273" s="115" t="s">
        <v>909</v>
      </c>
      <c r="G273" s="93" t="s">
        <v>25</v>
      </c>
      <c r="H273" s="128" t="s">
        <v>910</v>
      </c>
      <c r="I273" s="128" t="s">
        <v>3788</v>
      </c>
      <c r="J273" s="128" t="s">
        <v>911</v>
      </c>
      <c r="K273" s="93" t="s">
        <v>293</v>
      </c>
      <c r="L273" s="96">
        <v>40085</v>
      </c>
      <c r="M273" s="96">
        <v>46376</v>
      </c>
      <c r="N273" s="93">
        <f t="shared" ca="1" si="10"/>
        <v>-189</v>
      </c>
      <c r="O273" s="84" t="str">
        <f ca="1">IF(Tabla1[[#This Row],[|]]&gt;=0,"VENCIDA",IF(Tabla1[[#This Row],[|]]&gt;=-14,"POR VENCER","OK"))</f>
        <v>OK</v>
      </c>
      <c r="P273" s="95" t="s">
        <v>1992</v>
      </c>
      <c r="Q273" s="95" t="s">
        <v>312</v>
      </c>
      <c r="R273" s="93" t="s">
        <v>317</v>
      </c>
      <c r="S273" s="93"/>
      <c r="T273" s="93"/>
      <c r="U273" s="93"/>
      <c r="V273" s="93" t="s">
        <v>668</v>
      </c>
      <c r="W273" s="97" t="s">
        <v>672</v>
      </c>
      <c r="X273" s="97"/>
    </row>
    <row r="274" spans="1:24" s="63" customFormat="1" ht="32.25" customHeight="1" x14ac:dyDescent="0.2">
      <c r="A274" s="202">
        <v>313</v>
      </c>
      <c r="B274" s="88" t="s">
        <v>279</v>
      </c>
      <c r="C274" s="89">
        <v>313</v>
      </c>
      <c r="D274" s="88" t="str">
        <f t="shared" si="11"/>
        <v>SUPERMIX313</v>
      </c>
      <c r="E274" s="58" t="s">
        <v>912</v>
      </c>
      <c r="F274" s="58" t="s">
        <v>913</v>
      </c>
      <c r="G274" s="88" t="s">
        <v>398</v>
      </c>
      <c r="H274" s="107" t="s">
        <v>914</v>
      </c>
      <c r="I274" s="107" t="s">
        <v>3787</v>
      </c>
      <c r="J274" s="107" t="s">
        <v>915</v>
      </c>
      <c r="K274" s="88" t="s">
        <v>293</v>
      </c>
      <c r="L274" s="91">
        <v>40724</v>
      </c>
      <c r="M274" s="91">
        <v>42918</v>
      </c>
      <c r="N274" s="88">
        <f t="shared" ref="N274:N325" ca="1" si="12">TODAY()-M274</f>
        <v>3269</v>
      </c>
      <c r="O274" s="84" t="str">
        <f ca="1">IF(Tabla1[[#This Row],[|]]&gt;=0,"VENCIDA",IF(Tabla1[[#This Row],[|]]&gt;=-14,"POR VENCER","OK"))</f>
        <v>VENCIDA</v>
      </c>
      <c r="P274" s="90" t="s">
        <v>1059</v>
      </c>
      <c r="Q274" s="90" t="s">
        <v>312</v>
      </c>
      <c r="R274" s="88" t="s">
        <v>317</v>
      </c>
      <c r="S274" s="88"/>
      <c r="T274" s="88"/>
      <c r="U274" s="88"/>
      <c r="V274" s="88" t="s">
        <v>668</v>
      </c>
      <c r="W274" s="92" t="s">
        <v>832</v>
      </c>
      <c r="X274" s="92"/>
    </row>
    <row r="275" spans="1:24" s="63" customFormat="1" ht="32.25" customHeight="1" x14ac:dyDescent="0.2">
      <c r="A275" s="202">
        <v>314</v>
      </c>
      <c r="B275" s="88" t="s">
        <v>279</v>
      </c>
      <c r="C275" s="89">
        <v>314</v>
      </c>
      <c r="D275" s="88" t="str">
        <f t="shared" si="11"/>
        <v>SUPERMIX314</v>
      </c>
      <c r="E275" s="58" t="s">
        <v>916</v>
      </c>
      <c r="F275" s="58" t="s">
        <v>564</v>
      </c>
      <c r="G275" s="88" t="s">
        <v>25</v>
      </c>
      <c r="H275" s="107" t="s">
        <v>917</v>
      </c>
      <c r="I275" s="107" t="s">
        <v>3787</v>
      </c>
      <c r="J275" s="88" t="s">
        <v>918</v>
      </c>
      <c r="K275" s="88" t="s">
        <v>3142</v>
      </c>
      <c r="L275" s="91">
        <v>41717</v>
      </c>
      <c r="M275" s="91">
        <v>44639</v>
      </c>
      <c r="N275" s="88">
        <f t="shared" ca="1" si="12"/>
        <v>1548</v>
      </c>
      <c r="O275" s="84" t="str">
        <f ca="1">IF(Tabla1[[#This Row],[|]]&gt;=0,"VENCIDA",IF(Tabla1[[#This Row],[|]]&gt;=-14,"POR VENCER","OK"))</f>
        <v>VENCIDA</v>
      </c>
      <c r="P275" s="90" t="s">
        <v>1059</v>
      </c>
      <c r="Q275" s="90" t="s">
        <v>312</v>
      </c>
      <c r="R275" s="88" t="s">
        <v>317</v>
      </c>
      <c r="S275" s="88"/>
      <c r="T275" s="88"/>
      <c r="U275" s="88"/>
      <c r="V275" s="88" t="s">
        <v>668</v>
      </c>
      <c r="W275" s="92" t="s">
        <v>919</v>
      </c>
      <c r="X275" s="92"/>
    </row>
    <row r="276" spans="1:24" s="63" customFormat="1" ht="32.25" customHeight="1" x14ac:dyDescent="0.2">
      <c r="A276" s="202">
        <v>315</v>
      </c>
      <c r="B276" s="88" t="s">
        <v>279</v>
      </c>
      <c r="C276" s="89">
        <v>315</v>
      </c>
      <c r="D276" s="88" t="str">
        <f t="shared" si="11"/>
        <v>SUPERMIX315</v>
      </c>
      <c r="E276" s="58" t="s">
        <v>920</v>
      </c>
      <c r="F276" s="58" t="s">
        <v>921</v>
      </c>
      <c r="G276" s="88" t="s">
        <v>25</v>
      </c>
      <c r="H276" s="131" t="s">
        <v>922</v>
      </c>
      <c r="I276" s="131" t="s">
        <v>3787</v>
      </c>
      <c r="J276" s="131" t="s">
        <v>923</v>
      </c>
      <c r="K276" s="88" t="s">
        <v>3142</v>
      </c>
      <c r="L276" s="91">
        <v>41855</v>
      </c>
      <c r="M276" s="91">
        <v>44778</v>
      </c>
      <c r="N276" s="88">
        <f t="shared" ca="1" si="12"/>
        <v>1409</v>
      </c>
      <c r="O276" s="84" t="str">
        <f ca="1">IF(Tabla1[[#This Row],[|]]&gt;=0,"VENCIDA",IF(Tabla1[[#This Row],[|]]&gt;=-14,"POR VENCER","OK"))</f>
        <v>VENCIDA</v>
      </c>
      <c r="P276" s="90" t="s">
        <v>1059</v>
      </c>
      <c r="Q276" s="90" t="s">
        <v>312</v>
      </c>
      <c r="R276" s="88" t="s">
        <v>317</v>
      </c>
      <c r="S276" s="88"/>
      <c r="T276" s="88"/>
      <c r="U276" s="88"/>
      <c r="V276" s="88" t="s">
        <v>924</v>
      </c>
      <c r="W276" s="92" t="s">
        <v>938</v>
      </c>
      <c r="X276" s="92"/>
    </row>
    <row r="277" spans="1:24" s="43" customFormat="1" ht="32.25" customHeight="1" x14ac:dyDescent="0.2">
      <c r="A277" s="42">
        <v>316</v>
      </c>
      <c r="B277" s="93" t="s">
        <v>279</v>
      </c>
      <c r="C277" s="94">
        <v>316</v>
      </c>
      <c r="D277" s="93" t="str">
        <f t="shared" si="11"/>
        <v>SUPERMIX316</v>
      </c>
      <c r="E277" s="115" t="s">
        <v>2027</v>
      </c>
      <c r="F277" s="115" t="s">
        <v>629</v>
      </c>
      <c r="G277" s="93" t="s">
        <v>25</v>
      </c>
      <c r="H277" s="128" t="s">
        <v>925</v>
      </c>
      <c r="I277" s="128" t="s">
        <v>3788</v>
      </c>
      <c r="J277" s="128" t="s">
        <v>926</v>
      </c>
      <c r="K277" s="93" t="s">
        <v>281</v>
      </c>
      <c r="L277" s="96">
        <v>41708</v>
      </c>
      <c r="M277" s="96">
        <v>46216</v>
      </c>
      <c r="N277" s="93">
        <f t="shared" ca="1" si="12"/>
        <v>-29</v>
      </c>
      <c r="O277" s="84" t="str">
        <f ca="1">IF(Tabla1[[#This Row],[|]]&gt;=0,"VENCIDA",IF(Tabla1[[#This Row],[|]]&gt;=-14,"POR VENCER","OK"))</f>
        <v>OK</v>
      </c>
      <c r="P277" s="95" t="s">
        <v>3495</v>
      </c>
      <c r="Q277" s="95" t="s">
        <v>312</v>
      </c>
      <c r="R277" s="93" t="s">
        <v>317</v>
      </c>
      <c r="S277" s="93"/>
      <c r="T277" s="93"/>
      <c r="U277" s="93"/>
      <c r="V277" s="93" t="s">
        <v>372</v>
      </c>
      <c r="W277" s="97" t="s">
        <v>2776</v>
      </c>
      <c r="X277" s="97" t="s">
        <v>1511</v>
      </c>
    </row>
    <row r="278" spans="1:24" s="63" customFormat="1" ht="32.25" customHeight="1" x14ac:dyDescent="0.2">
      <c r="A278" s="202">
        <v>317</v>
      </c>
      <c r="B278" s="88" t="s">
        <v>279</v>
      </c>
      <c r="C278" s="89">
        <v>317</v>
      </c>
      <c r="D278" s="88" t="str">
        <f t="shared" si="11"/>
        <v>SUPERMIX317</v>
      </c>
      <c r="E278" s="58" t="s">
        <v>929</v>
      </c>
      <c r="F278" s="58" t="s">
        <v>31</v>
      </c>
      <c r="G278" s="88" t="s">
        <v>25</v>
      </c>
      <c r="H278" s="107" t="s">
        <v>930</v>
      </c>
      <c r="I278" s="107" t="s">
        <v>3787</v>
      </c>
      <c r="J278" s="107" t="s">
        <v>931</v>
      </c>
      <c r="K278" s="88" t="s">
        <v>281</v>
      </c>
      <c r="L278" s="91">
        <v>41482</v>
      </c>
      <c r="M278" s="91">
        <v>42578</v>
      </c>
      <c r="N278" s="88">
        <f t="shared" ca="1" si="12"/>
        <v>3609</v>
      </c>
      <c r="O278" s="84" t="str">
        <f ca="1">IF(Tabla1[[#This Row],[|]]&gt;=0,"VENCIDA",IF(Tabla1[[#This Row],[|]]&gt;=-14,"POR VENCER","OK"))</f>
        <v>VENCIDA</v>
      </c>
      <c r="P278" s="90" t="s">
        <v>1814</v>
      </c>
      <c r="Q278" s="90" t="s">
        <v>312</v>
      </c>
      <c r="R278" s="88" t="s">
        <v>317</v>
      </c>
      <c r="S278" s="88"/>
      <c r="T278" s="88"/>
      <c r="U278" s="88"/>
      <c r="V278" s="88" t="s">
        <v>928</v>
      </c>
      <c r="W278" s="92" t="s">
        <v>850</v>
      </c>
      <c r="X278" s="92"/>
    </row>
    <row r="279" spans="1:24" s="43" customFormat="1" ht="32.25" customHeight="1" x14ac:dyDescent="0.2">
      <c r="A279" s="42">
        <v>318</v>
      </c>
      <c r="B279" s="93" t="s">
        <v>279</v>
      </c>
      <c r="C279" s="94">
        <v>318</v>
      </c>
      <c r="D279" s="93" t="str">
        <f t="shared" si="11"/>
        <v>SUPERMIX318</v>
      </c>
      <c r="E279" s="115" t="s">
        <v>256</v>
      </c>
      <c r="F279" s="115" t="s">
        <v>257</v>
      </c>
      <c r="G279" s="93" t="s">
        <v>25</v>
      </c>
      <c r="H279" s="132" t="s">
        <v>374</v>
      </c>
      <c r="I279" s="132" t="s">
        <v>3788</v>
      </c>
      <c r="J279" s="132" t="s">
        <v>932</v>
      </c>
      <c r="K279" s="93" t="s">
        <v>1954</v>
      </c>
      <c r="L279" s="96">
        <v>36850</v>
      </c>
      <c r="M279" s="96">
        <v>45630</v>
      </c>
      <c r="N279" s="93">
        <f t="shared" ca="1" si="12"/>
        <v>557</v>
      </c>
      <c r="O279" s="84" t="str">
        <f ca="1">IF(Tabla1[[#This Row],[|]]&gt;=0,"VENCIDA",IF(Tabla1[[#This Row],[|]]&gt;=-14,"POR VENCER","OK"))</f>
        <v>VENCIDA</v>
      </c>
      <c r="P279" s="95" t="s">
        <v>3043</v>
      </c>
      <c r="Q279" s="95" t="s">
        <v>312</v>
      </c>
      <c r="R279" s="93" t="s">
        <v>17</v>
      </c>
      <c r="S279" s="93"/>
      <c r="T279" s="93"/>
      <c r="U279" s="93"/>
      <c r="V279" s="93" t="s">
        <v>928</v>
      </c>
      <c r="W279" s="97" t="s">
        <v>2776</v>
      </c>
      <c r="X279" s="204" t="s">
        <v>2865</v>
      </c>
    </row>
    <row r="280" spans="1:24" s="63" customFormat="1" ht="32.25" customHeight="1" x14ac:dyDescent="0.2">
      <c r="A280" s="202">
        <v>319</v>
      </c>
      <c r="B280" s="88" t="s">
        <v>279</v>
      </c>
      <c r="C280" s="89">
        <v>319</v>
      </c>
      <c r="D280" s="88" t="str">
        <f t="shared" si="11"/>
        <v>SUPERMIX319</v>
      </c>
      <c r="E280" s="58" t="s">
        <v>933</v>
      </c>
      <c r="F280" s="58" t="s">
        <v>26</v>
      </c>
      <c r="G280" s="88" t="s">
        <v>25</v>
      </c>
      <c r="H280" s="99" t="s">
        <v>538</v>
      </c>
      <c r="I280" s="99" t="s">
        <v>3787</v>
      </c>
      <c r="J280" s="99" t="s">
        <v>934</v>
      </c>
      <c r="K280" s="88" t="s">
        <v>281</v>
      </c>
      <c r="L280" s="91">
        <v>37812</v>
      </c>
      <c r="M280" s="91">
        <v>43185</v>
      </c>
      <c r="N280" s="88">
        <f t="shared" ca="1" si="12"/>
        <v>3002</v>
      </c>
      <c r="O280" s="84" t="str">
        <f ca="1">IF(Tabla1[[#This Row],[|]]&gt;=0,"VENCIDA",IF(Tabla1[[#This Row],[|]]&gt;=-14,"POR VENCER","OK"))</f>
        <v>VENCIDA</v>
      </c>
      <c r="P280" s="90" t="s">
        <v>1369</v>
      </c>
      <c r="Q280" s="90" t="s">
        <v>312</v>
      </c>
      <c r="R280" s="88" t="s">
        <v>317</v>
      </c>
      <c r="S280" s="88"/>
      <c r="T280" s="88"/>
      <c r="U280" s="88"/>
      <c r="V280" s="88" t="s">
        <v>928</v>
      </c>
      <c r="W280" s="92" t="s">
        <v>1601</v>
      </c>
      <c r="X280" s="203"/>
    </row>
    <row r="281" spans="1:24" s="44" customFormat="1" ht="32.25" customHeight="1" x14ac:dyDescent="0.2">
      <c r="A281" s="42">
        <v>320</v>
      </c>
      <c r="B281" s="93" t="s">
        <v>279</v>
      </c>
      <c r="C281" s="94">
        <v>320</v>
      </c>
      <c r="D281" s="93" t="str">
        <f t="shared" si="11"/>
        <v>SUPERMIX320</v>
      </c>
      <c r="E281" s="115" t="s">
        <v>935</v>
      </c>
      <c r="F281" s="115" t="s">
        <v>936</v>
      </c>
      <c r="G281" s="93" t="s">
        <v>25</v>
      </c>
      <c r="H281" s="98">
        <v>30418004</v>
      </c>
      <c r="I281" s="98" t="s">
        <v>3788</v>
      </c>
      <c r="J281" s="98" t="s">
        <v>937</v>
      </c>
      <c r="K281" s="93" t="s">
        <v>281</v>
      </c>
      <c r="L281" s="96">
        <v>38985</v>
      </c>
      <c r="M281" s="117">
        <v>46621</v>
      </c>
      <c r="N281" s="93">
        <f t="shared" ca="1" si="12"/>
        <v>-434</v>
      </c>
      <c r="O281" s="84" t="str">
        <f ca="1">IF(Tabla1[[#This Row],[|]]&gt;=0,"VENCIDA",IF(Tabla1[[#This Row],[|]]&gt;=-14,"POR VENCER","OK"))</f>
        <v>OK</v>
      </c>
      <c r="P281" s="95" t="s">
        <v>2827</v>
      </c>
      <c r="Q281" s="95" t="s">
        <v>312</v>
      </c>
      <c r="R281" s="93" t="s">
        <v>317</v>
      </c>
      <c r="S281" s="93"/>
      <c r="T281" s="93"/>
      <c r="U281" s="93"/>
      <c r="V281" s="93" t="s">
        <v>668</v>
      </c>
      <c r="W281" s="97" t="s">
        <v>2776</v>
      </c>
      <c r="X281" s="204" t="s">
        <v>2990</v>
      </c>
    </row>
    <row r="282" spans="1:24" s="63" customFormat="1" ht="32.25" customHeight="1" x14ac:dyDescent="0.2">
      <c r="A282" s="202">
        <v>321</v>
      </c>
      <c r="B282" s="88" t="s">
        <v>279</v>
      </c>
      <c r="C282" s="89">
        <v>321</v>
      </c>
      <c r="D282" s="88" t="str">
        <f t="shared" si="11"/>
        <v>SUPERMIX321</v>
      </c>
      <c r="E282" s="58" t="s">
        <v>939</v>
      </c>
      <c r="F282" s="58" t="s">
        <v>753</v>
      </c>
      <c r="G282" s="88" t="s">
        <v>25</v>
      </c>
      <c r="H282" s="90">
        <v>18197171</v>
      </c>
      <c r="I282" s="90" t="s">
        <v>3787</v>
      </c>
      <c r="J282" s="88" t="s">
        <v>940</v>
      </c>
      <c r="K282" s="88" t="s">
        <v>3142</v>
      </c>
      <c r="L282" s="91">
        <v>41918</v>
      </c>
      <c r="M282" s="91">
        <v>44591</v>
      </c>
      <c r="N282" s="88">
        <f t="shared" ca="1" si="12"/>
        <v>1596</v>
      </c>
      <c r="O282" s="84" t="str">
        <f ca="1">IF(Tabla1[[#This Row],[|]]&gt;=0,"VENCIDA",IF(Tabla1[[#This Row],[|]]&gt;=-14,"POR VENCER","OK"))</f>
        <v>VENCIDA</v>
      </c>
      <c r="P282" s="90" t="s">
        <v>1059</v>
      </c>
      <c r="Q282" s="90" t="s">
        <v>312</v>
      </c>
      <c r="R282" s="88" t="s">
        <v>317</v>
      </c>
      <c r="S282" s="88"/>
      <c r="T282" s="88"/>
      <c r="U282" s="88"/>
      <c r="V282" s="88" t="s">
        <v>334</v>
      </c>
      <c r="W282" s="92" t="s">
        <v>971</v>
      </c>
      <c r="X282" s="203"/>
    </row>
    <row r="283" spans="1:24" s="45" customFormat="1" ht="32.25" customHeight="1" x14ac:dyDescent="0.2">
      <c r="A283" s="212">
        <v>322</v>
      </c>
      <c r="B283" s="121" t="s">
        <v>279</v>
      </c>
      <c r="C283" s="139">
        <v>322</v>
      </c>
      <c r="D283" s="121" t="str">
        <f t="shared" si="11"/>
        <v>SUPERMIX322</v>
      </c>
      <c r="E283" s="140" t="s">
        <v>941</v>
      </c>
      <c r="F283" s="140" t="s">
        <v>942</v>
      </c>
      <c r="G283" s="121" t="s">
        <v>25</v>
      </c>
      <c r="H283" s="120">
        <v>46260906</v>
      </c>
      <c r="I283" s="120" t="s">
        <v>3787</v>
      </c>
      <c r="J283" s="120" t="s">
        <v>943</v>
      </c>
      <c r="K283" s="121" t="s">
        <v>293</v>
      </c>
      <c r="L283" s="141">
        <v>41844</v>
      </c>
      <c r="M283" s="141">
        <v>46092</v>
      </c>
      <c r="N283" s="121">
        <f t="shared" ca="1" si="12"/>
        <v>95</v>
      </c>
      <c r="O283" s="142" t="str">
        <f ca="1">IF(Tabla1[[#This Row],[|]]&gt;=0,"VENCIDA",IF(Tabla1[[#This Row],[|]]&gt;=-14,"POR VENCER","OK"))</f>
        <v>VENCIDA</v>
      </c>
      <c r="P283" s="120" t="s">
        <v>3009</v>
      </c>
      <c r="Q283" s="120" t="s">
        <v>312</v>
      </c>
      <c r="R283" s="121" t="s">
        <v>317</v>
      </c>
      <c r="S283" s="88"/>
      <c r="T283" s="88"/>
      <c r="U283" s="88"/>
      <c r="V283" s="121" t="s">
        <v>306</v>
      </c>
      <c r="W283" s="122" t="s">
        <v>850</v>
      </c>
      <c r="X283" s="206" t="s">
        <v>3152</v>
      </c>
    </row>
    <row r="284" spans="1:24" s="63" customFormat="1" ht="32.25" customHeight="1" x14ac:dyDescent="0.2">
      <c r="A284" s="202">
        <v>323</v>
      </c>
      <c r="B284" s="88" t="s">
        <v>279</v>
      </c>
      <c r="C284" s="89">
        <v>323</v>
      </c>
      <c r="D284" s="88" t="str">
        <f t="shared" si="11"/>
        <v>SUPERMIX323</v>
      </c>
      <c r="E284" s="58" t="s">
        <v>944</v>
      </c>
      <c r="F284" s="58" t="s">
        <v>945</v>
      </c>
      <c r="G284" s="88" t="s">
        <v>25</v>
      </c>
      <c r="H284" s="90">
        <v>40205512</v>
      </c>
      <c r="I284" s="90" t="s">
        <v>3787</v>
      </c>
      <c r="J284" s="90" t="s">
        <v>946</v>
      </c>
      <c r="K284" s="88" t="s">
        <v>281</v>
      </c>
      <c r="L284" s="91">
        <v>42710</v>
      </c>
      <c r="M284" s="91">
        <v>44589</v>
      </c>
      <c r="N284" s="88">
        <f t="shared" ca="1" si="12"/>
        <v>1598</v>
      </c>
      <c r="O284" s="84" t="str">
        <f ca="1">IF(Tabla1[[#This Row],[|]]&gt;=0,"VENCIDA",IF(Tabla1[[#This Row],[|]]&gt;=-14,"POR VENCER","OK"))</f>
        <v>VENCIDA</v>
      </c>
      <c r="P284" s="90" t="s">
        <v>2847</v>
      </c>
      <c r="Q284" s="90" t="s">
        <v>312</v>
      </c>
      <c r="R284" s="88" t="s">
        <v>317</v>
      </c>
      <c r="S284" s="88"/>
      <c r="T284" s="88"/>
      <c r="U284" s="88"/>
      <c r="V284" s="88" t="s">
        <v>1755</v>
      </c>
      <c r="W284" s="92" t="s">
        <v>2776</v>
      </c>
      <c r="X284" s="203" t="s">
        <v>597</v>
      </c>
    </row>
    <row r="285" spans="1:24" s="63" customFormat="1" ht="32.25" customHeight="1" x14ac:dyDescent="0.2">
      <c r="A285" s="202">
        <v>324</v>
      </c>
      <c r="B285" s="88" t="s">
        <v>279</v>
      </c>
      <c r="C285" s="89">
        <v>324</v>
      </c>
      <c r="D285" s="88" t="str">
        <f t="shared" si="11"/>
        <v>SUPERMIX324</v>
      </c>
      <c r="E285" s="58" t="s">
        <v>948</v>
      </c>
      <c r="F285" s="58" t="s">
        <v>949</v>
      </c>
      <c r="G285" s="88" t="s">
        <v>25</v>
      </c>
      <c r="H285" s="90">
        <v>80198572</v>
      </c>
      <c r="I285" s="90" t="s">
        <v>3787</v>
      </c>
      <c r="J285" s="90" t="s">
        <v>950</v>
      </c>
      <c r="K285" s="88" t="s">
        <v>281</v>
      </c>
      <c r="L285" s="91">
        <v>38862</v>
      </c>
      <c r="M285" s="91">
        <v>42444</v>
      </c>
      <c r="N285" s="88">
        <f t="shared" ca="1" si="12"/>
        <v>3743</v>
      </c>
      <c r="O285" s="84" t="str">
        <f ca="1">IF(Tabla1[[#This Row],[|]]&gt;=0,"VENCIDA",IF(Tabla1[[#This Row],[|]]&gt;=-14,"POR VENCER","OK"))</f>
        <v>VENCIDA</v>
      </c>
      <c r="P285" s="90" t="s">
        <v>597</v>
      </c>
      <c r="Q285" s="90" t="s">
        <v>312</v>
      </c>
      <c r="R285" s="88" t="s">
        <v>317</v>
      </c>
      <c r="S285" s="88"/>
      <c r="T285" s="88"/>
      <c r="U285" s="88"/>
      <c r="V285" s="88" t="s">
        <v>849</v>
      </c>
      <c r="W285" s="92" t="s">
        <v>947</v>
      </c>
      <c r="X285" s="203"/>
    </row>
    <row r="286" spans="1:24" s="63" customFormat="1" ht="32.25" customHeight="1" x14ac:dyDescent="0.2">
      <c r="A286" s="202">
        <v>325</v>
      </c>
      <c r="B286" s="88" t="s">
        <v>279</v>
      </c>
      <c r="C286" s="89">
        <v>325</v>
      </c>
      <c r="D286" s="88" t="str">
        <f t="shared" si="11"/>
        <v>SUPERMIX325</v>
      </c>
      <c r="E286" s="58" t="s">
        <v>951</v>
      </c>
      <c r="F286" s="58" t="s">
        <v>952</v>
      </c>
      <c r="G286" s="88" t="s">
        <v>25</v>
      </c>
      <c r="H286" s="90">
        <v>46653005</v>
      </c>
      <c r="I286" s="90" t="s">
        <v>3787</v>
      </c>
      <c r="J286" s="90" t="s">
        <v>953</v>
      </c>
      <c r="K286" s="88" t="s">
        <v>293</v>
      </c>
      <c r="L286" s="91">
        <v>41835</v>
      </c>
      <c r="M286" s="91">
        <v>42931</v>
      </c>
      <c r="N286" s="88">
        <f t="shared" ca="1" si="12"/>
        <v>3256</v>
      </c>
      <c r="O286" s="84" t="str">
        <f ca="1">IF(Tabla1[[#This Row],[|]]&gt;=0,"VENCIDA",IF(Tabla1[[#This Row],[|]]&gt;=-14,"POR VENCER","OK"))</f>
        <v>VENCIDA</v>
      </c>
      <c r="P286" s="90" t="s">
        <v>927</v>
      </c>
      <c r="Q286" s="90" t="s">
        <v>312</v>
      </c>
      <c r="R286" s="88" t="s">
        <v>317</v>
      </c>
      <c r="S286" s="88"/>
      <c r="T286" s="88"/>
      <c r="U286" s="88"/>
      <c r="V286" s="88" t="s">
        <v>306</v>
      </c>
      <c r="W286" s="92" t="s">
        <v>649</v>
      </c>
      <c r="X286" s="203"/>
    </row>
    <row r="287" spans="1:24" s="63" customFormat="1" ht="32.25" customHeight="1" x14ac:dyDescent="0.2">
      <c r="A287" s="202">
        <v>326</v>
      </c>
      <c r="B287" s="88" t="s">
        <v>279</v>
      </c>
      <c r="C287" s="89">
        <v>326</v>
      </c>
      <c r="D287" s="88" t="str">
        <f t="shared" si="11"/>
        <v>SUPERMIX326</v>
      </c>
      <c r="E287" s="58" t="s">
        <v>954</v>
      </c>
      <c r="F287" s="58" t="s">
        <v>955</v>
      </c>
      <c r="G287" s="88" t="s">
        <v>25</v>
      </c>
      <c r="H287" s="90">
        <v>72798153</v>
      </c>
      <c r="I287" s="90" t="s">
        <v>3787</v>
      </c>
      <c r="J287" s="90" t="s">
        <v>956</v>
      </c>
      <c r="K287" s="88" t="s">
        <v>3142</v>
      </c>
      <c r="L287" s="91">
        <v>41052</v>
      </c>
      <c r="M287" s="91">
        <v>43974</v>
      </c>
      <c r="N287" s="88">
        <f t="shared" ca="1" si="12"/>
        <v>2213</v>
      </c>
      <c r="O287" s="84" t="str">
        <f ca="1">IF(Tabla1[[#This Row],[|]]&gt;=0,"VENCIDA",IF(Tabla1[[#This Row],[|]]&gt;=-14,"POR VENCER","OK"))</f>
        <v>VENCIDA</v>
      </c>
      <c r="P287" s="90" t="s">
        <v>823</v>
      </c>
      <c r="Q287" s="90" t="s">
        <v>312</v>
      </c>
      <c r="R287" s="88" t="s">
        <v>17</v>
      </c>
      <c r="S287" s="88"/>
      <c r="T287" s="88"/>
      <c r="U287" s="88"/>
      <c r="V287" s="88" t="s">
        <v>1981</v>
      </c>
      <c r="W287" s="92" t="s">
        <v>919</v>
      </c>
      <c r="X287" s="203"/>
    </row>
    <row r="288" spans="1:24" s="43" customFormat="1" ht="32.25" customHeight="1" x14ac:dyDescent="0.2">
      <c r="A288" s="42">
        <v>327</v>
      </c>
      <c r="B288" s="93" t="s">
        <v>279</v>
      </c>
      <c r="C288" s="94">
        <v>327</v>
      </c>
      <c r="D288" s="93" t="str">
        <f t="shared" si="11"/>
        <v>SUPERMIX327</v>
      </c>
      <c r="E288" s="115" t="s">
        <v>957</v>
      </c>
      <c r="F288" s="115" t="s">
        <v>958</v>
      </c>
      <c r="G288" s="93" t="s">
        <v>25</v>
      </c>
      <c r="H288" s="98" t="s">
        <v>959</v>
      </c>
      <c r="I288" s="98" t="s">
        <v>3788</v>
      </c>
      <c r="J288" s="98" t="s">
        <v>960</v>
      </c>
      <c r="K288" s="93" t="s">
        <v>3142</v>
      </c>
      <c r="L288" s="96">
        <v>40456</v>
      </c>
      <c r="M288" s="96">
        <v>46431</v>
      </c>
      <c r="N288" s="93">
        <f t="shared" ca="1" si="12"/>
        <v>-244</v>
      </c>
      <c r="O288" s="84" t="str">
        <f ca="1">IF(Tabla1[[#This Row],[|]]&gt;=0,"VENCIDA",IF(Tabla1[[#This Row],[|]]&gt;=-14,"POR VENCER","OK"))</f>
        <v>OK</v>
      </c>
      <c r="P288" s="95" t="s">
        <v>2827</v>
      </c>
      <c r="Q288" s="95" t="s">
        <v>312</v>
      </c>
      <c r="R288" s="93" t="s">
        <v>317</v>
      </c>
      <c r="S288" s="93"/>
      <c r="T288" s="93"/>
      <c r="U288" s="93"/>
      <c r="V288" s="93" t="s">
        <v>1981</v>
      </c>
      <c r="W288" s="97" t="s">
        <v>1943</v>
      </c>
      <c r="X288" s="204" t="s">
        <v>2866</v>
      </c>
    </row>
    <row r="289" spans="1:24" s="63" customFormat="1" ht="32.25" customHeight="1" x14ac:dyDescent="0.2">
      <c r="A289" s="202">
        <v>328</v>
      </c>
      <c r="B289" s="88" t="s">
        <v>279</v>
      </c>
      <c r="C289" s="89">
        <v>328</v>
      </c>
      <c r="D289" s="88" t="str">
        <f t="shared" si="11"/>
        <v>SUPERMIX328</v>
      </c>
      <c r="E289" s="58" t="s">
        <v>961</v>
      </c>
      <c r="F289" s="58" t="s">
        <v>962</v>
      </c>
      <c r="G289" s="88" t="s">
        <v>25</v>
      </c>
      <c r="H289" s="90">
        <v>70501179</v>
      </c>
      <c r="I289" s="90" t="s">
        <v>3787</v>
      </c>
      <c r="J289" s="90" t="s">
        <v>963</v>
      </c>
      <c r="K289" s="88" t="s">
        <v>293</v>
      </c>
      <c r="L289" s="91">
        <v>41940</v>
      </c>
      <c r="M289" s="91">
        <v>44192</v>
      </c>
      <c r="N289" s="88">
        <f t="shared" ca="1" si="12"/>
        <v>1995</v>
      </c>
      <c r="O289" s="84" t="str">
        <f ca="1">IF(Tabla1[[#This Row],[|]]&gt;=0,"VENCIDA",IF(Tabla1[[#This Row],[|]]&gt;=-14,"POR VENCER","OK"))</f>
        <v>VENCIDA</v>
      </c>
      <c r="P289" s="90" t="s">
        <v>2618</v>
      </c>
      <c r="Q289" s="90" t="s">
        <v>312</v>
      </c>
      <c r="R289" s="88" t="s">
        <v>317</v>
      </c>
      <c r="S289" s="88"/>
      <c r="T289" s="88"/>
      <c r="U289" s="88"/>
      <c r="V289" s="88" t="s">
        <v>306</v>
      </c>
      <c r="W289" s="92" t="s">
        <v>649</v>
      </c>
      <c r="X289" s="203"/>
    </row>
    <row r="290" spans="1:24" s="63" customFormat="1" ht="32.25" customHeight="1" x14ac:dyDescent="0.2">
      <c r="A290" s="202">
        <v>329</v>
      </c>
      <c r="B290" s="88" t="s">
        <v>279</v>
      </c>
      <c r="C290" s="89">
        <v>329</v>
      </c>
      <c r="D290" s="88" t="str">
        <f t="shared" si="11"/>
        <v>SUPERMIX329</v>
      </c>
      <c r="E290" s="58" t="s">
        <v>964</v>
      </c>
      <c r="F290" s="58" t="s">
        <v>965</v>
      </c>
      <c r="G290" s="88" t="s">
        <v>25</v>
      </c>
      <c r="H290" s="90">
        <v>45756202</v>
      </c>
      <c r="I290" s="90" t="s">
        <v>3787</v>
      </c>
      <c r="J290" s="88" t="s">
        <v>966</v>
      </c>
      <c r="K290" s="88" t="s">
        <v>343</v>
      </c>
      <c r="L290" s="91">
        <v>41660</v>
      </c>
      <c r="M290" s="91">
        <v>42756</v>
      </c>
      <c r="N290" s="88">
        <f t="shared" ca="1" si="12"/>
        <v>3431</v>
      </c>
      <c r="O290" s="84" t="str">
        <f ca="1">IF(Tabla1[[#This Row],[|]]&gt;=0,"VENCIDA",IF(Tabla1[[#This Row],[|]]&gt;=-14,"POR VENCER","OK"))</f>
        <v>VENCIDA</v>
      </c>
      <c r="P290" s="90" t="s">
        <v>640</v>
      </c>
      <c r="Q290" s="90" t="s">
        <v>312</v>
      </c>
      <c r="R290" s="88" t="s">
        <v>317</v>
      </c>
      <c r="S290" s="88"/>
      <c r="T290" s="88"/>
      <c r="U290" s="88"/>
      <c r="V290" s="88" t="s">
        <v>680</v>
      </c>
      <c r="W290" s="92" t="s">
        <v>1577</v>
      </c>
      <c r="X290" s="203"/>
    </row>
    <row r="291" spans="1:24" s="63" customFormat="1" ht="32.25" customHeight="1" x14ac:dyDescent="0.2">
      <c r="A291" s="202">
        <v>330</v>
      </c>
      <c r="B291" s="88" t="s">
        <v>279</v>
      </c>
      <c r="C291" s="89">
        <v>330</v>
      </c>
      <c r="D291" s="88" t="str">
        <f t="shared" si="11"/>
        <v>SUPERMIX330</v>
      </c>
      <c r="E291" s="58" t="s">
        <v>967</v>
      </c>
      <c r="F291" s="58" t="s">
        <v>968</v>
      </c>
      <c r="G291" s="88" t="s">
        <v>310</v>
      </c>
      <c r="H291" s="90">
        <v>10602385</v>
      </c>
      <c r="I291" s="90" t="s">
        <v>3787</v>
      </c>
      <c r="J291" s="90" t="s">
        <v>969</v>
      </c>
      <c r="K291" s="88" t="s">
        <v>3142</v>
      </c>
      <c r="L291" s="91">
        <v>37043</v>
      </c>
      <c r="M291" s="91">
        <v>43598</v>
      </c>
      <c r="N291" s="88">
        <f t="shared" ca="1" si="12"/>
        <v>2589</v>
      </c>
      <c r="O291" s="84" t="str">
        <f ca="1">IF(Tabla1[[#This Row],[|]]&gt;=0,"VENCIDA",IF(Tabla1[[#This Row],[|]]&gt;=-14,"POR VENCER","OK"))</f>
        <v>VENCIDA</v>
      </c>
      <c r="P291" s="90" t="s">
        <v>970</v>
      </c>
      <c r="Q291" s="90" t="s">
        <v>312</v>
      </c>
      <c r="R291" s="88" t="s">
        <v>17</v>
      </c>
      <c r="S291" s="88"/>
      <c r="T291" s="88"/>
      <c r="U291" s="88"/>
      <c r="V291" s="88" t="s">
        <v>668</v>
      </c>
      <c r="W291" s="92" t="s">
        <v>971</v>
      </c>
      <c r="X291" s="203"/>
    </row>
    <row r="292" spans="1:24" s="63" customFormat="1" ht="32.25" customHeight="1" x14ac:dyDescent="0.2">
      <c r="A292" s="202">
        <v>331</v>
      </c>
      <c r="B292" s="88" t="s">
        <v>279</v>
      </c>
      <c r="C292" s="89">
        <v>331</v>
      </c>
      <c r="D292" s="88" t="str">
        <f t="shared" si="11"/>
        <v>SUPERMIX331</v>
      </c>
      <c r="E292" s="58" t="s">
        <v>972</v>
      </c>
      <c r="F292" s="58" t="s">
        <v>973</v>
      </c>
      <c r="G292" s="88" t="s">
        <v>25</v>
      </c>
      <c r="H292" s="90">
        <v>45020762</v>
      </c>
      <c r="I292" s="90" t="s">
        <v>3787</v>
      </c>
      <c r="J292" s="90" t="s">
        <v>974</v>
      </c>
      <c r="K292" s="88" t="s">
        <v>3142</v>
      </c>
      <c r="L292" s="91">
        <v>40732</v>
      </c>
      <c r="M292" s="91">
        <v>43654</v>
      </c>
      <c r="N292" s="88">
        <f t="shared" ca="1" si="12"/>
        <v>2533</v>
      </c>
      <c r="O292" s="84" t="str">
        <f ca="1">IF(Tabla1[[#This Row],[|]]&gt;=0,"VENCIDA",IF(Tabla1[[#This Row],[|]]&gt;=-14,"POR VENCER","OK"))</f>
        <v>VENCIDA</v>
      </c>
      <c r="P292" s="90" t="s">
        <v>970</v>
      </c>
      <c r="Q292" s="90" t="s">
        <v>312</v>
      </c>
      <c r="R292" s="88" t="s">
        <v>317</v>
      </c>
      <c r="S292" s="88"/>
      <c r="T292" s="88"/>
      <c r="U292" s="88"/>
      <c r="V292" s="88" t="s">
        <v>668</v>
      </c>
      <c r="W292" s="92" t="s">
        <v>850</v>
      </c>
      <c r="X292" s="203"/>
    </row>
    <row r="293" spans="1:24" s="63" customFormat="1" ht="32.25" customHeight="1" x14ac:dyDescent="0.2">
      <c r="A293" s="202">
        <v>332</v>
      </c>
      <c r="B293" s="88" t="s">
        <v>279</v>
      </c>
      <c r="C293" s="89">
        <v>332</v>
      </c>
      <c r="D293" s="88" t="str">
        <f t="shared" si="11"/>
        <v>SUPERMIX332</v>
      </c>
      <c r="E293" s="58" t="s">
        <v>975</v>
      </c>
      <c r="F293" s="58" t="s">
        <v>976</v>
      </c>
      <c r="G293" s="88" t="s">
        <v>25</v>
      </c>
      <c r="H293" s="90">
        <v>29414943</v>
      </c>
      <c r="I293" s="90" t="s">
        <v>3787</v>
      </c>
      <c r="J293" s="90" t="s">
        <v>978</v>
      </c>
      <c r="K293" s="88" t="s">
        <v>3142</v>
      </c>
      <c r="L293" s="91" t="s">
        <v>979</v>
      </c>
      <c r="M293" s="91">
        <v>43076</v>
      </c>
      <c r="N293" s="88">
        <f t="shared" ca="1" si="12"/>
        <v>3111</v>
      </c>
      <c r="O293" s="84" t="str">
        <f ca="1">IF(Tabla1[[#This Row],[|]]&gt;=0,"VENCIDA",IF(Tabla1[[#This Row],[|]]&gt;=-14,"POR VENCER","OK"))</f>
        <v>VENCIDA</v>
      </c>
      <c r="P293" s="90" t="s">
        <v>970</v>
      </c>
      <c r="Q293" s="90" t="s">
        <v>312</v>
      </c>
      <c r="R293" s="88" t="s">
        <v>317</v>
      </c>
      <c r="S293" s="88"/>
      <c r="T293" s="88"/>
      <c r="U293" s="88"/>
      <c r="V293" s="88" t="s">
        <v>668</v>
      </c>
      <c r="W293" s="92" t="s">
        <v>977</v>
      </c>
      <c r="X293" s="203"/>
    </row>
    <row r="294" spans="1:24" s="63" customFormat="1" ht="32.25" customHeight="1" x14ac:dyDescent="0.2">
      <c r="A294" s="202">
        <v>333</v>
      </c>
      <c r="B294" s="88" t="s">
        <v>279</v>
      </c>
      <c r="C294" s="89">
        <v>333</v>
      </c>
      <c r="D294" s="88" t="str">
        <f t="shared" si="11"/>
        <v>SUPERMIX333</v>
      </c>
      <c r="E294" s="58" t="s">
        <v>980</v>
      </c>
      <c r="F294" s="58" t="s">
        <v>981</v>
      </c>
      <c r="G294" s="88" t="s">
        <v>310</v>
      </c>
      <c r="H294" s="90">
        <v>40602711</v>
      </c>
      <c r="I294" s="90" t="s">
        <v>3787</v>
      </c>
      <c r="J294" s="90" t="s">
        <v>982</v>
      </c>
      <c r="K294" s="88" t="s">
        <v>281</v>
      </c>
      <c r="L294" s="91">
        <v>39331</v>
      </c>
      <c r="M294" s="91">
        <v>43559</v>
      </c>
      <c r="N294" s="88">
        <f t="shared" ca="1" si="12"/>
        <v>2628</v>
      </c>
      <c r="O294" s="84" t="str">
        <f ca="1">IF(Tabla1[[#This Row],[|]]&gt;=0,"VENCIDA",IF(Tabla1[[#This Row],[|]]&gt;=-14,"POR VENCER","OK"))</f>
        <v>VENCIDA</v>
      </c>
      <c r="P294" s="90" t="s">
        <v>1532</v>
      </c>
      <c r="Q294" s="90" t="s">
        <v>312</v>
      </c>
      <c r="R294" s="88" t="s">
        <v>317</v>
      </c>
      <c r="S294" s="88"/>
      <c r="T294" s="88"/>
      <c r="U294" s="88"/>
      <c r="V294" s="88" t="s">
        <v>306</v>
      </c>
      <c r="W294" s="92" t="s">
        <v>649</v>
      </c>
      <c r="X294" s="203"/>
    </row>
    <row r="295" spans="1:24" s="63" customFormat="1" ht="32.25" customHeight="1" x14ac:dyDescent="0.2">
      <c r="A295" s="202">
        <v>334</v>
      </c>
      <c r="B295" s="88" t="s">
        <v>279</v>
      </c>
      <c r="C295" s="89">
        <v>334</v>
      </c>
      <c r="D295" s="88" t="str">
        <f t="shared" si="11"/>
        <v>SUPERMIX334</v>
      </c>
      <c r="E295" s="58" t="s">
        <v>983</v>
      </c>
      <c r="F295" s="58" t="s">
        <v>984</v>
      </c>
      <c r="G295" s="88" t="s">
        <v>25</v>
      </c>
      <c r="H295" s="90">
        <v>40819327</v>
      </c>
      <c r="I295" s="90" t="s">
        <v>3787</v>
      </c>
      <c r="J295" s="90" t="s">
        <v>985</v>
      </c>
      <c r="K295" s="88" t="s">
        <v>281</v>
      </c>
      <c r="L295" s="91">
        <v>41792</v>
      </c>
      <c r="M295" s="91">
        <v>42888</v>
      </c>
      <c r="N295" s="88">
        <f t="shared" ca="1" si="12"/>
        <v>3299</v>
      </c>
      <c r="O295" s="84" t="str">
        <f ca="1">IF(Tabla1[[#This Row],[|]]&gt;=0,"VENCIDA",IF(Tabla1[[#This Row],[|]]&gt;=-14,"POR VENCER","OK"))</f>
        <v>VENCIDA</v>
      </c>
      <c r="P295" s="90" t="s">
        <v>597</v>
      </c>
      <c r="Q295" s="90" t="s">
        <v>312</v>
      </c>
      <c r="R295" s="88" t="s">
        <v>317</v>
      </c>
      <c r="S295" s="88"/>
      <c r="T295" s="88"/>
      <c r="U295" s="88"/>
      <c r="V295" s="88" t="s">
        <v>986</v>
      </c>
      <c r="W295" s="92" t="s">
        <v>1350</v>
      </c>
      <c r="X295" s="203"/>
    </row>
    <row r="296" spans="1:24" s="63" customFormat="1" ht="32.25" customHeight="1" x14ac:dyDescent="0.2">
      <c r="A296" s="202">
        <v>335</v>
      </c>
      <c r="B296" s="88" t="s">
        <v>279</v>
      </c>
      <c r="C296" s="89">
        <v>335</v>
      </c>
      <c r="D296" s="88" t="str">
        <f t="shared" si="11"/>
        <v>SUPERMIX335</v>
      </c>
      <c r="E296" s="58" t="s">
        <v>987</v>
      </c>
      <c r="F296" s="58" t="s">
        <v>988</v>
      </c>
      <c r="G296" s="88" t="s">
        <v>25</v>
      </c>
      <c r="H296" s="90">
        <v>44009804</v>
      </c>
      <c r="I296" s="90" t="s">
        <v>3787</v>
      </c>
      <c r="J296" s="90" t="s">
        <v>989</v>
      </c>
      <c r="K296" s="88" t="s">
        <v>281</v>
      </c>
      <c r="L296" s="91">
        <v>42151</v>
      </c>
      <c r="M296" s="91">
        <v>43247</v>
      </c>
      <c r="N296" s="88">
        <f t="shared" ca="1" si="12"/>
        <v>2940</v>
      </c>
      <c r="O296" s="84" t="str">
        <f ca="1">IF(Tabla1[[#This Row],[|]]&gt;=0,"VENCIDA",IF(Tabla1[[#This Row],[|]]&gt;=-14,"POR VENCER","OK"))</f>
        <v>VENCIDA</v>
      </c>
      <c r="P296" s="90" t="s">
        <v>2226</v>
      </c>
      <c r="Q296" s="90" t="s">
        <v>312</v>
      </c>
      <c r="R296" s="88" t="s">
        <v>317</v>
      </c>
      <c r="S296" s="88"/>
      <c r="T296" s="88"/>
      <c r="U296" s="88"/>
      <c r="V296" s="88" t="s">
        <v>986</v>
      </c>
      <c r="W296" s="92" t="s">
        <v>1350</v>
      </c>
      <c r="X296" s="203"/>
    </row>
    <row r="297" spans="1:24" s="59" customFormat="1" ht="32.25" customHeight="1" x14ac:dyDescent="0.2">
      <c r="A297" s="200">
        <v>336</v>
      </c>
      <c r="B297" s="61" t="s">
        <v>279</v>
      </c>
      <c r="C297" s="87">
        <v>336</v>
      </c>
      <c r="D297" s="61" t="str">
        <f t="shared" si="11"/>
        <v>SUPERMIX336</v>
      </c>
      <c r="E297" s="82" t="s">
        <v>991</v>
      </c>
      <c r="F297" s="82" t="s">
        <v>992</v>
      </c>
      <c r="G297" s="61" t="s">
        <v>341</v>
      </c>
      <c r="H297" s="60">
        <v>42558702</v>
      </c>
      <c r="I297" s="60" t="s">
        <v>3787</v>
      </c>
      <c r="J297" s="60" t="s">
        <v>993</v>
      </c>
      <c r="K297" s="61" t="s">
        <v>281</v>
      </c>
      <c r="L297" s="62">
        <v>40982</v>
      </c>
      <c r="M297" s="62">
        <v>43161</v>
      </c>
      <c r="N297" s="61">
        <f t="shared" ca="1" si="12"/>
        <v>3026</v>
      </c>
      <c r="O297" s="84" t="str">
        <f ca="1">IF(Tabla1[[#This Row],[|]]&gt;=0,"VENCIDA",IF(Tabla1[[#This Row],[|]]&gt;=-14,"POR VENCER","OK"))</f>
        <v>VENCIDA</v>
      </c>
      <c r="P297" s="60" t="s">
        <v>597</v>
      </c>
      <c r="Q297" s="60" t="s">
        <v>312</v>
      </c>
      <c r="R297" s="61" t="s">
        <v>317</v>
      </c>
      <c r="S297" s="61"/>
      <c r="T297" s="61"/>
      <c r="U297" s="61"/>
      <c r="V297" s="61" t="s">
        <v>986</v>
      </c>
      <c r="W297" s="86" t="s">
        <v>1350</v>
      </c>
      <c r="X297" s="201"/>
    </row>
    <row r="298" spans="1:24" s="63" customFormat="1" ht="32.25" customHeight="1" x14ac:dyDescent="0.2">
      <c r="A298" s="202">
        <v>337</v>
      </c>
      <c r="B298" s="88" t="s">
        <v>279</v>
      </c>
      <c r="C298" s="89">
        <v>337</v>
      </c>
      <c r="D298" s="88" t="str">
        <f t="shared" si="11"/>
        <v>SUPERMIX337</v>
      </c>
      <c r="E298" s="58" t="s">
        <v>994</v>
      </c>
      <c r="F298" s="58" t="s">
        <v>995</v>
      </c>
      <c r="G298" s="88" t="s">
        <v>25</v>
      </c>
      <c r="H298" s="90">
        <v>29706922</v>
      </c>
      <c r="I298" s="90" t="s">
        <v>3787</v>
      </c>
      <c r="J298" s="88" t="s">
        <v>996</v>
      </c>
      <c r="K298" s="88" t="s">
        <v>281</v>
      </c>
      <c r="L298" s="91">
        <v>41563</v>
      </c>
      <c r="M298" s="91">
        <v>42659</v>
      </c>
      <c r="N298" s="88">
        <f t="shared" ca="1" si="12"/>
        <v>3528</v>
      </c>
      <c r="O298" s="84" t="str">
        <f ca="1">IF(Tabla1[[#This Row],[|]]&gt;=0,"VENCIDA",IF(Tabla1[[#This Row],[|]]&gt;=-14,"POR VENCER","OK"))</f>
        <v>VENCIDA</v>
      </c>
      <c r="P298" s="90" t="s">
        <v>597</v>
      </c>
      <c r="Q298" s="90" t="s">
        <v>312</v>
      </c>
      <c r="R298" s="88" t="s">
        <v>317</v>
      </c>
      <c r="S298" s="88"/>
      <c r="T298" s="88"/>
      <c r="U298" s="88"/>
      <c r="V298" s="88" t="s">
        <v>986</v>
      </c>
      <c r="W298" s="92" t="s">
        <v>1350</v>
      </c>
      <c r="X298" s="203"/>
    </row>
    <row r="299" spans="1:24" s="63" customFormat="1" ht="32.25" customHeight="1" x14ac:dyDescent="0.2">
      <c r="A299" s="202">
        <v>338</v>
      </c>
      <c r="B299" s="88" t="s">
        <v>279</v>
      </c>
      <c r="C299" s="89">
        <v>338</v>
      </c>
      <c r="D299" s="88" t="str">
        <f t="shared" si="11"/>
        <v>SUPERMIX338</v>
      </c>
      <c r="E299" s="58" t="s">
        <v>997</v>
      </c>
      <c r="F299" s="58" t="s">
        <v>998</v>
      </c>
      <c r="G299" s="88" t="s">
        <v>25</v>
      </c>
      <c r="H299" s="90">
        <v>29607859</v>
      </c>
      <c r="I299" s="90" t="s">
        <v>3787</v>
      </c>
      <c r="J299" s="90" t="s">
        <v>999</v>
      </c>
      <c r="K299" s="88" t="s">
        <v>281</v>
      </c>
      <c r="L299" s="91">
        <v>41789</v>
      </c>
      <c r="M299" s="91">
        <v>42885</v>
      </c>
      <c r="N299" s="88">
        <f t="shared" ca="1" si="12"/>
        <v>3302</v>
      </c>
      <c r="O299" s="84" t="str">
        <f ca="1">IF(Tabla1[[#This Row],[|]]&gt;=0,"VENCIDA",IF(Tabla1[[#This Row],[|]]&gt;=-14,"POR VENCER","OK"))</f>
        <v>VENCIDA</v>
      </c>
      <c r="P299" s="90" t="s">
        <v>597</v>
      </c>
      <c r="Q299" s="90" t="s">
        <v>312</v>
      </c>
      <c r="R299" s="88" t="s">
        <v>317</v>
      </c>
      <c r="S299" s="88"/>
      <c r="T299" s="88"/>
      <c r="U299" s="88"/>
      <c r="V299" s="88" t="s">
        <v>986</v>
      </c>
      <c r="W299" s="92" t="s">
        <v>1350</v>
      </c>
      <c r="X299" s="203"/>
    </row>
    <row r="300" spans="1:24" s="63" customFormat="1" ht="32.25" customHeight="1" x14ac:dyDescent="0.2">
      <c r="A300" s="202">
        <v>339</v>
      </c>
      <c r="B300" s="88" t="s">
        <v>279</v>
      </c>
      <c r="C300" s="89">
        <v>339</v>
      </c>
      <c r="D300" s="88" t="str">
        <f t="shared" si="11"/>
        <v>SUPERMIX339</v>
      </c>
      <c r="E300" s="58" t="s">
        <v>1000</v>
      </c>
      <c r="F300" s="58" t="s">
        <v>1001</v>
      </c>
      <c r="G300" s="88" t="s">
        <v>25</v>
      </c>
      <c r="H300" s="90">
        <v>41608305</v>
      </c>
      <c r="I300" s="90" t="s">
        <v>3787</v>
      </c>
      <c r="J300" s="90" t="s">
        <v>1002</v>
      </c>
      <c r="K300" s="88" t="s">
        <v>281</v>
      </c>
      <c r="L300" s="91">
        <v>40736</v>
      </c>
      <c r="M300" s="91">
        <v>42941</v>
      </c>
      <c r="N300" s="88">
        <f t="shared" ca="1" si="12"/>
        <v>3246</v>
      </c>
      <c r="O300" s="84" t="str">
        <f ca="1">IF(Tabla1[[#This Row],[|]]&gt;=0,"VENCIDA",IF(Tabla1[[#This Row],[|]]&gt;=-14,"POR VENCER","OK"))</f>
        <v>VENCIDA</v>
      </c>
      <c r="P300" s="90" t="s">
        <v>597</v>
      </c>
      <c r="Q300" s="90" t="s">
        <v>312</v>
      </c>
      <c r="R300" s="88" t="s">
        <v>17</v>
      </c>
      <c r="S300" s="88"/>
      <c r="T300" s="88"/>
      <c r="U300" s="88"/>
      <c r="V300" s="88" t="s">
        <v>986</v>
      </c>
      <c r="W300" s="92" t="s">
        <v>1350</v>
      </c>
      <c r="X300" s="203"/>
    </row>
    <row r="301" spans="1:24" s="63" customFormat="1" ht="32.25" customHeight="1" x14ac:dyDescent="0.2">
      <c r="A301" s="202">
        <v>340</v>
      </c>
      <c r="B301" s="88" t="s">
        <v>279</v>
      </c>
      <c r="C301" s="89">
        <v>340</v>
      </c>
      <c r="D301" s="88" t="str">
        <f t="shared" si="11"/>
        <v>SUPERMIX340</v>
      </c>
      <c r="E301" s="58" t="s">
        <v>1003</v>
      </c>
      <c r="F301" s="58" t="s">
        <v>1004</v>
      </c>
      <c r="G301" s="88" t="s">
        <v>25</v>
      </c>
      <c r="H301" s="90">
        <v>41558064</v>
      </c>
      <c r="I301" s="90" t="s">
        <v>3787</v>
      </c>
      <c r="J301" s="90" t="s">
        <v>1005</v>
      </c>
      <c r="K301" s="88" t="s">
        <v>368</v>
      </c>
      <c r="L301" s="91">
        <v>42971</v>
      </c>
      <c r="M301" s="91">
        <v>44067</v>
      </c>
      <c r="N301" s="88">
        <f t="shared" ca="1" si="12"/>
        <v>2120</v>
      </c>
      <c r="O301" s="84" t="str">
        <f ca="1">IF(Tabla1[[#This Row],[|]]&gt;=0,"VENCIDA",IF(Tabla1[[#This Row],[|]]&gt;=-14,"POR VENCER","OK"))</f>
        <v>VENCIDA</v>
      </c>
      <c r="P301" s="90" t="s">
        <v>640</v>
      </c>
      <c r="Q301" s="90" t="s">
        <v>312</v>
      </c>
      <c r="R301" s="88" t="s">
        <v>317</v>
      </c>
      <c r="S301" s="88"/>
      <c r="T301" s="88"/>
      <c r="U301" s="88"/>
      <c r="V301" s="88" t="s">
        <v>1572</v>
      </c>
      <c r="W301" s="92" t="s">
        <v>1282</v>
      </c>
      <c r="X301" s="203"/>
    </row>
    <row r="302" spans="1:24" s="63" customFormat="1" ht="32.25" customHeight="1" x14ac:dyDescent="0.2">
      <c r="A302" s="202">
        <v>341</v>
      </c>
      <c r="B302" s="88" t="s">
        <v>279</v>
      </c>
      <c r="C302" s="89">
        <v>341</v>
      </c>
      <c r="D302" s="88" t="str">
        <f t="shared" si="11"/>
        <v>SUPERMIX341</v>
      </c>
      <c r="E302" s="58" t="s">
        <v>1006</v>
      </c>
      <c r="F302" s="58" t="s">
        <v>1007</v>
      </c>
      <c r="G302" s="88" t="s">
        <v>25</v>
      </c>
      <c r="H302" s="90">
        <v>42094405</v>
      </c>
      <c r="I302" s="90" t="s">
        <v>3787</v>
      </c>
      <c r="J302" s="90" t="s">
        <v>1008</v>
      </c>
      <c r="K302" s="88" t="s">
        <v>281</v>
      </c>
      <c r="L302" s="91">
        <v>41191</v>
      </c>
      <c r="M302" s="91">
        <v>43375</v>
      </c>
      <c r="N302" s="88">
        <f t="shared" ca="1" si="12"/>
        <v>2812</v>
      </c>
      <c r="O302" s="84" t="str">
        <f ca="1">IF(Tabla1[[#This Row],[|]]&gt;=0,"VENCIDA",IF(Tabla1[[#This Row],[|]]&gt;=-14,"POR VENCER","OK"))</f>
        <v>VENCIDA</v>
      </c>
      <c r="P302" s="90" t="s">
        <v>1507</v>
      </c>
      <c r="Q302" s="90" t="s">
        <v>312</v>
      </c>
      <c r="R302" s="88" t="s">
        <v>17</v>
      </c>
      <c r="S302" s="88"/>
      <c r="T302" s="88"/>
      <c r="U302" s="88"/>
      <c r="V302" s="88" t="s">
        <v>1009</v>
      </c>
      <c r="W302" s="92"/>
      <c r="X302" s="203"/>
    </row>
    <row r="303" spans="1:24" s="63" customFormat="1" ht="32.25" customHeight="1" x14ac:dyDescent="0.2">
      <c r="A303" s="202">
        <v>342</v>
      </c>
      <c r="B303" s="88" t="s">
        <v>279</v>
      </c>
      <c r="C303" s="89">
        <v>342</v>
      </c>
      <c r="D303" s="88" t="str">
        <f t="shared" si="11"/>
        <v>SUPERMIX342</v>
      </c>
      <c r="E303" s="58" t="s">
        <v>1010</v>
      </c>
      <c r="F303" s="58" t="s">
        <v>29</v>
      </c>
      <c r="G303" s="88" t="s">
        <v>25</v>
      </c>
      <c r="H303" s="90">
        <v>47087927</v>
      </c>
      <c r="I303" s="90" t="s">
        <v>3787</v>
      </c>
      <c r="J303" s="90" t="s">
        <v>1011</v>
      </c>
      <c r="K303" s="88" t="s">
        <v>368</v>
      </c>
      <c r="L303" s="91">
        <v>41269</v>
      </c>
      <c r="M303" s="91">
        <v>42366</v>
      </c>
      <c r="N303" s="88">
        <f t="shared" ca="1" si="12"/>
        <v>3821</v>
      </c>
      <c r="O303" s="84" t="str">
        <f ca="1">IF(Tabla1[[#This Row],[|]]&gt;=0,"VENCIDA",IF(Tabla1[[#This Row],[|]]&gt;=-14,"POR VENCER","OK"))</f>
        <v>VENCIDA</v>
      </c>
      <c r="P303" s="90" t="s">
        <v>823</v>
      </c>
      <c r="Q303" s="90" t="s">
        <v>312</v>
      </c>
      <c r="R303" s="88" t="s">
        <v>317</v>
      </c>
      <c r="S303" s="88"/>
      <c r="T303" s="88"/>
      <c r="U303" s="88"/>
      <c r="V303" s="88" t="s">
        <v>1012</v>
      </c>
      <c r="W303" s="92" t="s">
        <v>971</v>
      </c>
      <c r="X303" s="203"/>
    </row>
    <row r="304" spans="1:24" ht="32.25" customHeight="1" x14ac:dyDescent="0.2">
      <c r="A304" s="37">
        <v>343</v>
      </c>
      <c r="B304" s="100" t="s">
        <v>279</v>
      </c>
      <c r="C304" s="101">
        <v>343</v>
      </c>
      <c r="D304" s="100" t="str">
        <f t="shared" si="11"/>
        <v>SUPERMIX343</v>
      </c>
      <c r="E304" s="115" t="s">
        <v>1013</v>
      </c>
      <c r="F304" s="169" t="s">
        <v>1014</v>
      </c>
      <c r="G304" s="100" t="s">
        <v>341</v>
      </c>
      <c r="H304" s="102">
        <v>40883267</v>
      </c>
      <c r="I304" s="102" t="s">
        <v>3788</v>
      </c>
      <c r="J304" s="102" t="s">
        <v>1015</v>
      </c>
      <c r="K304" s="100" t="s">
        <v>368</v>
      </c>
      <c r="L304" s="103">
        <v>40117</v>
      </c>
      <c r="M304" s="103">
        <v>46819</v>
      </c>
      <c r="N304" s="100">
        <f t="shared" ca="1" si="12"/>
        <v>-632</v>
      </c>
      <c r="O304" s="84" t="str">
        <f ca="1">IF(Tabla1[[#This Row],[|]]&gt;=0,"VENCIDA",IF(Tabla1[[#This Row],[|]]&gt;=-14,"POR VENCER","OK"))</f>
        <v>OK</v>
      </c>
      <c r="P304" s="102" t="s">
        <v>2827</v>
      </c>
      <c r="Q304" s="102" t="s">
        <v>312</v>
      </c>
      <c r="R304" s="100" t="s">
        <v>317</v>
      </c>
      <c r="S304" s="100"/>
      <c r="T304" s="100"/>
      <c r="U304" s="100"/>
      <c r="V304" s="100" t="s">
        <v>282</v>
      </c>
      <c r="W304" s="104" t="s">
        <v>2776</v>
      </c>
      <c r="X304" s="210" t="s">
        <v>2913</v>
      </c>
    </row>
    <row r="305" spans="1:24" s="43" customFormat="1" ht="32.25" customHeight="1" x14ac:dyDescent="0.2">
      <c r="A305" s="42">
        <v>344</v>
      </c>
      <c r="B305" s="93" t="s">
        <v>279</v>
      </c>
      <c r="C305" s="94">
        <v>344</v>
      </c>
      <c r="D305" s="93" t="str">
        <f t="shared" si="11"/>
        <v>SUPERMIX344</v>
      </c>
      <c r="E305" s="115" t="s">
        <v>1018</v>
      </c>
      <c r="F305" s="115" t="s">
        <v>1019</v>
      </c>
      <c r="G305" s="93" t="s">
        <v>25</v>
      </c>
      <c r="H305" s="95">
        <v>29607304</v>
      </c>
      <c r="I305" s="95" t="s">
        <v>3788</v>
      </c>
      <c r="J305" s="95" t="s">
        <v>1020</v>
      </c>
      <c r="K305" s="93" t="s">
        <v>368</v>
      </c>
      <c r="L305" s="96">
        <v>42510</v>
      </c>
      <c r="M305" s="96">
        <v>46555</v>
      </c>
      <c r="N305" s="93">
        <f t="shared" ca="1" si="12"/>
        <v>-368</v>
      </c>
      <c r="O305" s="84" t="str">
        <f ca="1">IF(Tabla1[[#This Row],[|]]&gt;=0,"VENCIDA",IF(Tabla1[[#This Row],[|]]&gt;=-14,"POR VENCER","OK"))</f>
        <v>OK</v>
      </c>
      <c r="P305" s="95" t="s">
        <v>2827</v>
      </c>
      <c r="Q305" s="95" t="s">
        <v>312</v>
      </c>
      <c r="R305" s="93" t="s">
        <v>17</v>
      </c>
      <c r="S305" s="93"/>
      <c r="T305" s="93"/>
      <c r="U305" s="93"/>
      <c r="V305" s="93" t="s">
        <v>1021</v>
      </c>
      <c r="W305" s="97" t="s">
        <v>971</v>
      </c>
      <c r="X305" s="204" t="s">
        <v>2894</v>
      </c>
    </row>
    <row r="306" spans="1:24" s="63" customFormat="1" ht="32.25" customHeight="1" x14ac:dyDescent="0.2">
      <c r="A306" s="202">
        <v>345</v>
      </c>
      <c r="B306" s="88" t="s">
        <v>279</v>
      </c>
      <c r="C306" s="89">
        <v>345</v>
      </c>
      <c r="D306" s="88" t="str">
        <f t="shared" si="11"/>
        <v>SUPERMIX345</v>
      </c>
      <c r="E306" s="58" t="s">
        <v>1022</v>
      </c>
      <c r="F306" s="58" t="s">
        <v>1023</v>
      </c>
      <c r="G306" s="88" t="s">
        <v>25</v>
      </c>
      <c r="H306" s="90">
        <v>42922430</v>
      </c>
      <c r="I306" s="90" t="s">
        <v>3787</v>
      </c>
      <c r="J306" s="134" t="s">
        <v>1081</v>
      </c>
      <c r="K306" s="88" t="s">
        <v>281</v>
      </c>
      <c r="L306" s="91">
        <v>41908</v>
      </c>
      <c r="M306" s="91">
        <v>43004</v>
      </c>
      <c r="N306" s="88">
        <f t="shared" ca="1" si="12"/>
        <v>3183</v>
      </c>
      <c r="O306" s="84" t="str">
        <f ca="1">IF(Tabla1[[#This Row],[|]]&gt;=0,"VENCIDA",IF(Tabla1[[#This Row],[|]]&gt;=-14,"POR VENCER","OK"))</f>
        <v>VENCIDA</v>
      </c>
      <c r="P306" s="90" t="s">
        <v>1024</v>
      </c>
      <c r="Q306" s="90" t="s">
        <v>312</v>
      </c>
      <c r="R306" s="88" t="s">
        <v>317</v>
      </c>
      <c r="S306" s="88"/>
      <c r="T306" s="88"/>
      <c r="U306" s="88"/>
      <c r="V306" s="88" t="s">
        <v>1025</v>
      </c>
      <c r="W306" s="92" t="s">
        <v>1082</v>
      </c>
      <c r="X306" s="203"/>
    </row>
    <row r="307" spans="1:24" s="63" customFormat="1" ht="32.25" customHeight="1" x14ac:dyDescent="0.2">
      <c r="A307" s="42">
        <v>210</v>
      </c>
      <c r="B307" s="93" t="s">
        <v>279</v>
      </c>
      <c r="C307" s="94">
        <v>210</v>
      </c>
      <c r="D307" s="93" t="str">
        <f t="shared" si="11"/>
        <v>SUPERMIX210</v>
      </c>
      <c r="E307" s="115" t="s">
        <v>57</v>
      </c>
      <c r="F307" s="115" t="s">
        <v>473</v>
      </c>
      <c r="G307" s="93" t="s">
        <v>310</v>
      </c>
      <c r="H307" s="95">
        <v>24367509</v>
      </c>
      <c r="I307" s="95" t="s">
        <v>3788</v>
      </c>
      <c r="J307" s="97" t="s">
        <v>514</v>
      </c>
      <c r="K307" s="93" t="s">
        <v>1954</v>
      </c>
      <c r="L307" s="96">
        <v>39539</v>
      </c>
      <c r="M307" s="96">
        <v>46716</v>
      </c>
      <c r="N307" s="88">
        <f t="shared" ca="1" si="12"/>
        <v>-529</v>
      </c>
      <c r="O307" s="84" t="str">
        <f ca="1">IF(Tabla1[[#This Row],[|]]&gt;=0,"VENCIDA",IF(Tabla1[[#This Row],[|]]&gt;=-14,"POR VENCER","OK"))</f>
        <v>OK</v>
      </c>
      <c r="P307" s="95" t="s">
        <v>3733</v>
      </c>
      <c r="Q307" s="95" t="s">
        <v>312</v>
      </c>
      <c r="R307" s="93" t="s">
        <v>317</v>
      </c>
      <c r="S307" s="93"/>
      <c r="T307" s="93"/>
      <c r="U307" s="93"/>
      <c r="V307" s="95" t="s">
        <v>282</v>
      </c>
      <c r="W307" s="97" t="s">
        <v>2776</v>
      </c>
      <c r="X307" s="204" t="s">
        <v>2819</v>
      </c>
    </row>
    <row r="308" spans="1:24" s="43" customFormat="1" ht="32.25" customHeight="1" x14ac:dyDescent="0.2">
      <c r="A308" s="202">
        <v>347</v>
      </c>
      <c r="B308" s="88" t="s">
        <v>279</v>
      </c>
      <c r="C308" s="89">
        <v>347</v>
      </c>
      <c r="D308" s="88" t="str">
        <f t="shared" si="11"/>
        <v>SUPERMIX347</v>
      </c>
      <c r="E308" s="58" t="s">
        <v>1029</v>
      </c>
      <c r="F308" s="58" t="s">
        <v>1030</v>
      </c>
      <c r="G308" s="88" t="s">
        <v>25</v>
      </c>
      <c r="H308" s="90">
        <v>44371431</v>
      </c>
      <c r="I308" s="90" t="s">
        <v>3788</v>
      </c>
      <c r="J308" s="90" t="s">
        <v>1075</v>
      </c>
      <c r="K308" s="88" t="s">
        <v>343</v>
      </c>
      <c r="L308" s="91">
        <v>41354</v>
      </c>
      <c r="M308" s="91">
        <v>46671</v>
      </c>
      <c r="N308" s="88">
        <f t="shared" ca="1" si="12"/>
        <v>-484</v>
      </c>
      <c r="O308" s="84" t="str">
        <f ca="1">IF(Tabla1[[#This Row],[|]]&gt;=0,"VENCIDA",IF(Tabla1[[#This Row],[|]]&gt;=-14,"POR VENCER","OK"))</f>
        <v>OK</v>
      </c>
      <c r="P308" s="90" t="s">
        <v>2827</v>
      </c>
      <c r="Q308" s="90" t="s">
        <v>312</v>
      </c>
      <c r="R308" s="88" t="s">
        <v>17</v>
      </c>
      <c r="S308" s="93"/>
      <c r="T308" s="93"/>
      <c r="U308" s="93"/>
      <c r="V308" s="88" t="s">
        <v>1981</v>
      </c>
      <c r="W308" s="92" t="s">
        <v>3619</v>
      </c>
      <c r="X308" s="203" t="s">
        <v>3750</v>
      </c>
    </row>
    <row r="309" spans="1:24" s="63" customFormat="1" ht="32.25" customHeight="1" x14ac:dyDescent="0.2">
      <c r="A309" s="202">
        <v>348</v>
      </c>
      <c r="B309" s="88" t="s">
        <v>279</v>
      </c>
      <c r="C309" s="89">
        <v>348</v>
      </c>
      <c r="D309" s="88" t="str">
        <f t="shared" si="11"/>
        <v>SUPERMIX348</v>
      </c>
      <c r="E309" s="58" t="s">
        <v>1031</v>
      </c>
      <c r="F309" s="58" t="s">
        <v>609</v>
      </c>
      <c r="G309" s="88" t="s">
        <v>25</v>
      </c>
      <c r="H309" s="90">
        <v>44626216</v>
      </c>
      <c r="I309" s="90" t="s">
        <v>3787</v>
      </c>
      <c r="J309" s="90" t="s">
        <v>1072</v>
      </c>
      <c r="K309" s="88" t="s">
        <v>281</v>
      </c>
      <c r="L309" s="91">
        <v>41767</v>
      </c>
      <c r="M309" s="91">
        <v>42863</v>
      </c>
      <c r="N309" s="88">
        <f t="shared" ca="1" si="12"/>
        <v>3324</v>
      </c>
      <c r="O309" s="84" t="str">
        <f ca="1">IF(Tabla1[[#This Row],[|]]&gt;=0,"VENCIDA",IF(Tabla1[[#This Row],[|]]&gt;=-14,"POR VENCER","OK"))</f>
        <v>VENCIDA</v>
      </c>
      <c r="P309" s="90" t="s">
        <v>1024</v>
      </c>
      <c r="Q309" s="90" t="s">
        <v>312</v>
      </c>
      <c r="R309" s="88" t="s">
        <v>1073</v>
      </c>
      <c r="S309" s="88"/>
      <c r="T309" s="88"/>
      <c r="U309" s="88"/>
      <c r="V309" s="88" t="s">
        <v>1025</v>
      </c>
      <c r="W309" s="92" t="s">
        <v>1082</v>
      </c>
      <c r="X309" s="203"/>
    </row>
    <row r="310" spans="1:24" s="63" customFormat="1" ht="32.25" customHeight="1" x14ac:dyDescent="0.2">
      <c r="A310" s="202">
        <v>349</v>
      </c>
      <c r="B310" s="88" t="s">
        <v>279</v>
      </c>
      <c r="C310" s="89">
        <v>349</v>
      </c>
      <c r="D310" s="88" t="str">
        <f t="shared" si="11"/>
        <v>SUPERMIX349</v>
      </c>
      <c r="E310" s="58" t="s">
        <v>1032</v>
      </c>
      <c r="F310" s="58" t="s">
        <v>609</v>
      </c>
      <c r="G310" s="88" t="s">
        <v>25</v>
      </c>
      <c r="H310" s="90">
        <v>41647846</v>
      </c>
      <c r="I310" s="90" t="s">
        <v>3787</v>
      </c>
      <c r="J310" s="90" t="s">
        <v>1071</v>
      </c>
      <c r="K310" s="88" t="s">
        <v>281</v>
      </c>
      <c r="L310" s="91">
        <v>39455</v>
      </c>
      <c r="M310" s="91">
        <v>42801</v>
      </c>
      <c r="N310" s="88">
        <f t="shared" ca="1" si="12"/>
        <v>3386</v>
      </c>
      <c r="O310" s="84" t="str">
        <f ca="1">IF(Tabla1[[#This Row],[|]]&gt;=0,"VENCIDA",IF(Tabla1[[#This Row],[|]]&gt;=-14,"POR VENCER","OK"))</f>
        <v>VENCIDA</v>
      </c>
      <c r="P310" s="90" t="s">
        <v>1024</v>
      </c>
      <c r="Q310" s="90" t="s">
        <v>312</v>
      </c>
      <c r="R310" s="88" t="s">
        <v>317</v>
      </c>
      <c r="S310" s="88"/>
      <c r="T310" s="88"/>
      <c r="U310" s="88"/>
      <c r="V310" s="88" t="s">
        <v>1025</v>
      </c>
      <c r="W310" s="92" t="s">
        <v>1082</v>
      </c>
      <c r="X310" s="203"/>
    </row>
    <row r="311" spans="1:24" s="63" customFormat="1" ht="32.25" customHeight="1" x14ac:dyDescent="0.2">
      <c r="A311" s="202">
        <v>350</v>
      </c>
      <c r="B311" s="88" t="s">
        <v>279</v>
      </c>
      <c r="C311" s="89">
        <v>350</v>
      </c>
      <c r="D311" s="88" t="str">
        <f t="shared" si="11"/>
        <v>SUPERMIX350</v>
      </c>
      <c r="E311" s="58" t="s">
        <v>1033</v>
      </c>
      <c r="F311" s="58" t="s">
        <v>1034</v>
      </c>
      <c r="G311" s="88" t="s">
        <v>25</v>
      </c>
      <c r="H311" s="90"/>
      <c r="I311" s="90" t="s">
        <v>3787</v>
      </c>
      <c r="J311" s="88"/>
      <c r="K311" s="88"/>
      <c r="L311" s="91"/>
      <c r="M311" s="91"/>
      <c r="N311" s="88">
        <f t="shared" ca="1" si="12"/>
        <v>46187</v>
      </c>
      <c r="O311" s="84" t="str">
        <f ca="1">IF(Tabla1[[#This Row],[|]]&gt;=0,"VENCIDA",IF(Tabla1[[#This Row],[|]]&gt;=-14,"POR VENCER","OK"))</f>
        <v>VENCIDA</v>
      </c>
      <c r="P311" s="90" t="s">
        <v>1035</v>
      </c>
      <c r="Q311" s="90" t="s">
        <v>312</v>
      </c>
      <c r="R311" s="88"/>
      <c r="S311" s="88"/>
      <c r="T311" s="88"/>
      <c r="U311" s="88"/>
      <c r="V311" s="88" t="s">
        <v>1025</v>
      </c>
      <c r="W311" s="92" t="s">
        <v>1082</v>
      </c>
      <c r="X311" s="203"/>
    </row>
    <row r="312" spans="1:24" s="43" customFormat="1" ht="32.25" customHeight="1" x14ac:dyDescent="0.2">
      <c r="A312" s="42">
        <v>351</v>
      </c>
      <c r="B312" s="93" t="s">
        <v>279</v>
      </c>
      <c r="C312" s="94">
        <v>351</v>
      </c>
      <c r="D312" s="93" t="str">
        <f t="shared" si="11"/>
        <v>SUPERMIX351</v>
      </c>
      <c r="E312" s="115" t="s">
        <v>1036</v>
      </c>
      <c r="F312" s="115" t="s">
        <v>1037</v>
      </c>
      <c r="G312" s="93" t="s">
        <v>25</v>
      </c>
      <c r="H312" s="95">
        <v>42865767</v>
      </c>
      <c r="I312" s="95" t="s">
        <v>3788</v>
      </c>
      <c r="J312" s="95" t="s">
        <v>1079</v>
      </c>
      <c r="K312" s="93" t="s">
        <v>3142</v>
      </c>
      <c r="L312" s="96">
        <v>39175</v>
      </c>
      <c r="M312" s="117">
        <v>43016</v>
      </c>
      <c r="N312" s="93">
        <f t="shared" ca="1" si="12"/>
        <v>3171</v>
      </c>
      <c r="O312" s="84" t="str">
        <f ca="1">IF(Tabla1[[#This Row],[|]]&gt;=0,"VENCIDA",IF(Tabla1[[#This Row],[|]]&gt;=-14,"POR VENCER","OK"))</f>
        <v>VENCIDA</v>
      </c>
      <c r="P312" s="95" t="s">
        <v>1038</v>
      </c>
      <c r="Q312" s="95" t="s">
        <v>312</v>
      </c>
      <c r="R312" s="93" t="s">
        <v>317</v>
      </c>
      <c r="S312" s="93"/>
      <c r="T312" s="93"/>
      <c r="U312" s="93"/>
      <c r="V312" s="93" t="s">
        <v>1025</v>
      </c>
      <c r="W312" s="97" t="s">
        <v>1082</v>
      </c>
      <c r="X312" s="204"/>
    </row>
    <row r="313" spans="1:24" s="63" customFormat="1" ht="32.25" customHeight="1" x14ac:dyDescent="0.2">
      <c r="A313" s="202">
        <v>352</v>
      </c>
      <c r="B313" s="88" t="s">
        <v>279</v>
      </c>
      <c r="C313" s="89">
        <v>352</v>
      </c>
      <c r="D313" s="88" t="str">
        <f t="shared" si="11"/>
        <v>SUPERMIX352</v>
      </c>
      <c r="E313" s="58" t="s">
        <v>1039</v>
      </c>
      <c r="F313" s="58" t="s">
        <v>1040</v>
      </c>
      <c r="G313" s="88" t="s">
        <v>25</v>
      </c>
      <c r="H313" s="90">
        <v>25209635</v>
      </c>
      <c r="I313" s="90" t="s">
        <v>3787</v>
      </c>
      <c r="J313" s="88"/>
      <c r="K313" s="88" t="s">
        <v>281</v>
      </c>
      <c r="L313" s="91">
        <v>41369</v>
      </c>
      <c r="M313" s="91">
        <v>42465</v>
      </c>
      <c r="N313" s="88">
        <f t="shared" ca="1" si="12"/>
        <v>3722</v>
      </c>
      <c r="O313" s="84" t="str">
        <f ca="1">IF(Tabla1[[#This Row],[|]]&gt;=0,"VENCIDA",IF(Tabla1[[#This Row],[|]]&gt;=-14,"POR VENCER","OK"))</f>
        <v>VENCIDA</v>
      </c>
      <c r="P313" s="90" t="s">
        <v>1024</v>
      </c>
      <c r="Q313" s="90" t="s">
        <v>312</v>
      </c>
      <c r="R313" s="88"/>
      <c r="S313" s="88"/>
      <c r="T313" s="88"/>
      <c r="U313" s="88"/>
      <c r="V313" s="88" t="s">
        <v>1025</v>
      </c>
      <c r="W313" s="92" t="s">
        <v>1082</v>
      </c>
      <c r="X313" s="203"/>
    </row>
    <row r="314" spans="1:24" s="43" customFormat="1" ht="32.25" customHeight="1" x14ac:dyDescent="0.2">
      <c r="A314" s="42">
        <v>353</v>
      </c>
      <c r="B314" s="93" t="s">
        <v>279</v>
      </c>
      <c r="C314" s="94">
        <v>353</v>
      </c>
      <c r="D314" s="93" t="str">
        <f t="shared" si="11"/>
        <v>SUPERMIX353</v>
      </c>
      <c r="E314" s="115" t="s">
        <v>1041</v>
      </c>
      <c r="F314" s="115" t="s">
        <v>1042</v>
      </c>
      <c r="G314" s="93" t="s">
        <v>310</v>
      </c>
      <c r="H314" s="95">
        <v>41847624</v>
      </c>
      <c r="I314" s="95" t="s">
        <v>3788</v>
      </c>
      <c r="J314" s="95" t="s">
        <v>1067</v>
      </c>
      <c r="K314" s="93" t="s">
        <v>3142</v>
      </c>
      <c r="L314" s="96">
        <v>37557</v>
      </c>
      <c r="M314" s="96">
        <v>48079</v>
      </c>
      <c r="N314" s="93">
        <f t="shared" ca="1" si="12"/>
        <v>-1892</v>
      </c>
      <c r="O314" s="84" t="str">
        <f ca="1">IF(Tabla1[[#This Row],[|]]&gt;=0,"VENCIDA",IF(Tabla1[[#This Row],[|]]&gt;=-14,"POR VENCER","OK"))</f>
        <v>OK</v>
      </c>
      <c r="P314" s="95" t="s">
        <v>2827</v>
      </c>
      <c r="Q314" s="95" t="s">
        <v>312</v>
      </c>
      <c r="R314" s="93" t="s">
        <v>317</v>
      </c>
      <c r="S314" s="93"/>
      <c r="T314" s="93"/>
      <c r="U314" s="93"/>
      <c r="V314" s="93" t="s">
        <v>1025</v>
      </c>
      <c r="W314" s="97" t="s">
        <v>3515</v>
      </c>
      <c r="X314" s="204" t="s">
        <v>2913</v>
      </c>
    </row>
    <row r="315" spans="1:24" s="63" customFormat="1" ht="32.25" customHeight="1" x14ac:dyDescent="0.2">
      <c r="A315" s="202">
        <v>354</v>
      </c>
      <c r="B315" s="88" t="s">
        <v>279</v>
      </c>
      <c r="C315" s="89">
        <v>354</v>
      </c>
      <c r="D315" s="88" t="str">
        <f t="shared" si="11"/>
        <v>SUPERMIX354</v>
      </c>
      <c r="E315" s="58" t="s">
        <v>1043</v>
      </c>
      <c r="F315" s="58" t="s">
        <v>26</v>
      </c>
      <c r="G315" s="88" t="s">
        <v>25</v>
      </c>
      <c r="H315" s="90">
        <v>41909669</v>
      </c>
      <c r="I315" s="90" t="s">
        <v>3787</v>
      </c>
      <c r="J315" s="90" t="s">
        <v>1074</v>
      </c>
      <c r="K315" s="88" t="s">
        <v>281</v>
      </c>
      <c r="L315" s="91">
        <v>41452</v>
      </c>
      <c r="M315" s="91">
        <v>42548</v>
      </c>
      <c r="N315" s="88">
        <f t="shared" ca="1" si="12"/>
        <v>3639</v>
      </c>
      <c r="O315" s="84" t="str">
        <f ca="1">IF(Tabla1[[#This Row],[|]]&gt;=0,"VENCIDA",IF(Tabla1[[#This Row],[|]]&gt;=-14,"POR VENCER","OK"))</f>
        <v>VENCIDA</v>
      </c>
      <c r="P315" s="90"/>
      <c r="Q315" s="90" t="s">
        <v>312</v>
      </c>
      <c r="R315" s="88" t="s">
        <v>317</v>
      </c>
      <c r="S315" s="88"/>
      <c r="T315" s="88"/>
      <c r="U315" s="88"/>
      <c r="V315" s="88" t="s">
        <v>1025</v>
      </c>
      <c r="W315" s="92" t="s">
        <v>1082</v>
      </c>
      <c r="X315" s="203"/>
    </row>
    <row r="316" spans="1:24" s="63" customFormat="1" ht="32.25" customHeight="1" x14ac:dyDescent="0.2">
      <c r="A316" s="202">
        <v>355</v>
      </c>
      <c r="B316" s="88" t="s">
        <v>279</v>
      </c>
      <c r="C316" s="89">
        <v>355</v>
      </c>
      <c r="D316" s="88" t="str">
        <f t="shared" si="11"/>
        <v>SUPERMIX355</v>
      </c>
      <c r="E316" s="58" t="s">
        <v>3685</v>
      </c>
      <c r="F316" s="58" t="s">
        <v>1044</v>
      </c>
      <c r="G316" s="88" t="s">
        <v>25</v>
      </c>
      <c r="H316" s="90">
        <v>40144706</v>
      </c>
      <c r="I316" s="90" t="s">
        <v>3787</v>
      </c>
      <c r="J316" s="90" t="s">
        <v>1068</v>
      </c>
      <c r="K316" s="88" t="s">
        <v>281</v>
      </c>
      <c r="L316" s="91">
        <v>41324</v>
      </c>
      <c r="M316" s="91">
        <v>42419</v>
      </c>
      <c r="N316" s="88">
        <f t="shared" ca="1" si="12"/>
        <v>3768</v>
      </c>
      <c r="O316" s="84" t="str">
        <f ca="1">IF(Tabla1[[#This Row],[|]]&gt;=0,"VENCIDA",IF(Tabla1[[#This Row],[|]]&gt;=-14,"POR VENCER","OK"))</f>
        <v>VENCIDA</v>
      </c>
      <c r="P316" s="90" t="s">
        <v>1024</v>
      </c>
      <c r="Q316" s="90" t="s">
        <v>312</v>
      </c>
      <c r="R316" s="88" t="s">
        <v>317</v>
      </c>
      <c r="S316" s="88"/>
      <c r="T316" s="88"/>
      <c r="U316" s="88"/>
      <c r="V316" s="88" t="s">
        <v>1025</v>
      </c>
      <c r="W316" s="92" t="s">
        <v>1082</v>
      </c>
      <c r="X316" s="203"/>
    </row>
    <row r="317" spans="1:24" s="63" customFormat="1" ht="32.25" customHeight="1" x14ac:dyDescent="0.2">
      <c r="A317" s="202">
        <v>356</v>
      </c>
      <c r="B317" s="88" t="s">
        <v>279</v>
      </c>
      <c r="C317" s="89">
        <v>356</v>
      </c>
      <c r="D317" s="88" t="str">
        <f t="shared" si="11"/>
        <v>SUPERMIX356</v>
      </c>
      <c r="E317" s="58" t="s">
        <v>1045</v>
      </c>
      <c r="F317" s="58" t="s">
        <v>1046</v>
      </c>
      <c r="G317" s="88" t="s">
        <v>25</v>
      </c>
      <c r="H317" s="90">
        <v>25209867</v>
      </c>
      <c r="I317" s="90" t="s">
        <v>3787</v>
      </c>
      <c r="J317" s="90" t="s">
        <v>1078</v>
      </c>
      <c r="K317" s="88" t="s">
        <v>281</v>
      </c>
      <c r="L317" s="91">
        <v>41262</v>
      </c>
      <c r="M317" s="91">
        <v>42357</v>
      </c>
      <c r="N317" s="88">
        <f t="shared" ca="1" si="12"/>
        <v>3830</v>
      </c>
      <c r="O317" s="84" t="str">
        <f ca="1">IF(Tabla1[[#This Row],[|]]&gt;=0,"VENCIDA",IF(Tabla1[[#This Row],[|]]&gt;=-14,"POR VENCER","OK"))</f>
        <v>VENCIDA</v>
      </c>
      <c r="P317" s="90" t="s">
        <v>1024</v>
      </c>
      <c r="Q317" s="90" t="s">
        <v>312</v>
      </c>
      <c r="R317" s="88" t="s">
        <v>317</v>
      </c>
      <c r="S317" s="88"/>
      <c r="T317" s="88"/>
      <c r="U317" s="88"/>
      <c r="V317" s="88" t="s">
        <v>1025</v>
      </c>
      <c r="W317" s="92" t="s">
        <v>1082</v>
      </c>
      <c r="X317" s="203"/>
    </row>
    <row r="318" spans="1:24" s="63" customFormat="1" ht="32.25" customHeight="1" x14ac:dyDescent="0.2">
      <c r="A318" s="202">
        <v>357</v>
      </c>
      <c r="B318" s="88" t="s">
        <v>279</v>
      </c>
      <c r="C318" s="89">
        <v>357</v>
      </c>
      <c r="D318" s="88" t="str">
        <f t="shared" si="11"/>
        <v>SUPERMIX357</v>
      </c>
      <c r="E318" s="58" t="s">
        <v>1047</v>
      </c>
      <c r="F318" s="58" t="s">
        <v>359</v>
      </c>
      <c r="G318" s="88" t="s">
        <v>25</v>
      </c>
      <c r="H318" s="90">
        <v>24486548</v>
      </c>
      <c r="I318" s="90" t="s">
        <v>3787</v>
      </c>
      <c r="J318" s="90" t="s">
        <v>1064</v>
      </c>
      <c r="K318" s="88" t="s">
        <v>281</v>
      </c>
      <c r="L318" s="91">
        <v>41212</v>
      </c>
      <c r="M318" s="91">
        <v>44485</v>
      </c>
      <c r="N318" s="88">
        <f t="shared" ca="1" si="12"/>
        <v>1702</v>
      </c>
      <c r="O318" s="84" t="str">
        <f ca="1">IF(Tabla1[[#This Row],[|]]&gt;=0,"VENCIDA",IF(Tabla1[[#This Row],[|]]&gt;=-14,"POR VENCER","OK"))</f>
        <v>VENCIDA</v>
      </c>
      <c r="P318" s="90" t="s">
        <v>2790</v>
      </c>
      <c r="Q318" s="90" t="s">
        <v>312</v>
      </c>
      <c r="R318" s="88" t="s">
        <v>317</v>
      </c>
      <c r="S318" s="88"/>
      <c r="T318" s="88"/>
      <c r="U318" s="88"/>
      <c r="V318" s="88" t="s">
        <v>1939</v>
      </c>
      <c r="W318" s="92" t="s">
        <v>2772</v>
      </c>
      <c r="X318" s="203" t="s">
        <v>624</v>
      </c>
    </row>
    <row r="319" spans="1:24" s="63" customFormat="1" ht="32.25" customHeight="1" x14ac:dyDescent="0.2">
      <c r="A319" s="202">
        <v>358</v>
      </c>
      <c r="B319" s="88" t="s">
        <v>279</v>
      </c>
      <c r="C319" s="89">
        <v>358</v>
      </c>
      <c r="D319" s="88" t="str">
        <f t="shared" si="11"/>
        <v>SUPERMIX358</v>
      </c>
      <c r="E319" s="58" t="s">
        <v>1048</v>
      </c>
      <c r="F319" s="58" t="s">
        <v>1049</v>
      </c>
      <c r="G319" s="88" t="s">
        <v>25</v>
      </c>
      <c r="H319" s="90">
        <v>24367522</v>
      </c>
      <c r="I319" s="90" t="s">
        <v>3787</v>
      </c>
      <c r="J319" s="90" t="s">
        <v>1080</v>
      </c>
      <c r="K319" s="88" t="s">
        <v>281</v>
      </c>
      <c r="L319" s="91">
        <v>41401</v>
      </c>
      <c r="M319" s="91">
        <v>42497</v>
      </c>
      <c r="N319" s="88">
        <f t="shared" ca="1" si="12"/>
        <v>3690</v>
      </c>
      <c r="O319" s="84" t="str">
        <f ca="1">IF(Tabla1[[#This Row],[|]]&gt;=0,"VENCIDA",IF(Tabla1[[#This Row],[|]]&gt;=-14,"POR VENCER","OK"))</f>
        <v>VENCIDA</v>
      </c>
      <c r="P319" s="90" t="s">
        <v>1024</v>
      </c>
      <c r="Q319" s="90" t="s">
        <v>312</v>
      </c>
      <c r="R319" s="88" t="s">
        <v>317</v>
      </c>
      <c r="S319" s="88"/>
      <c r="T319" s="88"/>
      <c r="U319" s="88"/>
      <c r="V319" s="88" t="s">
        <v>1025</v>
      </c>
      <c r="W319" s="92" t="s">
        <v>1082</v>
      </c>
      <c r="X319" s="203"/>
    </row>
    <row r="320" spans="1:24" s="63" customFormat="1" ht="32.25" customHeight="1" x14ac:dyDescent="0.2">
      <c r="A320" s="202">
        <v>359</v>
      </c>
      <c r="B320" s="88" t="s">
        <v>279</v>
      </c>
      <c r="C320" s="89">
        <v>359</v>
      </c>
      <c r="D320" s="88" t="str">
        <f t="shared" si="11"/>
        <v>SUPERMIX359</v>
      </c>
      <c r="E320" s="58" t="s">
        <v>1050</v>
      </c>
      <c r="F320" s="58" t="s">
        <v>83</v>
      </c>
      <c r="G320" s="88" t="s">
        <v>25</v>
      </c>
      <c r="H320" s="90">
        <v>23978220</v>
      </c>
      <c r="I320" s="90" t="s">
        <v>3787</v>
      </c>
      <c r="J320" s="90" t="s">
        <v>1070</v>
      </c>
      <c r="K320" s="88" t="s">
        <v>343</v>
      </c>
      <c r="L320" s="91">
        <v>39002</v>
      </c>
      <c r="M320" s="91">
        <v>42640</v>
      </c>
      <c r="N320" s="88">
        <f t="shared" ca="1" si="12"/>
        <v>3547</v>
      </c>
      <c r="O320" s="84" t="str">
        <f ca="1">IF(Tabla1[[#This Row],[|]]&gt;=0,"VENCIDA",IF(Tabla1[[#This Row],[|]]&gt;=-14,"POR VENCER","OK"))</f>
        <v>VENCIDA</v>
      </c>
      <c r="P320" s="90" t="s">
        <v>640</v>
      </c>
      <c r="Q320" s="90" t="s">
        <v>312</v>
      </c>
      <c r="R320" s="88" t="s">
        <v>17</v>
      </c>
      <c r="S320" s="88"/>
      <c r="T320" s="88"/>
      <c r="U320" s="88"/>
      <c r="V320" s="88" t="s">
        <v>1025</v>
      </c>
      <c r="W320" s="92" t="s">
        <v>1082</v>
      </c>
      <c r="X320" s="203"/>
    </row>
    <row r="321" spans="1:24" s="63" customFormat="1" ht="32.25" customHeight="1" x14ac:dyDescent="0.2">
      <c r="A321" s="202">
        <v>360</v>
      </c>
      <c r="B321" s="88" t="s">
        <v>279</v>
      </c>
      <c r="C321" s="89">
        <v>360</v>
      </c>
      <c r="D321" s="88" t="str">
        <f t="shared" si="11"/>
        <v>SUPERMIX360</v>
      </c>
      <c r="E321" s="58" t="s">
        <v>1051</v>
      </c>
      <c r="F321" s="58" t="s">
        <v>1052</v>
      </c>
      <c r="G321" s="88" t="s">
        <v>25</v>
      </c>
      <c r="H321" s="90">
        <v>24709342</v>
      </c>
      <c r="I321" s="90" t="s">
        <v>3787</v>
      </c>
      <c r="J321" s="90" t="s">
        <v>1069</v>
      </c>
      <c r="K321" s="88" t="s">
        <v>281</v>
      </c>
      <c r="L321" s="91">
        <v>39002</v>
      </c>
      <c r="M321" s="91">
        <v>42624</v>
      </c>
      <c r="N321" s="88">
        <f t="shared" ca="1" si="12"/>
        <v>3563</v>
      </c>
      <c r="O321" s="84" t="str">
        <f ca="1">IF(Tabla1[[#This Row],[|]]&gt;=0,"VENCIDA",IF(Tabla1[[#This Row],[|]]&gt;=-14,"POR VENCER","OK"))</f>
        <v>VENCIDA</v>
      </c>
      <c r="P321" s="90" t="s">
        <v>1024</v>
      </c>
      <c r="Q321" s="90" t="s">
        <v>312</v>
      </c>
      <c r="R321" s="88" t="s">
        <v>17</v>
      </c>
      <c r="S321" s="88"/>
      <c r="T321" s="88"/>
      <c r="U321" s="88"/>
      <c r="V321" s="88" t="s">
        <v>1025</v>
      </c>
      <c r="W321" s="92" t="s">
        <v>1082</v>
      </c>
      <c r="X321" s="203"/>
    </row>
    <row r="322" spans="1:24" s="63" customFormat="1" ht="32.25" customHeight="1" x14ac:dyDescent="0.2">
      <c r="A322" s="202">
        <v>361</v>
      </c>
      <c r="B322" s="88" t="s">
        <v>279</v>
      </c>
      <c r="C322" s="89">
        <v>361</v>
      </c>
      <c r="D322" s="88" t="str">
        <f t="shared" si="11"/>
        <v>SUPERMIX361</v>
      </c>
      <c r="E322" s="58" t="s">
        <v>1053</v>
      </c>
      <c r="F322" s="58" t="s">
        <v>1054</v>
      </c>
      <c r="G322" s="88" t="s">
        <v>25</v>
      </c>
      <c r="H322" s="90">
        <v>44350128</v>
      </c>
      <c r="I322" s="90" t="s">
        <v>3787</v>
      </c>
      <c r="J322" s="90" t="s">
        <v>1065</v>
      </c>
      <c r="K322" s="88" t="s">
        <v>281</v>
      </c>
      <c r="L322" s="91">
        <v>41397</v>
      </c>
      <c r="M322" s="91">
        <v>42493</v>
      </c>
      <c r="N322" s="88">
        <f t="shared" ca="1" si="12"/>
        <v>3694</v>
      </c>
      <c r="O322" s="84" t="str">
        <f ca="1">IF(Tabla1[[#This Row],[|]]&gt;=0,"VENCIDA",IF(Tabla1[[#This Row],[|]]&gt;=-14,"POR VENCER","OK"))</f>
        <v>VENCIDA</v>
      </c>
      <c r="P322" s="90" t="s">
        <v>1024</v>
      </c>
      <c r="Q322" s="90" t="s">
        <v>312</v>
      </c>
      <c r="R322" s="88" t="s">
        <v>317</v>
      </c>
      <c r="S322" s="88"/>
      <c r="T322" s="88"/>
      <c r="U322" s="88"/>
      <c r="V322" s="88" t="s">
        <v>1025</v>
      </c>
      <c r="W322" s="92" t="s">
        <v>1082</v>
      </c>
      <c r="X322" s="203"/>
    </row>
    <row r="323" spans="1:24" s="63" customFormat="1" ht="32.25" customHeight="1" x14ac:dyDescent="0.2">
      <c r="A323" s="202">
        <v>362</v>
      </c>
      <c r="B323" s="88" t="s">
        <v>279</v>
      </c>
      <c r="C323" s="89">
        <v>362</v>
      </c>
      <c r="D323" s="88" t="str">
        <f t="shared" si="11"/>
        <v>SUPERMIX362</v>
      </c>
      <c r="E323" s="58" t="s">
        <v>1055</v>
      </c>
      <c r="F323" s="58" t="s">
        <v>661</v>
      </c>
      <c r="G323" s="88" t="s">
        <v>25</v>
      </c>
      <c r="H323" s="90" t="s">
        <v>1056</v>
      </c>
      <c r="I323" s="90" t="s">
        <v>3787</v>
      </c>
      <c r="J323" s="90" t="s">
        <v>1066</v>
      </c>
      <c r="K323" s="88" t="s">
        <v>281</v>
      </c>
      <c r="L323" s="91">
        <v>39449</v>
      </c>
      <c r="M323" s="91">
        <v>42927</v>
      </c>
      <c r="N323" s="88">
        <f t="shared" ca="1" si="12"/>
        <v>3260</v>
      </c>
      <c r="O323" s="84" t="str">
        <f ca="1">IF(Tabla1[[#This Row],[|]]&gt;=0,"VENCIDA",IF(Tabla1[[#This Row],[|]]&gt;=-14,"POR VENCER","OK"))</f>
        <v>VENCIDA</v>
      </c>
      <c r="P323" s="90" t="s">
        <v>1024</v>
      </c>
      <c r="Q323" s="90" t="s">
        <v>312</v>
      </c>
      <c r="R323" s="88" t="s">
        <v>317</v>
      </c>
      <c r="S323" s="88"/>
      <c r="T323" s="88"/>
      <c r="U323" s="88"/>
      <c r="V323" s="88" t="s">
        <v>1025</v>
      </c>
      <c r="W323" s="92" t="s">
        <v>1082</v>
      </c>
      <c r="X323" s="203"/>
    </row>
    <row r="324" spans="1:24" s="43" customFormat="1" ht="32.25" customHeight="1" x14ac:dyDescent="0.2">
      <c r="A324" s="42">
        <v>363</v>
      </c>
      <c r="B324" s="93" t="s">
        <v>279</v>
      </c>
      <c r="C324" s="94">
        <v>363</v>
      </c>
      <c r="D324" s="93" t="str">
        <f t="shared" si="11"/>
        <v>SUPERMIX363</v>
      </c>
      <c r="E324" s="115" t="s">
        <v>1057</v>
      </c>
      <c r="F324" s="115" t="s">
        <v>1058</v>
      </c>
      <c r="G324" s="93" t="s">
        <v>310</v>
      </c>
      <c r="H324" s="95">
        <v>23856509</v>
      </c>
      <c r="I324" s="95" t="s">
        <v>3788</v>
      </c>
      <c r="J324" s="95" t="s">
        <v>1077</v>
      </c>
      <c r="K324" s="93" t="s">
        <v>343</v>
      </c>
      <c r="L324" s="96">
        <v>33556</v>
      </c>
      <c r="M324" s="117">
        <v>42841</v>
      </c>
      <c r="N324" s="93">
        <f t="shared" ca="1" si="12"/>
        <v>3346</v>
      </c>
      <c r="O324" s="84" t="str">
        <f ca="1">IF(Tabla1[[#This Row],[|]]&gt;=0,"VENCIDA",IF(Tabla1[[#This Row],[|]]&gt;=-14,"POR VENCER","OK"))</f>
        <v>VENCIDA</v>
      </c>
      <c r="P324" s="95" t="s">
        <v>1059</v>
      </c>
      <c r="Q324" s="95" t="s">
        <v>312</v>
      </c>
      <c r="R324" s="93" t="s">
        <v>317</v>
      </c>
      <c r="S324" s="93"/>
      <c r="T324" s="93"/>
      <c r="U324" s="93"/>
      <c r="V324" s="93" t="s">
        <v>1025</v>
      </c>
      <c r="W324" s="97" t="s">
        <v>1082</v>
      </c>
      <c r="X324" s="204"/>
    </row>
    <row r="325" spans="1:24" s="43" customFormat="1" ht="32.25" customHeight="1" x14ac:dyDescent="0.2">
      <c r="A325" s="42">
        <v>364</v>
      </c>
      <c r="B325" s="93" t="s">
        <v>279</v>
      </c>
      <c r="C325" s="94">
        <v>364</v>
      </c>
      <c r="D325" s="93" t="str">
        <f t="shared" si="11"/>
        <v>SUPERMIX364</v>
      </c>
      <c r="E325" s="115" t="s">
        <v>1061</v>
      </c>
      <c r="F325" s="115" t="s">
        <v>60</v>
      </c>
      <c r="G325" s="93" t="s">
        <v>310</v>
      </c>
      <c r="H325" s="95">
        <v>41312430</v>
      </c>
      <c r="I325" s="95" t="s">
        <v>3788</v>
      </c>
      <c r="J325" s="95" t="s">
        <v>1076</v>
      </c>
      <c r="K325" s="93" t="s">
        <v>281</v>
      </c>
      <c r="L325" s="96">
        <v>41200</v>
      </c>
      <c r="M325" s="96">
        <v>46323</v>
      </c>
      <c r="N325" s="93">
        <f t="shared" ca="1" si="12"/>
        <v>-136</v>
      </c>
      <c r="O325" s="84" t="str">
        <f ca="1">IF(Tabla1[[#This Row],[|]]&gt;=0,"VENCIDA",IF(Tabla1[[#This Row],[|]]&gt;=-14,"POR VENCER","OK"))</f>
        <v>OK</v>
      </c>
      <c r="P325" s="95" t="s">
        <v>3959</v>
      </c>
      <c r="Q325" s="95" t="s">
        <v>312</v>
      </c>
      <c r="R325" s="93" t="s">
        <v>317</v>
      </c>
      <c r="S325" s="93"/>
      <c r="T325" s="93"/>
      <c r="U325" s="93"/>
      <c r="V325" s="93" t="s">
        <v>1025</v>
      </c>
      <c r="W325" s="97" t="s">
        <v>1082</v>
      </c>
      <c r="X325" s="204" t="s">
        <v>640</v>
      </c>
    </row>
    <row r="326" spans="1:24" s="43" customFormat="1" ht="32.25" customHeight="1" x14ac:dyDescent="0.2">
      <c r="A326" s="42">
        <v>365</v>
      </c>
      <c r="B326" s="93" t="s">
        <v>279</v>
      </c>
      <c r="C326" s="94">
        <v>365</v>
      </c>
      <c r="D326" s="93" t="str">
        <f>CONCATENATE(B326,C326)</f>
        <v>SUPERMIX365</v>
      </c>
      <c r="E326" s="115" t="s">
        <v>1084</v>
      </c>
      <c r="F326" s="115" t="s">
        <v>570</v>
      </c>
      <c r="G326" s="93" t="s">
        <v>25</v>
      </c>
      <c r="H326" s="95">
        <v>29713533</v>
      </c>
      <c r="I326" s="95" t="s">
        <v>3788</v>
      </c>
      <c r="J326" s="95" t="s">
        <v>1085</v>
      </c>
      <c r="K326" s="93" t="s">
        <v>281</v>
      </c>
      <c r="L326" s="96">
        <v>40816</v>
      </c>
      <c r="M326" s="96">
        <v>45965</v>
      </c>
      <c r="N326" s="93">
        <f t="shared" ref="N326:N385" ca="1" si="13">TODAY()-M326</f>
        <v>222</v>
      </c>
      <c r="O326" s="84" t="str">
        <f ca="1">IF(Tabla1[[#This Row],[|]]&gt;=0,"VENCIDA",IF(Tabla1[[#This Row],[|]]&gt;=-14,"POR VENCER","OK"))</f>
        <v>VENCIDA</v>
      </c>
      <c r="P326" s="95" t="s">
        <v>3329</v>
      </c>
      <c r="Q326" s="95" t="s">
        <v>312</v>
      </c>
      <c r="R326" s="93" t="s">
        <v>17</v>
      </c>
      <c r="S326" s="93"/>
      <c r="T326" s="93"/>
      <c r="U326" s="93"/>
      <c r="V326" s="93" t="s">
        <v>1086</v>
      </c>
      <c r="W326" s="97" t="s">
        <v>2864</v>
      </c>
      <c r="X326" s="204" t="s">
        <v>824</v>
      </c>
    </row>
    <row r="327" spans="1:24" s="45" customFormat="1" ht="32.25" customHeight="1" x14ac:dyDescent="0.2">
      <c r="A327" s="42">
        <v>366</v>
      </c>
      <c r="B327" s="93" t="s">
        <v>279</v>
      </c>
      <c r="C327" s="94">
        <v>366</v>
      </c>
      <c r="D327" s="93" t="str">
        <f>CONCATENATE(B327,C327)</f>
        <v>SUPERMIX366</v>
      </c>
      <c r="E327" s="115" t="s">
        <v>1062</v>
      </c>
      <c r="F327" s="115" t="s">
        <v>1063</v>
      </c>
      <c r="G327" s="93" t="s">
        <v>25</v>
      </c>
      <c r="H327" s="95">
        <v>29562699</v>
      </c>
      <c r="I327" s="95" t="s">
        <v>3788</v>
      </c>
      <c r="J327" s="95" t="s">
        <v>1089</v>
      </c>
      <c r="K327" s="93" t="s">
        <v>3142</v>
      </c>
      <c r="L327" s="96">
        <v>38720</v>
      </c>
      <c r="M327" s="117">
        <v>48585</v>
      </c>
      <c r="N327" s="93">
        <f t="shared" ca="1" si="13"/>
        <v>-2398</v>
      </c>
      <c r="O327" s="84" t="str">
        <f ca="1">IF(Tabla1[[#This Row],[|]]&gt;=0,"VENCIDA",IF(Tabla1[[#This Row],[|]]&gt;=-14,"POR VENCER","OK"))</f>
        <v>OK</v>
      </c>
      <c r="P327" s="95" t="s">
        <v>2827</v>
      </c>
      <c r="Q327" s="95" t="s">
        <v>312</v>
      </c>
      <c r="R327" s="93" t="s">
        <v>317</v>
      </c>
      <c r="S327" s="93"/>
      <c r="T327" s="93"/>
      <c r="U327" s="93"/>
      <c r="V327" s="93" t="s">
        <v>668</v>
      </c>
      <c r="W327" s="97" t="s">
        <v>1112</v>
      </c>
      <c r="X327" s="204"/>
    </row>
    <row r="328" spans="1:24" s="63" customFormat="1" ht="32.25" customHeight="1" x14ac:dyDescent="0.2">
      <c r="A328" s="202">
        <v>367</v>
      </c>
      <c r="B328" s="88" t="s">
        <v>279</v>
      </c>
      <c r="C328" s="89">
        <v>367</v>
      </c>
      <c r="D328" s="88" t="str">
        <f t="shared" ref="D328:D391" si="14">CONCATENATE(B328,C328)</f>
        <v>SUPERMIX367</v>
      </c>
      <c r="E328" s="58" t="s">
        <v>1087</v>
      </c>
      <c r="F328" s="58" t="s">
        <v>1088</v>
      </c>
      <c r="G328" s="88" t="s">
        <v>25</v>
      </c>
      <c r="H328" s="90">
        <v>41480335</v>
      </c>
      <c r="I328" s="90" t="s">
        <v>3787</v>
      </c>
      <c r="J328" s="90" t="s">
        <v>1090</v>
      </c>
      <c r="K328" s="88" t="s">
        <v>3142</v>
      </c>
      <c r="L328" s="91">
        <v>40277</v>
      </c>
      <c r="M328" s="91">
        <v>43199</v>
      </c>
      <c r="N328" s="88">
        <f t="shared" ca="1" si="13"/>
        <v>2988</v>
      </c>
      <c r="O328" s="84" t="str">
        <f ca="1">IF(Tabla1[[#This Row],[|]]&gt;=0,"VENCIDA",IF(Tabla1[[#This Row],[|]]&gt;=-14,"POR VENCER","OK"))</f>
        <v>VENCIDA</v>
      </c>
      <c r="P328" s="90" t="s">
        <v>1059</v>
      </c>
      <c r="Q328" s="90" t="s">
        <v>312</v>
      </c>
      <c r="R328" s="88" t="s">
        <v>17</v>
      </c>
      <c r="S328" s="88"/>
      <c r="T328" s="88"/>
      <c r="U328" s="88"/>
      <c r="V328" s="88" t="s">
        <v>1981</v>
      </c>
      <c r="W328" s="92" t="s">
        <v>919</v>
      </c>
      <c r="X328" s="203"/>
    </row>
    <row r="329" spans="1:24" s="63" customFormat="1" ht="32.25" customHeight="1" x14ac:dyDescent="0.2">
      <c r="A329" s="202">
        <v>368</v>
      </c>
      <c r="B329" s="88" t="s">
        <v>279</v>
      </c>
      <c r="C329" s="89">
        <v>368</v>
      </c>
      <c r="D329" s="88" t="str">
        <f t="shared" si="14"/>
        <v>SUPERMIX368</v>
      </c>
      <c r="E329" s="58" t="s">
        <v>1091</v>
      </c>
      <c r="F329" s="58" t="s">
        <v>1092</v>
      </c>
      <c r="G329" s="88" t="s">
        <v>25</v>
      </c>
      <c r="H329" s="90">
        <v>45276954</v>
      </c>
      <c r="I329" s="90" t="s">
        <v>3787</v>
      </c>
      <c r="J329" s="90" t="s">
        <v>1093</v>
      </c>
      <c r="K329" s="88" t="s">
        <v>877</v>
      </c>
      <c r="L329" s="91">
        <v>41726</v>
      </c>
      <c r="M329" s="91">
        <v>42822</v>
      </c>
      <c r="N329" s="88">
        <f t="shared" ca="1" si="13"/>
        <v>3365</v>
      </c>
      <c r="O329" s="84" t="str">
        <f ca="1">IF(Tabla1[[#This Row],[|]]&gt;=0,"VENCIDA",IF(Tabla1[[#This Row],[|]]&gt;=-14,"POR VENCER","OK"))</f>
        <v>VENCIDA</v>
      </c>
      <c r="P329" s="90" t="s">
        <v>1059</v>
      </c>
      <c r="Q329" s="90" t="s">
        <v>312</v>
      </c>
      <c r="R329" s="88" t="s">
        <v>317</v>
      </c>
      <c r="S329" s="88"/>
      <c r="T329" s="88"/>
      <c r="U329" s="88"/>
      <c r="V329" s="88" t="s">
        <v>1094</v>
      </c>
      <c r="W329" s="92" t="s">
        <v>1095</v>
      </c>
      <c r="X329" s="203"/>
    </row>
    <row r="330" spans="1:24" s="43" customFormat="1" ht="32.25" customHeight="1" x14ac:dyDescent="0.2">
      <c r="A330" s="42">
        <v>369</v>
      </c>
      <c r="B330" s="93" t="s">
        <v>279</v>
      </c>
      <c r="C330" s="94">
        <v>369</v>
      </c>
      <c r="D330" s="93" t="str">
        <f t="shared" si="14"/>
        <v>SUPERMIX369</v>
      </c>
      <c r="E330" s="115" t="s">
        <v>1096</v>
      </c>
      <c r="F330" s="115" t="s">
        <v>1097</v>
      </c>
      <c r="G330" s="93" t="s">
        <v>25</v>
      </c>
      <c r="H330" s="95">
        <v>44744214</v>
      </c>
      <c r="I330" s="95" t="s">
        <v>3788</v>
      </c>
      <c r="J330" s="95" t="s">
        <v>1098</v>
      </c>
      <c r="K330" s="93" t="s">
        <v>3142</v>
      </c>
      <c r="L330" s="96">
        <v>38740</v>
      </c>
      <c r="M330" s="96">
        <v>48209</v>
      </c>
      <c r="N330" s="93">
        <f t="shared" ca="1" si="13"/>
        <v>-2022</v>
      </c>
      <c r="O330" s="84" t="str">
        <f ca="1">IF(Tabla1[[#This Row],[|]]&gt;=0,"VENCIDA",IF(Tabla1[[#This Row],[|]]&gt;=-14,"POR VENCER","OK"))</f>
        <v>OK</v>
      </c>
      <c r="P330" s="95" t="s">
        <v>2827</v>
      </c>
      <c r="Q330" s="95" t="s">
        <v>312</v>
      </c>
      <c r="R330" s="93" t="s">
        <v>17</v>
      </c>
      <c r="S330" s="93"/>
      <c r="T330" s="93"/>
      <c r="U330" s="93"/>
      <c r="V330" s="93" t="s">
        <v>3547</v>
      </c>
      <c r="W330" s="97" t="s">
        <v>3418</v>
      </c>
      <c r="X330" s="204" t="s">
        <v>3548</v>
      </c>
    </row>
    <row r="331" spans="1:24" s="63" customFormat="1" ht="32.25" customHeight="1" x14ac:dyDescent="0.2">
      <c r="A331" s="202">
        <v>370</v>
      </c>
      <c r="B331" s="88" t="s">
        <v>279</v>
      </c>
      <c r="C331" s="89">
        <v>370</v>
      </c>
      <c r="D331" s="88" t="str">
        <f t="shared" si="14"/>
        <v>SUPERMIX370</v>
      </c>
      <c r="E331" s="58" t="s">
        <v>1099</v>
      </c>
      <c r="F331" s="58" t="s">
        <v>1100</v>
      </c>
      <c r="G331" s="88" t="s">
        <v>25</v>
      </c>
      <c r="H331" s="90">
        <v>40103872</v>
      </c>
      <c r="I331" s="90" t="s">
        <v>3787</v>
      </c>
      <c r="J331" s="90" t="s">
        <v>1101</v>
      </c>
      <c r="K331" s="88" t="s">
        <v>281</v>
      </c>
      <c r="L331" s="91">
        <v>41785</v>
      </c>
      <c r="M331" s="91">
        <v>42881</v>
      </c>
      <c r="N331" s="88">
        <f t="shared" ca="1" si="13"/>
        <v>3306</v>
      </c>
      <c r="O331" s="84" t="str">
        <f ca="1">IF(Tabla1[[#This Row],[|]]&gt;=0,"VENCIDA",IF(Tabla1[[#This Row],[|]]&gt;=-14,"POR VENCER","OK"))</f>
        <v>VENCIDA</v>
      </c>
      <c r="P331" s="90" t="s">
        <v>1027</v>
      </c>
      <c r="Q331" s="90" t="s">
        <v>312</v>
      </c>
      <c r="R331" s="88" t="s">
        <v>317</v>
      </c>
      <c r="S331" s="88"/>
      <c r="T331" s="88"/>
      <c r="U331" s="88"/>
      <c r="V331" s="88" t="s">
        <v>1102</v>
      </c>
      <c r="W331" s="92" t="s">
        <v>907</v>
      </c>
      <c r="X331" s="203"/>
    </row>
    <row r="332" spans="1:24" s="43" customFormat="1" ht="32.25" customHeight="1" x14ac:dyDescent="0.2">
      <c r="A332" s="42">
        <v>371</v>
      </c>
      <c r="B332" s="93" t="s">
        <v>279</v>
      </c>
      <c r="C332" s="94">
        <v>371</v>
      </c>
      <c r="D332" s="93" t="str">
        <f t="shared" si="14"/>
        <v>SUPERMIX371</v>
      </c>
      <c r="E332" s="115" t="s">
        <v>1103</v>
      </c>
      <c r="F332" s="115" t="s">
        <v>1108</v>
      </c>
      <c r="G332" s="93" t="s">
        <v>25</v>
      </c>
      <c r="H332" s="95">
        <v>41995141</v>
      </c>
      <c r="I332" s="95" t="s">
        <v>3788</v>
      </c>
      <c r="J332" s="93" t="s">
        <v>1104</v>
      </c>
      <c r="K332" s="93" t="s">
        <v>3142</v>
      </c>
      <c r="L332" s="96">
        <v>40115</v>
      </c>
      <c r="M332" s="96">
        <v>46767</v>
      </c>
      <c r="N332" s="93">
        <f t="shared" ca="1" si="13"/>
        <v>-580</v>
      </c>
      <c r="O332" s="84" t="str">
        <f ca="1">IF(Tabla1[[#This Row],[|]]&gt;=0,"VENCIDA",IF(Tabla1[[#This Row],[|]]&gt;=-14,"POR VENCER","OK"))</f>
        <v>OK</v>
      </c>
      <c r="P332" s="95" t="s">
        <v>2638</v>
      </c>
      <c r="Q332" s="95" t="s">
        <v>312</v>
      </c>
      <c r="R332" s="93" t="s">
        <v>17</v>
      </c>
      <c r="S332" s="93"/>
      <c r="T332" s="93"/>
      <c r="U332" s="93"/>
      <c r="V332" s="93" t="s">
        <v>1102</v>
      </c>
      <c r="W332" s="97" t="s">
        <v>907</v>
      </c>
      <c r="X332" s="204"/>
    </row>
    <row r="333" spans="1:24" s="63" customFormat="1" ht="32.25" customHeight="1" x14ac:dyDescent="0.2">
      <c r="A333" s="202">
        <v>372</v>
      </c>
      <c r="B333" s="88" t="s">
        <v>279</v>
      </c>
      <c r="C333" s="89">
        <v>372</v>
      </c>
      <c r="D333" s="88" t="str">
        <f t="shared" si="14"/>
        <v>SUPERMIX372</v>
      </c>
      <c r="E333" s="58" t="s">
        <v>1105</v>
      </c>
      <c r="F333" s="58" t="s">
        <v>796</v>
      </c>
      <c r="G333" s="88" t="s">
        <v>25</v>
      </c>
      <c r="H333" s="90">
        <v>40213727</v>
      </c>
      <c r="I333" s="90" t="s">
        <v>3787</v>
      </c>
      <c r="J333" s="90" t="s">
        <v>1106</v>
      </c>
      <c r="K333" s="88" t="s">
        <v>3142</v>
      </c>
      <c r="L333" s="91">
        <v>36762</v>
      </c>
      <c r="M333" s="91">
        <v>46152</v>
      </c>
      <c r="N333" s="88">
        <f t="shared" ca="1" si="13"/>
        <v>35</v>
      </c>
      <c r="O333" s="84" t="str">
        <f ca="1">IF(Tabla1[[#This Row],[|]]&gt;=0,"VENCIDA",IF(Tabla1[[#This Row],[|]]&gt;=-14,"POR VENCER","OK"))</f>
        <v>VENCIDA</v>
      </c>
      <c r="P333" s="90" t="s">
        <v>824</v>
      </c>
      <c r="Q333" s="90" t="s">
        <v>312</v>
      </c>
      <c r="R333" s="88" t="s">
        <v>317</v>
      </c>
      <c r="S333" s="88"/>
      <c r="T333" s="88"/>
      <c r="U333" s="88"/>
      <c r="V333" s="88" t="s">
        <v>836</v>
      </c>
      <c r="W333" s="92" t="s">
        <v>902</v>
      </c>
      <c r="X333" s="203"/>
    </row>
    <row r="334" spans="1:24" s="63" customFormat="1" ht="32.25" customHeight="1" x14ac:dyDescent="0.2">
      <c r="A334" s="202">
        <v>373</v>
      </c>
      <c r="B334" s="88" t="s">
        <v>279</v>
      </c>
      <c r="C334" s="89">
        <v>373</v>
      </c>
      <c r="D334" s="88" t="str">
        <f t="shared" si="14"/>
        <v>SUPERMIX373</v>
      </c>
      <c r="E334" s="58" t="s">
        <v>1109</v>
      </c>
      <c r="F334" s="58" t="s">
        <v>1110</v>
      </c>
      <c r="G334" s="88" t="s">
        <v>25</v>
      </c>
      <c r="H334" s="90">
        <v>42970276</v>
      </c>
      <c r="I334" s="90" t="s">
        <v>3787</v>
      </c>
      <c r="J334" s="90" t="s">
        <v>1111</v>
      </c>
      <c r="K334" s="88" t="s">
        <v>281</v>
      </c>
      <c r="L334" s="91">
        <v>41773</v>
      </c>
      <c r="M334" s="91">
        <v>42869</v>
      </c>
      <c r="N334" s="88">
        <f t="shared" ca="1" si="13"/>
        <v>3318</v>
      </c>
      <c r="O334" s="84" t="str">
        <f ca="1">IF(Tabla1[[#This Row],[|]]&gt;=0,"VENCIDA",IF(Tabla1[[#This Row],[|]]&gt;=-14,"POR VENCER","OK"))</f>
        <v>VENCIDA</v>
      </c>
      <c r="P334" s="90" t="s">
        <v>640</v>
      </c>
      <c r="Q334" s="90" t="s">
        <v>312</v>
      </c>
      <c r="R334" s="88" t="s">
        <v>317</v>
      </c>
      <c r="S334" s="88"/>
      <c r="T334" s="88"/>
      <c r="U334" s="88"/>
      <c r="V334" s="88" t="s">
        <v>282</v>
      </c>
      <c r="W334" s="92" t="s">
        <v>1112</v>
      </c>
      <c r="X334" s="203"/>
    </row>
    <row r="335" spans="1:24" s="63" customFormat="1" ht="32.25" customHeight="1" x14ac:dyDescent="0.2">
      <c r="A335" s="202">
        <v>374</v>
      </c>
      <c r="B335" s="88" t="s">
        <v>279</v>
      </c>
      <c r="C335" s="89">
        <v>374</v>
      </c>
      <c r="D335" s="88" t="str">
        <f t="shared" si="14"/>
        <v>SUPERMIX374</v>
      </c>
      <c r="E335" s="58" t="s">
        <v>608</v>
      </c>
      <c r="F335" s="58" t="s">
        <v>609</v>
      </c>
      <c r="G335" s="88" t="s">
        <v>25</v>
      </c>
      <c r="H335" s="99" t="s">
        <v>610</v>
      </c>
      <c r="I335" s="99" t="s">
        <v>3787</v>
      </c>
      <c r="J335" s="99" t="s">
        <v>1113</v>
      </c>
      <c r="K335" s="88" t="s">
        <v>281</v>
      </c>
      <c r="L335" s="91">
        <v>37866</v>
      </c>
      <c r="M335" s="91">
        <v>44318</v>
      </c>
      <c r="N335" s="88">
        <f t="shared" ca="1" si="13"/>
        <v>1869</v>
      </c>
      <c r="O335" s="84" t="str">
        <f ca="1">IF(Tabla1[[#This Row],[|]]&gt;=0,"VENCIDA",IF(Tabla1[[#This Row],[|]]&gt;=-14,"POR VENCER","OK"))</f>
        <v>VENCIDA</v>
      </c>
      <c r="P335" s="90" t="s">
        <v>2720</v>
      </c>
      <c r="Q335" s="90" t="s">
        <v>312</v>
      </c>
      <c r="R335" s="88" t="s">
        <v>17</v>
      </c>
      <c r="S335" s="88"/>
      <c r="T335" s="88"/>
      <c r="U335" s="88"/>
      <c r="V335" s="88" t="s">
        <v>334</v>
      </c>
      <c r="W335" s="92" t="s">
        <v>971</v>
      </c>
      <c r="X335" s="203"/>
    </row>
    <row r="336" spans="1:24" s="43" customFormat="1" ht="32.25" customHeight="1" x14ac:dyDescent="0.2">
      <c r="A336" s="42">
        <v>375</v>
      </c>
      <c r="B336" s="93" t="s">
        <v>279</v>
      </c>
      <c r="C336" s="94">
        <v>375</v>
      </c>
      <c r="D336" s="93" t="str">
        <f t="shared" si="14"/>
        <v>SUPERMIX375</v>
      </c>
      <c r="E336" s="115" t="s">
        <v>3031</v>
      </c>
      <c r="F336" s="115" t="s">
        <v>3032</v>
      </c>
      <c r="G336" s="93" t="s">
        <v>25</v>
      </c>
      <c r="H336" s="95">
        <v>29721333</v>
      </c>
      <c r="I336" s="95" t="s">
        <v>3788</v>
      </c>
      <c r="J336" s="95" t="s">
        <v>1114</v>
      </c>
      <c r="K336" s="93" t="s">
        <v>1834</v>
      </c>
      <c r="L336" s="96">
        <v>37236</v>
      </c>
      <c r="M336" s="96">
        <v>46448</v>
      </c>
      <c r="N336" s="93">
        <f t="shared" ca="1" si="13"/>
        <v>-261</v>
      </c>
      <c r="O336" s="84" t="str">
        <f ca="1">IF(Tabla1[[#This Row],[|]]&gt;=0,"VENCIDA",IF(Tabla1[[#This Row],[|]]&gt;=-14,"POR VENCER","OK"))</f>
        <v>OK</v>
      </c>
      <c r="P336" s="95" t="s">
        <v>2909</v>
      </c>
      <c r="Q336" s="95" t="s">
        <v>312</v>
      </c>
      <c r="R336" s="93" t="s">
        <v>317</v>
      </c>
      <c r="S336" s="93"/>
      <c r="T336" s="93"/>
      <c r="U336" s="93"/>
      <c r="V336" s="93" t="s">
        <v>282</v>
      </c>
      <c r="W336" s="97" t="s">
        <v>2776</v>
      </c>
      <c r="X336" s="204" t="s">
        <v>597</v>
      </c>
    </row>
    <row r="337" spans="1:24" s="63" customFormat="1" ht="32.25" customHeight="1" x14ac:dyDescent="0.2">
      <c r="A337" s="202">
        <v>376</v>
      </c>
      <c r="B337" s="88" t="s">
        <v>279</v>
      </c>
      <c r="C337" s="89">
        <v>376</v>
      </c>
      <c r="D337" s="88" t="str">
        <f t="shared" si="14"/>
        <v>SUPERMIX376</v>
      </c>
      <c r="E337" s="58" t="s">
        <v>51</v>
      </c>
      <c r="F337" s="58" t="s">
        <v>52</v>
      </c>
      <c r="G337" s="88" t="s">
        <v>25</v>
      </c>
      <c r="H337" s="90">
        <v>29399582</v>
      </c>
      <c r="I337" s="90" t="s">
        <v>3787</v>
      </c>
      <c r="J337" s="90" t="s">
        <v>1115</v>
      </c>
      <c r="K337" s="88" t="s">
        <v>281</v>
      </c>
      <c r="L337" s="91">
        <v>29754</v>
      </c>
      <c r="M337" s="91">
        <v>44183</v>
      </c>
      <c r="N337" s="88">
        <f t="shared" ca="1" si="13"/>
        <v>2004</v>
      </c>
      <c r="O337" s="84" t="str">
        <f ca="1">IF(Tabla1[[#This Row],[|]]&gt;=0,"VENCIDA",IF(Tabla1[[#This Row],[|]]&gt;=-14,"POR VENCER","OK"))</f>
        <v>VENCIDA</v>
      </c>
      <c r="P337" s="90" t="s">
        <v>3302</v>
      </c>
      <c r="Q337" s="90" t="s">
        <v>312</v>
      </c>
      <c r="R337" s="88" t="s">
        <v>17</v>
      </c>
      <c r="S337" s="88"/>
      <c r="T337" s="88"/>
      <c r="U337" s="88"/>
      <c r="V337" s="88" t="s">
        <v>811</v>
      </c>
      <c r="W337" s="92" t="s">
        <v>525</v>
      </c>
      <c r="X337" s="203" t="s">
        <v>597</v>
      </c>
    </row>
    <row r="338" spans="1:24" s="63" customFormat="1" ht="32.25" customHeight="1" x14ac:dyDescent="0.2">
      <c r="A338" s="202">
        <v>377</v>
      </c>
      <c r="B338" s="88" t="s">
        <v>279</v>
      </c>
      <c r="C338" s="89">
        <v>377</v>
      </c>
      <c r="D338" s="88" t="str">
        <f t="shared" si="14"/>
        <v>SUPERMIX377</v>
      </c>
      <c r="E338" s="58" t="s">
        <v>2899</v>
      </c>
      <c r="F338" s="58" t="s">
        <v>609</v>
      </c>
      <c r="G338" s="88" t="s">
        <v>25</v>
      </c>
      <c r="H338" s="90">
        <v>43040928</v>
      </c>
      <c r="I338" s="90" t="s">
        <v>3787</v>
      </c>
      <c r="J338" s="90" t="s">
        <v>1116</v>
      </c>
      <c r="K338" s="88" t="s">
        <v>281</v>
      </c>
      <c r="L338" s="91">
        <v>42160</v>
      </c>
      <c r="M338" s="91">
        <v>44365</v>
      </c>
      <c r="N338" s="88">
        <f t="shared" ca="1" si="13"/>
        <v>1822</v>
      </c>
      <c r="O338" s="84" t="str">
        <f ca="1">IF(Tabla1[[#This Row],[|]]&gt;=0,"VENCIDA",IF(Tabla1[[#This Row],[|]]&gt;=-14,"POR VENCER","OK"))</f>
        <v>VENCIDA</v>
      </c>
      <c r="P338" s="90" t="s">
        <v>2778</v>
      </c>
      <c r="Q338" s="90" t="s">
        <v>312</v>
      </c>
      <c r="R338" s="88" t="s">
        <v>317</v>
      </c>
      <c r="S338" s="88"/>
      <c r="T338" s="88"/>
      <c r="U338" s="88"/>
      <c r="V338" s="88" t="s">
        <v>811</v>
      </c>
      <c r="W338" s="92" t="s">
        <v>525</v>
      </c>
      <c r="X338" s="203" t="s">
        <v>2822</v>
      </c>
    </row>
    <row r="339" spans="1:24" s="72" customFormat="1" ht="32.25" customHeight="1" x14ac:dyDescent="0.2">
      <c r="A339" s="207">
        <v>378</v>
      </c>
      <c r="B339" s="123" t="s">
        <v>279</v>
      </c>
      <c r="C339" s="124">
        <v>378</v>
      </c>
      <c r="D339" s="123" t="str">
        <f t="shared" si="14"/>
        <v>SUPERMIX378</v>
      </c>
      <c r="E339" s="167" t="s">
        <v>1117</v>
      </c>
      <c r="F339" s="167" t="s">
        <v>1118</v>
      </c>
      <c r="G339" s="123" t="s">
        <v>25</v>
      </c>
      <c r="H339" s="125">
        <v>29626803</v>
      </c>
      <c r="I339" s="125" t="s">
        <v>3787</v>
      </c>
      <c r="J339" s="125" t="s">
        <v>1119</v>
      </c>
      <c r="K339" s="123" t="s">
        <v>281</v>
      </c>
      <c r="L339" s="127">
        <v>42115</v>
      </c>
      <c r="M339" s="127">
        <v>43211</v>
      </c>
      <c r="N339" s="123">
        <f t="shared" ca="1" si="13"/>
        <v>2976</v>
      </c>
      <c r="O339" s="135" t="str">
        <f ca="1">IF(Tabla1[[#This Row],[|]]&gt;=0,"VENCIDA",IF(Tabla1[[#This Row],[|]]&gt;=-14,"POR VENCER","OK"))</f>
        <v>VENCIDA</v>
      </c>
      <c r="P339" s="125" t="s">
        <v>640</v>
      </c>
      <c r="Q339" s="125" t="s">
        <v>312</v>
      </c>
      <c r="R339" s="123" t="s">
        <v>317</v>
      </c>
      <c r="S339" s="93"/>
      <c r="T339" s="93"/>
      <c r="U339" s="93"/>
      <c r="V339" s="123" t="s">
        <v>986</v>
      </c>
      <c r="W339" s="126" t="s">
        <v>1350</v>
      </c>
      <c r="X339" s="208"/>
    </row>
    <row r="340" spans="1:24" s="63" customFormat="1" ht="32.25" customHeight="1" x14ac:dyDescent="0.2">
      <c r="A340" s="202">
        <v>379</v>
      </c>
      <c r="B340" s="88" t="s">
        <v>279</v>
      </c>
      <c r="C340" s="89">
        <v>379</v>
      </c>
      <c r="D340" s="88" t="str">
        <f t="shared" si="14"/>
        <v>SUPERMIX379</v>
      </c>
      <c r="E340" s="58" t="s">
        <v>1120</v>
      </c>
      <c r="F340" s="58" t="s">
        <v>1121</v>
      </c>
      <c r="G340" s="88" t="s">
        <v>25</v>
      </c>
      <c r="H340" s="90">
        <v>47417536</v>
      </c>
      <c r="I340" s="90" t="s">
        <v>3787</v>
      </c>
      <c r="J340" s="90">
        <v>47417536</v>
      </c>
      <c r="K340" s="88" t="s">
        <v>3793</v>
      </c>
      <c r="L340" s="91">
        <v>44874</v>
      </c>
      <c r="M340" s="91">
        <v>48527</v>
      </c>
      <c r="N340" s="88">
        <f t="shared" ca="1" si="13"/>
        <v>-2340</v>
      </c>
      <c r="O340" s="84" t="str">
        <f ca="1">IF(Tabla1[[#This Row],[|]]&gt;=0,"VENCIDA",IF(Tabla1[[#This Row],[|]]&gt;=-14,"POR VENCER","OK"))</f>
        <v>OK</v>
      </c>
      <c r="P340" s="90" t="s">
        <v>823</v>
      </c>
      <c r="Q340" s="90" t="s">
        <v>312</v>
      </c>
      <c r="R340" s="88" t="s">
        <v>317</v>
      </c>
      <c r="S340" s="88"/>
      <c r="T340" s="88"/>
      <c r="U340" s="88"/>
      <c r="V340" s="88" t="s">
        <v>668</v>
      </c>
      <c r="W340" s="92" t="s">
        <v>1122</v>
      </c>
      <c r="X340" s="203"/>
    </row>
    <row r="341" spans="1:24" s="63" customFormat="1" ht="32.25" customHeight="1" x14ac:dyDescent="0.2">
      <c r="A341" s="202">
        <v>380</v>
      </c>
      <c r="B341" s="88" t="s">
        <v>279</v>
      </c>
      <c r="C341" s="89">
        <v>380</v>
      </c>
      <c r="D341" s="88" t="str">
        <f t="shared" si="14"/>
        <v>SUPERMIX380</v>
      </c>
      <c r="E341" s="58" t="s">
        <v>1123</v>
      </c>
      <c r="F341" s="58" t="s">
        <v>1124</v>
      </c>
      <c r="G341" s="88" t="s">
        <v>25</v>
      </c>
      <c r="H341" s="88">
        <v>42793080</v>
      </c>
      <c r="I341" s="88" t="s">
        <v>3787</v>
      </c>
      <c r="J341" s="88" t="s">
        <v>1125</v>
      </c>
      <c r="K341" s="88" t="s">
        <v>3142</v>
      </c>
      <c r="L341" s="91">
        <v>40308</v>
      </c>
      <c r="M341" s="91">
        <v>43230</v>
      </c>
      <c r="N341" s="88">
        <f t="shared" ca="1" si="13"/>
        <v>2957</v>
      </c>
      <c r="O341" s="84" t="str">
        <f ca="1">IF(Tabla1[[#This Row],[|]]&gt;=0,"VENCIDA",IF(Tabla1[[#This Row],[|]]&gt;=-14,"POR VENCER","OK"))</f>
        <v>VENCIDA</v>
      </c>
      <c r="P341" s="90" t="s">
        <v>1059</v>
      </c>
      <c r="Q341" s="90" t="s">
        <v>312</v>
      </c>
      <c r="R341" s="88" t="s">
        <v>317</v>
      </c>
      <c r="S341" s="88"/>
      <c r="T341" s="88"/>
      <c r="U341" s="88"/>
      <c r="V341" s="88" t="s">
        <v>1016</v>
      </c>
      <c r="W341" s="92" t="s">
        <v>1017</v>
      </c>
      <c r="X341" s="203"/>
    </row>
    <row r="342" spans="1:24" s="63" customFormat="1" ht="32.25" customHeight="1" x14ac:dyDescent="0.2">
      <c r="A342" s="202">
        <v>381</v>
      </c>
      <c r="B342" s="88" t="s">
        <v>279</v>
      </c>
      <c r="C342" s="89">
        <v>381</v>
      </c>
      <c r="D342" s="88" t="str">
        <f t="shared" si="14"/>
        <v>SUPERMIX381</v>
      </c>
      <c r="E342" s="58" t="s">
        <v>1126</v>
      </c>
      <c r="F342" s="58" t="s">
        <v>60</v>
      </c>
      <c r="G342" s="88" t="s">
        <v>25</v>
      </c>
      <c r="H342" s="90">
        <v>25209752</v>
      </c>
      <c r="I342" s="90" t="s">
        <v>3787</v>
      </c>
      <c r="J342" s="90" t="s">
        <v>1127</v>
      </c>
      <c r="K342" s="88" t="s">
        <v>293</v>
      </c>
      <c r="L342" s="91">
        <v>37658</v>
      </c>
      <c r="M342" s="91">
        <v>42313</v>
      </c>
      <c r="N342" s="88">
        <f t="shared" ca="1" si="13"/>
        <v>3874</v>
      </c>
      <c r="O342" s="84" t="str">
        <f ca="1">IF(Tabla1[[#This Row],[|]]&gt;=0,"VENCIDA",IF(Tabla1[[#This Row],[|]]&gt;=-14,"POR VENCER","OK"))</f>
        <v>VENCIDA</v>
      </c>
      <c r="P342" s="90" t="s">
        <v>1024</v>
      </c>
      <c r="Q342" s="90" t="s">
        <v>312</v>
      </c>
      <c r="R342" s="88" t="s">
        <v>317</v>
      </c>
      <c r="S342" s="88"/>
      <c r="T342" s="88"/>
      <c r="U342" s="88"/>
      <c r="V342" s="88" t="s">
        <v>1025</v>
      </c>
      <c r="W342" s="92" t="s">
        <v>1082</v>
      </c>
      <c r="X342" s="203"/>
    </row>
    <row r="343" spans="1:24" s="63" customFormat="1" ht="32.25" customHeight="1" x14ac:dyDescent="0.2">
      <c r="A343" s="202">
        <v>382</v>
      </c>
      <c r="B343" s="88" t="s">
        <v>279</v>
      </c>
      <c r="C343" s="89">
        <v>382</v>
      </c>
      <c r="D343" s="88" t="str">
        <f t="shared" si="14"/>
        <v>SUPERMIX382</v>
      </c>
      <c r="E343" s="58" t="s">
        <v>1128</v>
      </c>
      <c r="F343" s="58" t="s">
        <v>1129</v>
      </c>
      <c r="G343" s="88" t="s">
        <v>25</v>
      </c>
      <c r="H343" s="90">
        <v>70000177</v>
      </c>
      <c r="I343" s="90" t="s">
        <v>3787</v>
      </c>
      <c r="J343" s="90" t="s">
        <v>1130</v>
      </c>
      <c r="K343" s="88" t="s">
        <v>3142</v>
      </c>
      <c r="L343" s="91">
        <v>42013</v>
      </c>
      <c r="M343" s="91">
        <v>44935</v>
      </c>
      <c r="N343" s="88">
        <f t="shared" ca="1" si="13"/>
        <v>1252</v>
      </c>
      <c r="O343" s="84" t="str">
        <f ca="1">IF(Tabla1[[#This Row],[|]]&gt;=0,"VENCIDA",IF(Tabla1[[#This Row],[|]]&gt;=-14,"POR VENCER","OK"))</f>
        <v>VENCIDA</v>
      </c>
      <c r="P343" s="90" t="s">
        <v>1059</v>
      </c>
      <c r="Q343" s="90" t="s">
        <v>312</v>
      </c>
      <c r="R343" s="88" t="s">
        <v>317</v>
      </c>
      <c r="S343" s="88"/>
      <c r="T343" s="88"/>
      <c r="U343" s="88"/>
      <c r="V343" s="88" t="s">
        <v>811</v>
      </c>
      <c r="W343" s="92" t="s">
        <v>525</v>
      </c>
      <c r="X343" s="203"/>
    </row>
    <row r="344" spans="1:24" s="43" customFormat="1" ht="32.25" customHeight="1" x14ac:dyDescent="0.2">
      <c r="A344" s="42">
        <v>383</v>
      </c>
      <c r="B344" s="93" t="s">
        <v>279</v>
      </c>
      <c r="C344" s="94">
        <v>383</v>
      </c>
      <c r="D344" s="93" t="str">
        <f t="shared" si="14"/>
        <v>SUPERMIX383</v>
      </c>
      <c r="E344" s="168" t="s">
        <v>1131</v>
      </c>
      <c r="F344" s="115" t="s">
        <v>1132</v>
      </c>
      <c r="G344" s="93" t="s">
        <v>25</v>
      </c>
      <c r="H344" s="95">
        <v>29664218</v>
      </c>
      <c r="I344" s="95" t="s">
        <v>3788</v>
      </c>
      <c r="J344" s="95" t="s">
        <v>1133</v>
      </c>
      <c r="K344" s="93" t="s">
        <v>343</v>
      </c>
      <c r="L344" s="96">
        <v>38849</v>
      </c>
      <c r="M344" s="117">
        <v>45935</v>
      </c>
      <c r="N344" s="93">
        <f t="shared" ca="1" si="13"/>
        <v>252</v>
      </c>
      <c r="O344" s="84" t="str">
        <f ca="1">IF(Tabla1[[#This Row],[|]]&gt;=0,"VENCIDA",IF(Tabla1[[#This Row],[|]]&gt;=-14,"POR VENCER","OK"))</f>
        <v>VENCIDA</v>
      </c>
      <c r="P344" s="95" t="s">
        <v>824</v>
      </c>
      <c r="Q344" s="95" t="s">
        <v>312</v>
      </c>
      <c r="R344" s="93" t="s">
        <v>317</v>
      </c>
      <c r="S344" s="93"/>
      <c r="T344" s="93"/>
      <c r="U344" s="93"/>
      <c r="V344" s="93" t="s">
        <v>811</v>
      </c>
      <c r="W344" s="97" t="s">
        <v>525</v>
      </c>
      <c r="X344" s="204" t="s">
        <v>2871</v>
      </c>
    </row>
    <row r="345" spans="1:24" s="43" customFormat="1" ht="32.25" customHeight="1" x14ac:dyDescent="0.2">
      <c r="A345" s="42">
        <v>384</v>
      </c>
      <c r="B345" s="93" t="s">
        <v>279</v>
      </c>
      <c r="C345" s="94">
        <v>384</v>
      </c>
      <c r="D345" s="93" t="str">
        <f t="shared" si="14"/>
        <v>SUPERMIX384</v>
      </c>
      <c r="E345" s="115" t="s">
        <v>1134</v>
      </c>
      <c r="F345" s="115" t="s">
        <v>1437</v>
      </c>
      <c r="G345" s="93" t="s">
        <v>2825</v>
      </c>
      <c r="H345" s="95">
        <v>29655052</v>
      </c>
      <c r="I345" s="95" t="s">
        <v>3788</v>
      </c>
      <c r="J345" s="95" t="s">
        <v>1135</v>
      </c>
      <c r="K345" s="93" t="s">
        <v>3623</v>
      </c>
      <c r="L345" s="96">
        <v>41278</v>
      </c>
      <c r="M345" s="96">
        <v>46488</v>
      </c>
      <c r="N345" s="93">
        <f t="shared" ca="1" si="13"/>
        <v>-301</v>
      </c>
      <c r="O345" s="84" t="str">
        <f ca="1">IF(Tabla1[[#This Row],[|]]&gt;=0,"VENCIDA",IF(Tabla1[[#This Row],[|]]&gt;=-14,"POR VENCER","OK"))</f>
        <v>OK</v>
      </c>
      <c r="P345" s="95" t="s">
        <v>3706</v>
      </c>
      <c r="Q345" s="95" t="s">
        <v>312</v>
      </c>
      <c r="R345" s="93" t="s">
        <v>317</v>
      </c>
      <c r="S345" s="93"/>
      <c r="T345" s="93"/>
      <c r="U345" s="93"/>
      <c r="V345" s="93" t="s">
        <v>750</v>
      </c>
      <c r="W345" s="97" t="s">
        <v>511</v>
      </c>
      <c r="X345" s="204" t="s">
        <v>2893</v>
      </c>
    </row>
    <row r="346" spans="1:24" s="43" customFormat="1" ht="32.25" customHeight="1" x14ac:dyDescent="0.2">
      <c r="A346" s="42">
        <v>385</v>
      </c>
      <c r="B346" s="93" t="s">
        <v>279</v>
      </c>
      <c r="C346" s="94">
        <v>385</v>
      </c>
      <c r="D346" s="93" t="str">
        <f t="shared" si="14"/>
        <v>SUPERMIX385</v>
      </c>
      <c r="E346" s="115" t="s">
        <v>1140</v>
      </c>
      <c r="F346" s="115" t="s">
        <v>1141</v>
      </c>
      <c r="G346" s="93" t="s">
        <v>25</v>
      </c>
      <c r="H346" s="95">
        <v>44352911</v>
      </c>
      <c r="I346" s="95" t="s">
        <v>3788</v>
      </c>
      <c r="J346" s="95" t="s">
        <v>1142</v>
      </c>
      <c r="K346" s="93" t="s">
        <v>281</v>
      </c>
      <c r="L346" s="96">
        <v>42094</v>
      </c>
      <c r="M346" s="96">
        <v>46117</v>
      </c>
      <c r="N346" s="93">
        <f t="shared" ca="1" si="13"/>
        <v>70</v>
      </c>
      <c r="O346" s="84" t="str">
        <f ca="1">IF(Tabla1[[#This Row],[|]]&gt;=0,"VENCIDA",IF(Tabla1[[#This Row],[|]]&gt;=-14,"POR VENCER","OK"))</f>
        <v>VENCIDA</v>
      </c>
      <c r="P346" s="95" t="s">
        <v>4136</v>
      </c>
      <c r="Q346" s="95" t="s">
        <v>312</v>
      </c>
      <c r="R346" s="93" t="s">
        <v>2774</v>
      </c>
      <c r="S346" s="93"/>
      <c r="T346" s="93"/>
      <c r="U346" s="93"/>
      <c r="V346" s="93" t="s">
        <v>1939</v>
      </c>
      <c r="W346" s="97" t="s">
        <v>3690</v>
      </c>
      <c r="X346" s="204" t="s">
        <v>327</v>
      </c>
    </row>
    <row r="347" spans="1:24" s="63" customFormat="1" ht="32.25" customHeight="1" x14ac:dyDescent="0.2">
      <c r="A347" s="202">
        <v>386</v>
      </c>
      <c r="B347" s="88" t="s">
        <v>279</v>
      </c>
      <c r="C347" s="89">
        <v>386</v>
      </c>
      <c r="D347" s="88" t="str">
        <f t="shared" si="14"/>
        <v>SUPERMIX386</v>
      </c>
      <c r="E347" s="58" t="s">
        <v>1136</v>
      </c>
      <c r="F347" s="58" t="s">
        <v>1137</v>
      </c>
      <c r="G347" s="88" t="s">
        <v>25</v>
      </c>
      <c r="H347" s="90">
        <v>46800136</v>
      </c>
      <c r="I347" s="90" t="s">
        <v>3787</v>
      </c>
      <c r="J347" s="90">
        <v>46800136</v>
      </c>
      <c r="K347" s="88" t="s">
        <v>3792</v>
      </c>
      <c r="L347" s="91">
        <v>42541</v>
      </c>
      <c r="M347" s="91">
        <v>46742</v>
      </c>
      <c r="N347" s="88">
        <f t="shared" ca="1" si="13"/>
        <v>-555</v>
      </c>
      <c r="O347" s="84" t="str">
        <f ca="1">IF(Tabla1[[#This Row],[|]]&gt;=0,"VENCIDA",IF(Tabla1[[#This Row],[|]]&gt;=-14,"POR VENCER","OK"))</f>
        <v>OK</v>
      </c>
      <c r="P347" s="90" t="s">
        <v>823</v>
      </c>
      <c r="Q347" s="90" t="s">
        <v>312</v>
      </c>
      <c r="R347" s="88" t="s">
        <v>317</v>
      </c>
      <c r="S347" s="88"/>
      <c r="T347" s="88"/>
      <c r="U347" s="88"/>
      <c r="V347" s="88" t="s">
        <v>668</v>
      </c>
      <c r="W347" s="92" t="s">
        <v>902</v>
      </c>
      <c r="X347" s="203"/>
    </row>
    <row r="348" spans="1:24" s="63" customFormat="1" ht="32.25" customHeight="1" x14ac:dyDescent="0.2">
      <c r="A348" s="202">
        <v>387</v>
      </c>
      <c r="B348" s="88" t="s">
        <v>279</v>
      </c>
      <c r="C348" s="89">
        <v>387</v>
      </c>
      <c r="D348" s="88" t="str">
        <f t="shared" si="14"/>
        <v>SUPERMIX387</v>
      </c>
      <c r="E348" s="58" t="s">
        <v>1143</v>
      </c>
      <c r="F348" s="58" t="s">
        <v>1144</v>
      </c>
      <c r="G348" s="88" t="s">
        <v>25</v>
      </c>
      <c r="H348" s="90">
        <v>29560603</v>
      </c>
      <c r="I348" s="90" t="s">
        <v>3787</v>
      </c>
      <c r="J348" s="90" t="s">
        <v>1145</v>
      </c>
      <c r="K348" s="88" t="s">
        <v>1834</v>
      </c>
      <c r="L348" s="91">
        <v>37620</v>
      </c>
      <c r="M348" s="91">
        <v>45705</v>
      </c>
      <c r="N348" s="88">
        <f t="shared" ca="1" si="13"/>
        <v>482</v>
      </c>
      <c r="O348" s="84" t="str">
        <f ca="1">IF(Tabla1[[#This Row],[|]]&gt;=0,"VENCIDA",IF(Tabla1[[#This Row],[|]]&gt;=-14,"POR VENCER","OK"))</f>
        <v>VENCIDA</v>
      </c>
      <c r="P348" s="90" t="s">
        <v>2848</v>
      </c>
      <c r="Q348" s="90" t="s">
        <v>312</v>
      </c>
      <c r="R348" s="88" t="s">
        <v>17</v>
      </c>
      <c r="S348" s="88"/>
      <c r="T348" s="88"/>
      <c r="U348" s="88"/>
      <c r="V348" s="88" t="s">
        <v>3123</v>
      </c>
      <c r="W348" s="92" t="s">
        <v>2772</v>
      </c>
      <c r="X348" s="203" t="s">
        <v>624</v>
      </c>
    </row>
    <row r="349" spans="1:24" s="63" customFormat="1" ht="32.25" customHeight="1" x14ac:dyDescent="0.2">
      <c r="A349" s="202">
        <v>388</v>
      </c>
      <c r="B349" s="88" t="s">
        <v>279</v>
      </c>
      <c r="C349" s="89">
        <v>388</v>
      </c>
      <c r="D349" s="88" t="str">
        <f t="shared" si="14"/>
        <v>SUPERMIX388</v>
      </c>
      <c r="E349" s="58" t="s">
        <v>1147</v>
      </c>
      <c r="F349" s="58" t="s">
        <v>1148</v>
      </c>
      <c r="G349" s="88" t="s">
        <v>25</v>
      </c>
      <c r="H349" s="90">
        <v>44535207</v>
      </c>
      <c r="I349" s="90" t="s">
        <v>3787</v>
      </c>
      <c r="J349" s="90" t="s">
        <v>1149</v>
      </c>
      <c r="K349" s="88" t="s">
        <v>281</v>
      </c>
      <c r="L349" s="91">
        <v>42144</v>
      </c>
      <c r="M349" s="91">
        <v>43240</v>
      </c>
      <c r="N349" s="88">
        <f t="shared" ca="1" si="13"/>
        <v>2947</v>
      </c>
      <c r="O349" s="84" t="str">
        <f ca="1">IF(Tabla1[[#This Row],[|]]&gt;=0,"VENCIDA",IF(Tabla1[[#This Row],[|]]&gt;=-14,"POR VENCER","OK"))</f>
        <v>VENCIDA</v>
      </c>
      <c r="P349" s="90" t="s">
        <v>640</v>
      </c>
      <c r="Q349" s="90" t="s">
        <v>312</v>
      </c>
      <c r="R349" s="88" t="s">
        <v>317</v>
      </c>
      <c r="S349" s="88"/>
      <c r="T349" s="88"/>
      <c r="U349" s="88"/>
      <c r="V349" s="88" t="s">
        <v>763</v>
      </c>
      <c r="W349" s="92" t="s">
        <v>416</v>
      </c>
      <c r="X349" s="203"/>
    </row>
    <row r="350" spans="1:24" s="63" customFormat="1" ht="32.25" customHeight="1" x14ac:dyDescent="0.2">
      <c r="A350" s="202">
        <v>389</v>
      </c>
      <c r="B350" s="88" t="s">
        <v>279</v>
      </c>
      <c r="C350" s="89">
        <v>389</v>
      </c>
      <c r="D350" s="88" t="str">
        <f t="shared" si="14"/>
        <v>SUPERMIX389</v>
      </c>
      <c r="E350" s="58" t="s">
        <v>1150</v>
      </c>
      <c r="F350" s="58" t="s">
        <v>1151</v>
      </c>
      <c r="G350" s="88" t="s">
        <v>25</v>
      </c>
      <c r="H350" s="90">
        <v>29589181</v>
      </c>
      <c r="I350" s="90" t="s">
        <v>3787</v>
      </c>
      <c r="J350" s="90" t="s">
        <v>1152</v>
      </c>
      <c r="K350" s="88" t="s">
        <v>281</v>
      </c>
      <c r="L350" s="91">
        <v>30265</v>
      </c>
      <c r="M350" s="91">
        <v>43422</v>
      </c>
      <c r="N350" s="88">
        <f t="shared" ca="1" si="13"/>
        <v>2765</v>
      </c>
      <c r="O350" s="84" t="str">
        <f ca="1">IF(Tabla1[[#This Row],[|]]&gt;=0,"VENCIDA",IF(Tabla1[[#This Row],[|]]&gt;=-14,"POR VENCER","OK"))</f>
        <v>VENCIDA</v>
      </c>
      <c r="P350" s="90" t="s">
        <v>624</v>
      </c>
      <c r="Q350" s="90" t="s">
        <v>312</v>
      </c>
      <c r="R350" s="88" t="s">
        <v>17</v>
      </c>
      <c r="S350" s="88"/>
      <c r="T350" s="88"/>
      <c r="U350" s="88"/>
      <c r="V350" s="88" t="s">
        <v>763</v>
      </c>
      <c r="W350" s="92" t="s">
        <v>416</v>
      </c>
      <c r="X350" s="203"/>
    </row>
    <row r="351" spans="1:24" s="63" customFormat="1" ht="32.25" customHeight="1" x14ac:dyDescent="0.2">
      <c r="A351" s="202">
        <v>390</v>
      </c>
      <c r="B351" s="88" t="s">
        <v>279</v>
      </c>
      <c r="C351" s="89">
        <v>390</v>
      </c>
      <c r="D351" s="88" t="str">
        <f t="shared" si="14"/>
        <v>SUPERMIX390</v>
      </c>
      <c r="E351" s="58" t="s">
        <v>1153</v>
      </c>
      <c r="F351" s="58" t="s">
        <v>20</v>
      </c>
      <c r="G351" s="88" t="s">
        <v>25</v>
      </c>
      <c r="H351" s="90">
        <v>43163717</v>
      </c>
      <c r="I351" s="90" t="s">
        <v>3787</v>
      </c>
      <c r="J351" s="90" t="s">
        <v>1154</v>
      </c>
      <c r="K351" s="88" t="s">
        <v>343</v>
      </c>
      <c r="L351" s="91">
        <v>41649</v>
      </c>
      <c r="M351" s="91">
        <v>42745</v>
      </c>
      <c r="N351" s="88">
        <f t="shared" ca="1" si="13"/>
        <v>3442</v>
      </c>
      <c r="O351" s="84" t="str">
        <f ca="1">IF(Tabla1[[#This Row],[|]]&gt;=0,"VENCIDA",IF(Tabla1[[#This Row],[|]]&gt;=-14,"POR VENCER","OK"))</f>
        <v>VENCIDA</v>
      </c>
      <c r="P351" s="90" t="s">
        <v>640</v>
      </c>
      <c r="Q351" s="90" t="s">
        <v>312</v>
      </c>
      <c r="R351" s="88" t="s">
        <v>17</v>
      </c>
      <c r="S351" s="88"/>
      <c r="T351" s="88"/>
      <c r="U351" s="88"/>
      <c r="V351" s="88" t="s">
        <v>763</v>
      </c>
      <c r="W351" s="92" t="s">
        <v>416</v>
      </c>
      <c r="X351" s="203"/>
    </row>
    <row r="352" spans="1:24" s="63" customFormat="1" ht="32.25" customHeight="1" x14ac:dyDescent="0.2">
      <c r="A352" s="202">
        <v>391</v>
      </c>
      <c r="B352" s="88" t="s">
        <v>279</v>
      </c>
      <c r="C352" s="89">
        <v>391</v>
      </c>
      <c r="D352" s="88" t="str">
        <f t="shared" si="14"/>
        <v>SUPERMIX391</v>
      </c>
      <c r="E352" s="58" t="s">
        <v>1155</v>
      </c>
      <c r="F352" s="58" t="s">
        <v>1156</v>
      </c>
      <c r="G352" s="88" t="s">
        <v>25</v>
      </c>
      <c r="H352" s="90">
        <v>29485197</v>
      </c>
      <c r="I352" s="90" t="s">
        <v>3787</v>
      </c>
      <c r="J352" s="90" t="s">
        <v>1157</v>
      </c>
      <c r="K352" s="88" t="s">
        <v>281</v>
      </c>
      <c r="L352" s="91">
        <v>41923</v>
      </c>
      <c r="M352" s="91">
        <v>42996</v>
      </c>
      <c r="N352" s="88">
        <f t="shared" ca="1" si="13"/>
        <v>3191</v>
      </c>
      <c r="O352" s="84" t="str">
        <f ca="1">IF(Tabla1[[#This Row],[|]]&gt;=0,"VENCIDA",IF(Tabla1[[#This Row],[|]]&gt;=-14,"POR VENCER","OK"))</f>
        <v>VENCIDA</v>
      </c>
      <c r="P352" s="90" t="s">
        <v>1059</v>
      </c>
      <c r="Q352" s="90" t="s">
        <v>312</v>
      </c>
      <c r="R352" s="88" t="s">
        <v>17</v>
      </c>
      <c r="S352" s="88"/>
      <c r="T352" s="88"/>
      <c r="U352" s="88"/>
      <c r="V352" s="88" t="s">
        <v>763</v>
      </c>
      <c r="W352" s="92" t="s">
        <v>416</v>
      </c>
      <c r="X352" s="203"/>
    </row>
    <row r="353" spans="1:24" s="63" customFormat="1" ht="32.25" customHeight="1" x14ac:dyDescent="0.2">
      <c r="A353" s="202">
        <v>392</v>
      </c>
      <c r="B353" s="88" t="s">
        <v>279</v>
      </c>
      <c r="C353" s="89">
        <v>392</v>
      </c>
      <c r="D353" s="88" t="str">
        <f t="shared" si="14"/>
        <v>SUPERMIX392</v>
      </c>
      <c r="E353" s="58" t="s">
        <v>1158</v>
      </c>
      <c r="F353" s="58" t="s">
        <v>1159</v>
      </c>
      <c r="G353" s="88" t="s">
        <v>25</v>
      </c>
      <c r="H353" s="90">
        <v>46933111</v>
      </c>
      <c r="I353" s="90" t="s">
        <v>3787</v>
      </c>
      <c r="J353" s="90" t="s">
        <v>1160</v>
      </c>
      <c r="K353" s="88" t="s">
        <v>293</v>
      </c>
      <c r="L353" s="91">
        <v>41809</v>
      </c>
      <c r="M353" s="91">
        <v>42905</v>
      </c>
      <c r="N353" s="88">
        <f t="shared" ca="1" si="13"/>
        <v>3282</v>
      </c>
      <c r="O353" s="84" t="str">
        <f ca="1">IF(Tabla1[[#This Row],[|]]&gt;=0,"VENCIDA",IF(Tabla1[[#This Row],[|]]&gt;=-14,"POR VENCER","OK"))</f>
        <v>VENCIDA</v>
      </c>
      <c r="P353" s="90" t="s">
        <v>640</v>
      </c>
      <c r="Q353" s="90" t="s">
        <v>312</v>
      </c>
      <c r="R353" s="88" t="s">
        <v>17</v>
      </c>
      <c r="S353" s="88"/>
      <c r="T353" s="88"/>
      <c r="U353" s="88"/>
      <c r="V353" s="88" t="s">
        <v>763</v>
      </c>
      <c r="W353" s="92" t="s">
        <v>416</v>
      </c>
      <c r="X353" s="203"/>
    </row>
    <row r="354" spans="1:24" s="43" customFormat="1" ht="32.25" customHeight="1" x14ac:dyDescent="0.2">
      <c r="A354" s="42">
        <v>393</v>
      </c>
      <c r="B354" s="93" t="s">
        <v>279</v>
      </c>
      <c r="C354" s="94">
        <v>393</v>
      </c>
      <c r="D354" s="93" t="str">
        <f t="shared" si="14"/>
        <v>SUPERMIX393</v>
      </c>
      <c r="E354" s="115" t="s">
        <v>1161</v>
      </c>
      <c r="F354" s="115" t="s">
        <v>1162</v>
      </c>
      <c r="G354" s="93" t="s">
        <v>25</v>
      </c>
      <c r="H354" s="95">
        <v>43451337</v>
      </c>
      <c r="I354" s="95" t="s">
        <v>3788</v>
      </c>
      <c r="J354" s="95" t="s">
        <v>1163</v>
      </c>
      <c r="K354" s="93" t="s">
        <v>281</v>
      </c>
      <c r="L354" s="96">
        <v>42123</v>
      </c>
      <c r="M354" s="117">
        <v>46191</v>
      </c>
      <c r="N354" s="93">
        <f t="shared" ca="1" si="13"/>
        <v>-4</v>
      </c>
      <c r="O354" s="84" t="str">
        <f ca="1">IF(Tabla1[[#This Row],[|]]&gt;=0,"VENCIDA",IF(Tabla1[[#This Row],[|]]&gt;=-14,"POR VENCER","OK"))</f>
        <v>POR VENCER</v>
      </c>
      <c r="P354" s="95" t="s">
        <v>3808</v>
      </c>
      <c r="Q354" s="95" t="s">
        <v>312</v>
      </c>
      <c r="R354" s="93" t="s">
        <v>317</v>
      </c>
      <c r="S354" s="93"/>
      <c r="T354" s="93"/>
      <c r="U354" s="93"/>
      <c r="V354" s="93" t="s">
        <v>763</v>
      </c>
      <c r="W354" s="97" t="s">
        <v>416</v>
      </c>
      <c r="X354" s="204"/>
    </row>
    <row r="355" spans="1:24" s="63" customFormat="1" ht="32.25" customHeight="1" x14ac:dyDescent="0.2">
      <c r="A355" s="202">
        <v>394</v>
      </c>
      <c r="B355" s="88" t="s">
        <v>279</v>
      </c>
      <c r="C355" s="89">
        <v>394</v>
      </c>
      <c r="D355" s="88" t="str">
        <f t="shared" si="14"/>
        <v>SUPERMIX394</v>
      </c>
      <c r="E355" s="58" t="s">
        <v>3686</v>
      </c>
      <c r="F355" s="58" t="s">
        <v>1164</v>
      </c>
      <c r="G355" s="88" t="s">
        <v>25</v>
      </c>
      <c r="H355" s="90">
        <v>45423984</v>
      </c>
      <c r="I355" s="90" t="s">
        <v>3787</v>
      </c>
      <c r="J355" s="90" t="s">
        <v>1165</v>
      </c>
      <c r="K355" s="88" t="s">
        <v>281</v>
      </c>
      <c r="L355" s="91">
        <v>41206</v>
      </c>
      <c r="M355" s="91">
        <v>42301</v>
      </c>
      <c r="N355" s="88">
        <f t="shared" ca="1" si="13"/>
        <v>3886</v>
      </c>
      <c r="O355" s="84" t="str">
        <f ca="1">IF(Tabla1[[#This Row],[|]]&gt;=0,"VENCIDA",IF(Tabla1[[#This Row],[|]]&gt;=-14,"POR VENCER","OK"))</f>
        <v>VENCIDA</v>
      </c>
      <c r="P355" s="90" t="s">
        <v>624</v>
      </c>
      <c r="Q355" s="90" t="s">
        <v>312</v>
      </c>
      <c r="R355" s="88" t="s">
        <v>317</v>
      </c>
      <c r="S355" s="88"/>
      <c r="T355" s="88"/>
      <c r="U355" s="88"/>
      <c r="V355" s="88" t="s">
        <v>763</v>
      </c>
      <c r="W355" s="92" t="s">
        <v>416</v>
      </c>
      <c r="X355" s="203"/>
    </row>
    <row r="356" spans="1:24" s="59" customFormat="1" ht="32.25" customHeight="1" x14ac:dyDescent="0.2">
      <c r="A356" s="200">
        <v>395</v>
      </c>
      <c r="B356" s="61" t="s">
        <v>279</v>
      </c>
      <c r="C356" s="87">
        <v>395</v>
      </c>
      <c r="D356" s="61" t="str">
        <f t="shared" si="14"/>
        <v>SUPERMIX395</v>
      </c>
      <c r="E356" s="82" t="s">
        <v>1166</v>
      </c>
      <c r="F356" s="82" t="s">
        <v>1167</v>
      </c>
      <c r="G356" s="61" t="s">
        <v>341</v>
      </c>
      <c r="H356" s="60">
        <v>70297181</v>
      </c>
      <c r="I356" s="60" t="s">
        <v>3787</v>
      </c>
      <c r="J356" s="60" t="s">
        <v>1168</v>
      </c>
      <c r="K356" s="61" t="s">
        <v>343</v>
      </c>
      <c r="L356" s="62">
        <v>41778</v>
      </c>
      <c r="M356" s="62">
        <v>42870</v>
      </c>
      <c r="N356" s="61">
        <f t="shared" ca="1" si="13"/>
        <v>3317</v>
      </c>
      <c r="O356" s="84" t="str">
        <f ca="1">IF(Tabla1[[#This Row],[|]]&gt;=0,"VENCIDA",IF(Tabla1[[#This Row],[|]]&gt;=-14,"POR VENCER","OK"))</f>
        <v>VENCIDA</v>
      </c>
      <c r="P356" s="60" t="s">
        <v>640</v>
      </c>
      <c r="Q356" s="60" t="s">
        <v>312</v>
      </c>
      <c r="R356" s="61" t="s">
        <v>317</v>
      </c>
      <c r="S356" s="61"/>
      <c r="T356" s="61"/>
      <c r="U356" s="61"/>
      <c r="V356" s="61" t="s">
        <v>763</v>
      </c>
      <c r="W356" s="86" t="s">
        <v>416</v>
      </c>
      <c r="X356" s="201"/>
    </row>
    <row r="357" spans="1:24" s="63" customFormat="1" ht="32.25" customHeight="1" x14ac:dyDescent="0.2">
      <c r="A357" s="202">
        <v>396</v>
      </c>
      <c r="B357" s="88" t="s">
        <v>279</v>
      </c>
      <c r="C357" s="89">
        <v>396</v>
      </c>
      <c r="D357" s="88" t="str">
        <f t="shared" si="14"/>
        <v>SUPERMIX396</v>
      </c>
      <c r="E357" s="58" t="s">
        <v>1169</v>
      </c>
      <c r="F357" s="58" t="s">
        <v>1170</v>
      </c>
      <c r="G357" s="88" t="s">
        <v>25</v>
      </c>
      <c r="H357" s="90">
        <v>46908370</v>
      </c>
      <c r="I357" s="90" t="s">
        <v>3787</v>
      </c>
      <c r="J357" s="90" t="s">
        <v>1171</v>
      </c>
      <c r="K357" s="88" t="s">
        <v>3142</v>
      </c>
      <c r="L357" s="91">
        <v>40120</v>
      </c>
      <c r="M357" s="91">
        <v>43042</v>
      </c>
      <c r="N357" s="88">
        <f t="shared" ca="1" si="13"/>
        <v>3145</v>
      </c>
      <c r="O357" s="84" t="str">
        <f ca="1">IF(Tabla1[[#This Row],[|]]&gt;=0,"VENCIDA",IF(Tabla1[[#This Row],[|]]&gt;=-14,"POR VENCER","OK"))</f>
        <v>VENCIDA</v>
      </c>
      <c r="P357" s="90" t="s">
        <v>640</v>
      </c>
      <c r="Q357" s="90" t="s">
        <v>312</v>
      </c>
      <c r="R357" s="88" t="s">
        <v>317</v>
      </c>
      <c r="S357" s="88"/>
      <c r="T357" s="88"/>
      <c r="U357" s="88"/>
      <c r="V357" s="88" t="s">
        <v>763</v>
      </c>
      <c r="W357" s="92" t="s">
        <v>416</v>
      </c>
      <c r="X357" s="203"/>
    </row>
    <row r="358" spans="1:24" s="63" customFormat="1" ht="32.25" customHeight="1" x14ac:dyDescent="0.2">
      <c r="A358" s="202">
        <v>397</v>
      </c>
      <c r="B358" s="88" t="s">
        <v>279</v>
      </c>
      <c r="C358" s="89">
        <v>397</v>
      </c>
      <c r="D358" s="88" t="str">
        <f t="shared" si="14"/>
        <v>SUPERMIX397</v>
      </c>
      <c r="E358" s="58" t="s">
        <v>455</v>
      </c>
      <c r="F358" s="58" t="s">
        <v>1172</v>
      </c>
      <c r="G358" s="88" t="s">
        <v>25</v>
      </c>
      <c r="H358" s="90" t="s">
        <v>457</v>
      </c>
      <c r="I358" s="90" t="s">
        <v>3787</v>
      </c>
      <c r="J358" s="90" t="s">
        <v>458</v>
      </c>
      <c r="K358" s="88" t="s">
        <v>281</v>
      </c>
      <c r="L358" s="91">
        <v>37281</v>
      </c>
      <c r="M358" s="91">
        <v>45621</v>
      </c>
      <c r="N358" s="88">
        <f t="shared" ca="1" si="13"/>
        <v>566</v>
      </c>
      <c r="O358" s="84" t="str">
        <f ca="1">IF(Tabla1[[#This Row],[|]]&gt;=0,"VENCIDA",IF(Tabla1[[#This Row],[|]]&gt;=-14,"POR VENCER","OK"))</f>
        <v>VENCIDA</v>
      </c>
      <c r="P358" s="90" t="s">
        <v>2827</v>
      </c>
      <c r="Q358" s="90" t="s">
        <v>312</v>
      </c>
      <c r="R358" s="88" t="s">
        <v>17</v>
      </c>
      <c r="S358" s="88"/>
      <c r="T358" s="88"/>
      <c r="U358" s="88"/>
      <c r="V358" s="88" t="s">
        <v>1939</v>
      </c>
      <c r="W358" s="92" t="s">
        <v>2772</v>
      </c>
      <c r="X358" s="203" t="s">
        <v>2931</v>
      </c>
    </row>
    <row r="359" spans="1:24" s="43" customFormat="1" ht="32.25" customHeight="1" x14ac:dyDescent="0.2">
      <c r="A359" s="42">
        <v>398</v>
      </c>
      <c r="B359" s="93" t="s">
        <v>279</v>
      </c>
      <c r="C359" s="94">
        <v>398</v>
      </c>
      <c r="D359" s="93" t="str">
        <f t="shared" si="14"/>
        <v>SUPERMIX398</v>
      </c>
      <c r="E359" s="115" t="s">
        <v>1174</v>
      </c>
      <c r="F359" s="115" t="s">
        <v>1175</v>
      </c>
      <c r="G359" s="93" t="s">
        <v>25</v>
      </c>
      <c r="H359" s="95">
        <v>42514200</v>
      </c>
      <c r="I359" s="95" t="s">
        <v>3788</v>
      </c>
      <c r="J359" s="95" t="s">
        <v>1176</v>
      </c>
      <c r="K359" s="93" t="s">
        <v>1834</v>
      </c>
      <c r="L359" s="96">
        <v>41858</v>
      </c>
      <c r="M359" s="96">
        <v>46265</v>
      </c>
      <c r="N359" s="93">
        <f t="shared" ca="1" si="13"/>
        <v>-78</v>
      </c>
      <c r="O359" s="84" t="str">
        <f ca="1">IF(Tabla1[[#This Row],[|]]&gt;=0,"VENCIDA",IF(Tabla1[[#This Row],[|]]&gt;=-14,"POR VENCER","OK"))</f>
        <v>OK</v>
      </c>
      <c r="P359" s="95" t="s">
        <v>2798</v>
      </c>
      <c r="Q359" s="95" t="s">
        <v>312</v>
      </c>
      <c r="R359" s="93" t="s">
        <v>317</v>
      </c>
      <c r="S359" s="93"/>
      <c r="T359" s="93"/>
      <c r="U359" s="93"/>
      <c r="V359" s="93" t="s">
        <v>668</v>
      </c>
      <c r="W359" s="97" t="s">
        <v>850</v>
      </c>
      <c r="X359" s="204" t="s">
        <v>597</v>
      </c>
    </row>
    <row r="360" spans="1:24" s="43" customFormat="1" ht="32.25" customHeight="1" x14ac:dyDescent="0.2">
      <c r="A360" s="42">
        <v>399</v>
      </c>
      <c r="B360" s="93" t="s">
        <v>279</v>
      </c>
      <c r="C360" s="94">
        <v>399</v>
      </c>
      <c r="D360" s="93" t="str">
        <f t="shared" si="14"/>
        <v>SUPERMIX399</v>
      </c>
      <c r="E360" s="171" t="s">
        <v>1177</v>
      </c>
      <c r="F360" s="115" t="s">
        <v>22</v>
      </c>
      <c r="G360" s="93" t="s">
        <v>25</v>
      </c>
      <c r="H360" s="98" t="s">
        <v>1178</v>
      </c>
      <c r="I360" s="98" t="s">
        <v>3788</v>
      </c>
      <c r="J360" s="98" t="s">
        <v>1179</v>
      </c>
      <c r="K360" s="93" t="s">
        <v>281</v>
      </c>
      <c r="L360" s="96">
        <v>37182</v>
      </c>
      <c r="M360" s="96">
        <v>46719</v>
      </c>
      <c r="N360" s="93">
        <f t="shared" ca="1" si="13"/>
        <v>-532</v>
      </c>
      <c r="O360" s="84" t="str">
        <f ca="1">IF(Tabla1[[#This Row],[|]]&gt;=0,"VENCIDA",IF(Tabla1[[#This Row],[|]]&gt;=-14,"POR VENCER","OK"))</f>
        <v>OK</v>
      </c>
      <c r="P360" s="95" t="s">
        <v>2838</v>
      </c>
      <c r="Q360" s="95" t="s">
        <v>312</v>
      </c>
      <c r="R360" s="93" t="s">
        <v>317</v>
      </c>
      <c r="S360" s="93"/>
      <c r="T360" s="93"/>
      <c r="U360" s="93"/>
      <c r="V360" s="93" t="s">
        <v>282</v>
      </c>
      <c r="W360" s="97" t="s">
        <v>2776</v>
      </c>
      <c r="X360" s="204" t="s">
        <v>597</v>
      </c>
    </row>
    <row r="361" spans="1:24" s="59" customFormat="1" ht="32.25" customHeight="1" x14ac:dyDescent="0.2">
      <c r="A361" s="200">
        <v>400</v>
      </c>
      <c r="B361" s="61" t="s">
        <v>279</v>
      </c>
      <c r="C361" s="87">
        <v>400</v>
      </c>
      <c r="D361" s="61" t="str">
        <f t="shared" si="14"/>
        <v>SUPERMIX400</v>
      </c>
      <c r="E361" s="82" t="s">
        <v>1180</v>
      </c>
      <c r="F361" s="82" t="s">
        <v>1181</v>
      </c>
      <c r="G361" s="61" t="s">
        <v>341</v>
      </c>
      <c r="H361" s="60">
        <v>43293698</v>
      </c>
      <c r="I361" s="60" t="s">
        <v>3787</v>
      </c>
      <c r="J361" s="60" t="s">
        <v>1182</v>
      </c>
      <c r="K361" s="61" t="s">
        <v>281</v>
      </c>
      <c r="L361" s="62">
        <v>41548</v>
      </c>
      <c r="M361" s="62">
        <v>42644</v>
      </c>
      <c r="N361" s="61">
        <f t="shared" ca="1" si="13"/>
        <v>3543</v>
      </c>
      <c r="O361" s="84" t="str">
        <f ca="1">IF(Tabla1[[#This Row],[|]]&gt;=0,"VENCIDA",IF(Tabla1[[#This Row],[|]]&gt;=-14,"POR VENCER","OK"))</f>
        <v>VENCIDA</v>
      </c>
      <c r="P361" s="60" t="s">
        <v>597</v>
      </c>
      <c r="Q361" s="60" t="s">
        <v>312</v>
      </c>
      <c r="R361" s="61" t="s">
        <v>317</v>
      </c>
      <c r="S361" s="61"/>
      <c r="T361" s="61"/>
      <c r="U361" s="61"/>
      <c r="V361" s="61" t="s">
        <v>668</v>
      </c>
      <c r="W361" s="86" t="s">
        <v>850</v>
      </c>
      <c r="X361" s="201"/>
    </row>
    <row r="362" spans="1:24" s="59" customFormat="1" ht="32.25" customHeight="1" x14ac:dyDescent="0.2">
      <c r="A362" s="200">
        <v>401</v>
      </c>
      <c r="B362" s="61" t="s">
        <v>279</v>
      </c>
      <c r="C362" s="87">
        <v>401</v>
      </c>
      <c r="D362" s="61" t="str">
        <f t="shared" si="14"/>
        <v>SUPERMIX401</v>
      </c>
      <c r="E362" s="82" t="s">
        <v>1183</v>
      </c>
      <c r="F362" s="82" t="s">
        <v>1184</v>
      </c>
      <c r="G362" s="61" t="s">
        <v>341</v>
      </c>
      <c r="H362" s="60">
        <v>40889337</v>
      </c>
      <c r="I362" s="60" t="s">
        <v>3787</v>
      </c>
      <c r="J362" s="60" t="s">
        <v>1185</v>
      </c>
      <c r="K362" s="61" t="s">
        <v>281</v>
      </c>
      <c r="L362" s="62">
        <v>41774</v>
      </c>
      <c r="M362" s="62">
        <v>42870</v>
      </c>
      <c r="N362" s="61">
        <f t="shared" ca="1" si="13"/>
        <v>3317</v>
      </c>
      <c r="O362" s="84" t="str">
        <f ca="1">IF(Tabla1[[#This Row],[|]]&gt;=0,"VENCIDA",IF(Tabla1[[#This Row],[|]]&gt;=-14,"POR VENCER","OK"))</f>
        <v>VENCIDA</v>
      </c>
      <c r="P362" s="60" t="s">
        <v>597</v>
      </c>
      <c r="Q362" s="60" t="s">
        <v>312</v>
      </c>
      <c r="R362" s="61" t="s">
        <v>17</v>
      </c>
      <c r="S362" s="61"/>
      <c r="T362" s="61"/>
      <c r="U362" s="61"/>
      <c r="V362" s="61" t="s">
        <v>668</v>
      </c>
      <c r="W362" s="86" t="s">
        <v>850</v>
      </c>
      <c r="X362" s="201"/>
    </row>
    <row r="363" spans="1:24" s="63" customFormat="1" ht="32.25" customHeight="1" x14ac:dyDescent="0.2">
      <c r="A363" s="202">
        <v>402</v>
      </c>
      <c r="B363" s="88" t="s">
        <v>279</v>
      </c>
      <c r="C363" s="89">
        <v>402</v>
      </c>
      <c r="D363" s="88" t="str">
        <f t="shared" si="14"/>
        <v>SUPERMIX402</v>
      </c>
      <c r="E363" s="58" t="s">
        <v>1243</v>
      </c>
      <c r="F363" s="58" t="s">
        <v>753</v>
      </c>
      <c r="G363" s="88" t="s">
        <v>25</v>
      </c>
      <c r="H363" s="90">
        <v>41825385</v>
      </c>
      <c r="I363" s="90" t="s">
        <v>3787</v>
      </c>
      <c r="J363" s="90" t="s">
        <v>1244</v>
      </c>
      <c r="K363" s="88" t="s">
        <v>281</v>
      </c>
      <c r="L363" s="91">
        <v>38792</v>
      </c>
      <c r="M363" s="91">
        <v>43204</v>
      </c>
      <c r="N363" s="88">
        <f t="shared" ca="1" si="13"/>
        <v>2983</v>
      </c>
      <c r="O363" s="84" t="str">
        <f ca="1">IF(Tabla1[[#This Row],[|]]&gt;=0,"VENCIDA",IF(Tabla1[[#This Row],[|]]&gt;=-14,"POR VENCER","OK"))</f>
        <v>VENCIDA</v>
      </c>
      <c r="P363" s="90" t="s">
        <v>1317</v>
      </c>
      <c r="Q363" s="90" t="s">
        <v>312</v>
      </c>
      <c r="R363" s="88" t="s">
        <v>317</v>
      </c>
      <c r="S363" s="88"/>
      <c r="T363" s="88"/>
      <c r="U363" s="88"/>
      <c r="V363" s="88" t="s">
        <v>1021</v>
      </c>
      <c r="W363" s="92" t="s">
        <v>971</v>
      </c>
      <c r="X363" s="203"/>
    </row>
    <row r="364" spans="1:24" s="43" customFormat="1" ht="32.25" customHeight="1" x14ac:dyDescent="0.2">
      <c r="A364" s="42">
        <v>403</v>
      </c>
      <c r="B364" s="93" t="s">
        <v>279</v>
      </c>
      <c r="C364" s="94">
        <v>403</v>
      </c>
      <c r="D364" s="93" t="str">
        <f t="shared" si="14"/>
        <v>SUPERMIX403</v>
      </c>
      <c r="E364" s="115" t="s">
        <v>1186</v>
      </c>
      <c r="F364" s="115" t="s">
        <v>1187</v>
      </c>
      <c r="G364" s="93" t="s">
        <v>25</v>
      </c>
      <c r="H364" s="95">
        <v>41980374</v>
      </c>
      <c r="I364" s="95" t="s">
        <v>3788</v>
      </c>
      <c r="J364" s="93" t="s">
        <v>1188</v>
      </c>
      <c r="K364" s="93" t="s">
        <v>368</v>
      </c>
      <c r="L364" s="96">
        <v>42142</v>
      </c>
      <c r="M364" s="108">
        <v>47337</v>
      </c>
      <c r="N364" s="93">
        <f t="shared" ca="1" si="13"/>
        <v>-1150</v>
      </c>
      <c r="O364" s="84" t="str">
        <f ca="1">IF(Tabla1[[#This Row],[|]]&gt;=0,"VENCIDA",IF(Tabla1[[#This Row],[|]]&gt;=-14,"POR VENCER","OK"))</f>
        <v>OK</v>
      </c>
      <c r="P364" s="95" t="s">
        <v>2935</v>
      </c>
      <c r="Q364" s="95" t="s">
        <v>312</v>
      </c>
      <c r="R364" s="93" t="s">
        <v>317</v>
      </c>
      <c r="S364" s="93"/>
      <c r="T364" s="93"/>
      <c r="U364" s="93"/>
      <c r="V364" s="93" t="s">
        <v>329</v>
      </c>
      <c r="W364" s="97" t="s">
        <v>3499</v>
      </c>
      <c r="X364" s="204" t="s">
        <v>3055</v>
      </c>
    </row>
    <row r="365" spans="1:24" s="63" customFormat="1" ht="32.25" customHeight="1" x14ac:dyDescent="0.2">
      <c r="A365" s="202">
        <v>404</v>
      </c>
      <c r="B365" s="88" t="s">
        <v>279</v>
      </c>
      <c r="C365" s="89">
        <v>404</v>
      </c>
      <c r="D365" s="88" t="str">
        <f t="shared" si="14"/>
        <v>SUPERMIX404</v>
      </c>
      <c r="E365" s="58" t="s">
        <v>1189</v>
      </c>
      <c r="F365" s="58" t="s">
        <v>1190</v>
      </c>
      <c r="G365" s="88" t="s">
        <v>25</v>
      </c>
      <c r="H365" s="90">
        <v>29533765</v>
      </c>
      <c r="I365" s="90" t="s">
        <v>3787</v>
      </c>
      <c r="J365" s="90" t="s">
        <v>1191</v>
      </c>
      <c r="K365" s="88" t="s">
        <v>343</v>
      </c>
      <c r="L365" s="91">
        <v>35249</v>
      </c>
      <c r="M365" s="91">
        <v>43685</v>
      </c>
      <c r="N365" s="88">
        <f t="shared" ca="1" si="13"/>
        <v>2502</v>
      </c>
      <c r="O365" s="84" t="str">
        <f ca="1">IF(Tabla1[[#This Row],[|]]&gt;=0,"VENCIDA",IF(Tabla1[[#This Row],[|]]&gt;=-14,"POR VENCER","OK"))</f>
        <v>VENCIDA</v>
      </c>
      <c r="P365" s="90" t="s">
        <v>1059</v>
      </c>
      <c r="Q365" s="90" t="s">
        <v>312</v>
      </c>
      <c r="R365" s="88" t="s">
        <v>317</v>
      </c>
      <c r="S365" s="88"/>
      <c r="T365" s="88"/>
      <c r="U365" s="88"/>
      <c r="V365" s="88" t="s">
        <v>1094</v>
      </c>
      <c r="W365" s="92" t="s">
        <v>1480</v>
      </c>
      <c r="X365" s="203"/>
    </row>
    <row r="366" spans="1:24" s="63" customFormat="1" ht="32.25" customHeight="1" x14ac:dyDescent="0.2">
      <c r="A366" s="202">
        <v>405</v>
      </c>
      <c r="B366" s="88" t="s">
        <v>279</v>
      </c>
      <c r="C366" s="89">
        <v>405</v>
      </c>
      <c r="D366" s="88" t="str">
        <f t="shared" si="14"/>
        <v>SUPERMIX405</v>
      </c>
      <c r="E366" s="58" t="s">
        <v>1192</v>
      </c>
      <c r="F366" s="58" t="s">
        <v>1193</v>
      </c>
      <c r="G366" s="88" t="s">
        <v>25</v>
      </c>
      <c r="H366" s="90">
        <v>10727115</v>
      </c>
      <c r="I366" s="90" t="s">
        <v>3787</v>
      </c>
      <c r="J366" s="90" t="s">
        <v>1194</v>
      </c>
      <c r="K366" s="88" t="s">
        <v>281</v>
      </c>
      <c r="L366" s="91">
        <v>41387</v>
      </c>
      <c r="M366" s="91">
        <v>42483</v>
      </c>
      <c r="N366" s="88">
        <f t="shared" ca="1" si="13"/>
        <v>3704</v>
      </c>
      <c r="O366" s="84" t="str">
        <f ca="1">IF(Tabla1[[#This Row],[|]]&gt;=0,"VENCIDA",IF(Tabla1[[#This Row],[|]]&gt;=-14,"POR VENCER","OK"))</f>
        <v>VENCIDA</v>
      </c>
      <c r="P366" s="90" t="s">
        <v>640</v>
      </c>
      <c r="Q366" s="90" t="s">
        <v>312</v>
      </c>
      <c r="R366" s="88" t="s">
        <v>317</v>
      </c>
      <c r="S366" s="88"/>
      <c r="T366" s="88"/>
      <c r="U366" s="88"/>
      <c r="V366" s="88" t="s">
        <v>282</v>
      </c>
      <c r="W366" s="92" t="s">
        <v>850</v>
      </c>
      <c r="X366" s="203"/>
    </row>
    <row r="367" spans="1:24" s="63" customFormat="1" ht="32.25" customHeight="1" x14ac:dyDescent="0.2">
      <c r="A367" s="202">
        <v>406</v>
      </c>
      <c r="B367" s="88" t="s">
        <v>279</v>
      </c>
      <c r="C367" s="89">
        <v>406</v>
      </c>
      <c r="D367" s="88" t="str">
        <f t="shared" si="14"/>
        <v>SUPERMIX406</v>
      </c>
      <c r="E367" s="58" t="s">
        <v>1195</v>
      </c>
      <c r="F367" s="58" t="s">
        <v>1196</v>
      </c>
      <c r="G367" s="88" t="s">
        <v>25</v>
      </c>
      <c r="H367" s="90">
        <v>45924938</v>
      </c>
      <c r="I367" s="90" t="s">
        <v>3787</v>
      </c>
      <c r="J367" s="90" t="s">
        <v>1197</v>
      </c>
      <c r="K367" s="88" t="s">
        <v>293</v>
      </c>
      <c r="L367" s="91">
        <v>41736</v>
      </c>
      <c r="M367" s="91">
        <v>42832</v>
      </c>
      <c r="N367" s="88">
        <f t="shared" ca="1" si="13"/>
        <v>3355</v>
      </c>
      <c r="O367" s="84" t="str">
        <f ca="1">IF(Tabla1[[#This Row],[|]]&gt;=0,"VENCIDA",IF(Tabla1[[#This Row],[|]]&gt;=-14,"POR VENCER","OK"))</f>
        <v>VENCIDA</v>
      </c>
      <c r="P367" s="90" t="s">
        <v>640</v>
      </c>
      <c r="Q367" s="90" t="s">
        <v>312</v>
      </c>
      <c r="R367" s="88" t="s">
        <v>17</v>
      </c>
      <c r="S367" s="88"/>
      <c r="T367" s="88"/>
      <c r="U367" s="88"/>
      <c r="V367" s="88" t="s">
        <v>282</v>
      </c>
      <c r="W367" s="92" t="s">
        <v>850</v>
      </c>
      <c r="X367" s="203"/>
    </row>
    <row r="368" spans="1:24" s="63" customFormat="1" ht="32.25" customHeight="1" x14ac:dyDescent="0.2">
      <c r="A368" s="202">
        <v>407</v>
      </c>
      <c r="B368" s="88" t="s">
        <v>279</v>
      </c>
      <c r="C368" s="89">
        <v>407</v>
      </c>
      <c r="D368" s="88" t="str">
        <f t="shared" si="14"/>
        <v>SUPERMIX407</v>
      </c>
      <c r="E368" s="58" t="s">
        <v>1198</v>
      </c>
      <c r="F368" s="58" t="s">
        <v>1199</v>
      </c>
      <c r="G368" s="88" t="s">
        <v>25</v>
      </c>
      <c r="H368" s="90">
        <v>10297778</v>
      </c>
      <c r="I368" s="90" t="s">
        <v>3787</v>
      </c>
      <c r="J368" s="90" t="s">
        <v>1200</v>
      </c>
      <c r="K368" s="88" t="s">
        <v>3142</v>
      </c>
      <c r="L368" s="91">
        <v>35607</v>
      </c>
      <c r="M368" s="91">
        <v>43267</v>
      </c>
      <c r="N368" s="88">
        <f t="shared" ca="1" si="13"/>
        <v>2920</v>
      </c>
      <c r="O368" s="84" t="str">
        <f ca="1">IF(Tabla1[[#This Row],[|]]&gt;=0,"VENCIDA",IF(Tabla1[[#This Row],[|]]&gt;=-14,"POR VENCER","OK"))</f>
        <v>VENCIDA</v>
      </c>
      <c r="P368" s="90" t="s">
        <v>1059</v>
      </c>
      <c r="Q368" s="90" t="s">
        <v>312</v>
      </c>
      <c r="R368" s="88" t="s">
        <v>17</v>
      </c>
      <c r="S368" s="88"/>
      <c r="T368" s="88"/>
      <c r="U368" s="88"/>
      <c r="V368" s="88" t="s">
        <v>282</v>
      </c>
      <c r="W368" s="92" t="s">
        <v>1112</v>
      </c>
      <c r="X368" s="203"/>
    </row>
    <row r="369" spans="1:24" s="63" customFormat="1" ht="32.25" customHeight="1" x14ac:dyDescent="0.2">
      <c r="A369" s="202">
        <v>408</v>
      </c>
      <c r="B369" s="88" t="s">
        <v>279</v>
      </c>
      <c r="C369" s="89">
        <v>408</v>
      </c>
      <c r="D369" s="88" t="str">
        <f t="shared" si="14"/>
        <v>SUPERMIX408</v>
      </c>
      <c r="E369" s="58" t="s">
        <v>1202</v>
      </c>
      <c r="F369" s="58" t="s">
        <v>1203</v>
      </c>
      <c r="G369" s="88" t="s">
        <v>25</v>
      </c>
      <c r="H369" s="90">
        <v>23850249</v>
      </c>
      <c r="I369" s="90" t="s">
        <v>3787</v>
      </c>
      <c r="J369" s="90" t="s">
        <v>1204</v>
      </c>
      <c r="K369" s="88" t="s">
        <v>281</v>
      </c>
      <c r="L369" s="91">
        <v>36846</v>
      </c>
      <c r="M369" s="91">
        <v>43560</v>
      </c>
      <c r="N369" s="88">
        <f t="shared" ca="1" si="13"/>
        <v>2627</v>
      </c>
      <c r="O369" s="84" t="str">
        <f ca="1">IF(Tabla1[[#This Row],[|]]&gt;=0,"VENCIDA",IF(Tabla1[[#This Row],[|]]&gt;=-14,"POR VENCER","OK"))</f>
        <v>VENCIDA</v>
      </c>
      <c r="P369" s="90" t="s">
        <v>2847</v>
      </c>
      <c r="Q369" s="90" t="s">
        <v>312</v>
      </c>
      <c r="R369" s="88" t="s">
        <v>317</v>
      </c>
      <c r="S369" s="88"/>
      <c r="T369" s="88"/>
      <c r="U369" s="88"/>
      <c r="V369" s="88" t="s">
        <v>1016</v>
      </c>
      <c r="W369" s="92" t="s">
        <v>2776</v>
      </c>
      <c r="X369" s="203" t="s">
        <v>597</v>
      </c>
    </row>
    <row r="370" spans="1:24" s="63" customFormat="1" ht="32.25" customHeight="1" x14ac:dyDescent="0.2">
      <c r="A370" s="202">
        <v>409</v>
      </c>
      <c r="B370" s="88" t="s">
        <v>279</v>
      </c>
      <c r="C370" s="89">
        <v>409</v>
      </c>
      <c r="D370" s="88" t="str">
        <f t="shared" si="14"/>
        <v>SUPERMIX409</v>
      </c>
      <c r="E370" s="58" t="s">
        <v>1206</v>
      </c>
      <c r="F370" s="58" t="s">
        <v>1207</v>
      </c>
      <c r="G370" s="88" t="s">
        <v>25</v>
      </c>
      <c r="H370" s="99" t="s">
        <v>1208</v>
      </c>
      <c r="I370" s="99" t="s">
        <v>3787</v>
      </c>
      <c r="J370" s="99" t="s">
        <v>1209</v>
      </c>
      <c r="K370" s="88" t="s">
        <v>281</v>
      </c>
      <c r="L370" s="91">
        <v>41871</v>
      </c>
      <c r="M370" s="91">
        <v>42967</v>
      </c>
      <c r="N370" s="88">
        <f t="shared" ca="1" si="13"/>
        <v>3220</v>
      </c>
      <c r="O370" s="84" t="str">
        <f ca="1">IF(Tabla1[[#This Row],[|]]&gt;=0,"VENCIDA",IF(Tabla1[[#This Row],[|]]&gt;=-14,"POR VENCER","OK"))</f>
        <v>VENCIDA</v>
      </c>
      <c r="P370" s="90" t="s">
        <v>1205</v>
      </c>
      <c r="Q370" s="90" t="s">
        <v>312</v>
      </c>
      <c r="R370" s="88" t="s">
        <v>317</v>
      </c>
      <c r="S370" s="88"/>
      <c r="T370" s="88"/>
      <c r="U370" s="88"/>
      <c r="V370" s="88" t="s">
        <v>1016</v>
      </c>
      <c r="W370" s="92" t="s">
        <v>1017</v>
      </c>
      <c r="X370" s="203"/>
    </row>
    <row r="371" spans="1:24" s="63" customFormat="1" ht="32.25" customHeight="1" x14ac:dyDescent="0.2">
      <c r="A371" s="202">
        <v>410</v>
      </c>
      <c r="B371" s="88" t="s">
        <v>279</v>
      </c>
      <c r="C371" s="89">
        <v>410</v>
      </c>
      <c r="D371" s="88" t="str">
        <f t="shared" si="14"/>
        <v>SUPERMIX410</v>
      </c>
      <c r="E371" s="58" t="s">
        <v>1210</v>
      </c>
      <c r="F371" s="58" t="s">
        <v>1211</v>
      </c>
      <c r="G371" s="88" t="s">
        <v>25</v>
      </c>
      <c r="H371" s="90">
        <v>21841700</v>
      </c>
      <c r="I371" s="90" t="s">
        <v>3787</v>
      </c>
      <c r="J371" s="90" t="s">
        <v>1212</v>
      </c>
      <c r="K371" s="88" t="s">
        <v>281</v>
      </c>
      <c r="L371" s="91">
        <v>30272</v>
      </c>
      <c r="M371" s="91">
        <v>43925</v>
      </c>
      <c r="N371" s="88">
        <f t="shared" ca="1" si="13"/>
        <v>2262</v>
      </c>
      <c r="O371" s="84" t="str">
        <f ca="1">IF(Tabla1[[#This Row],[|]]&gt;=0,"VENCIDA",IF(Tabla1[[#This Row],[|]]&gt;=-14,"POR VENCER","OK"))</f>
        <v>VENCIDA</v>
      </c>
      <c r="P371" s="90" t="s">
        <v>2425</v>
      </c>
      <c r="Q371" s="90" t="s">
        <v>312</v>
      </c>
      <c r="R371" s="88" t="s">
        <v>17</v>
      </c>
      <c r="S371" s="88"/>
      <c r="T371" s="88"/>
      <c r="U371" s="88"/>
      <c r="V371" s="88" t="s">
        <v>1016</v>
      </c>
      <c r="W371" s="92" t="s">
        <v>1017</v>
      </c>
      <c r="X371" s="203"/>
    </row>
    <row r="372" spans="1:24" s="63" customFormat="1" ht="32.25" customHeight="1" x14ac:dyDescent="0.2">
      <c r="A372" s="202">
        <v>411</v>
      </c>
      <c r="B372" s="88" t="s">
        <v>279</v>
      </c>
      <c r="C372" s="89">
        <v>411</v>
      </c>
      <c r="D372" s="88" t="str">
        <f t="shared" si="14"/>
        <v>SUPERMIX411</v>
      </c>
      <c r="E372" s="58" t="s">
        <v>1213</v>
      </c>
      <c r="F372" s="58" t="s">
        <v>1214</v>
      </c>
      <c r="G372" s="88" t="s">
        <v>25</v>
      </c>
      <c r="H372" s="90">
        <v>22674681</v>
      </c>
      <c r="I372" s="90" t="s">
        <v>3787</v>
      </c>
      <c r="J372" s="90" t="s">
        <v>1215</v>
      </c>
      <c r="K372" s="88" t="s">
        <v>281</v>
      </c>
      <c r="L372" s="91">
        <v>40749</v>
      </c>
      <c r="M372" s="91">
        <v>42918</v>
      </c>
      <c r="N372" s="88">
        <f t="shared" ca="1" si="13"/>
        <v>3269</v>
      </c>
      <c r="O372" s="84" t="str">
        <f ca="1">IF(Tabla1[[#This Row],[|]]&gt;=0,"VENCIDA",IF(Tabla1[[#This Row],[|]]&gt;=-14,"POR VENCER","OK"))</f>
        <v>VENCIDA</v>
      </c>
      <c r="P372" s="90" t="s">
        <v>1229</v>
      </c>
      <c r="Q372" s="90" t="s">
        <v>312</v>
      </c>
      <c r="R372" s="88" t="s">
        <v>17</v>
      </c>
      <c r="S372" s="88"/>
      <c r="T372" s="88"/>
      <c r="U372" s="88"/>
      <c r="V372" s="88" t="s">
        <v>1016</v>
      </c>
      <c r="W372" s="92" t="s">
        <v>1017</v>
      </c>
      <c r="X372" s="203"/>
    </row>
    <row r="373" spans="1:24" s="63" customFormat="1" ht="32.25" customHeight="1" x14ac:dyDescent="0.2">
      <c r="A373" s="202">
        <v>412</v>
      </c>
      <c r="B373" s="88" t="s">
        <v>279</v>
      </c>
      <c r="C373" s="89">
        <v>412</v>
      </c>
      <c r="D373" s="88" t="str">
        <f t="shared" si="14"/>
        <v>SUPERMIX412</v>
      </c>
      <c r="E373" s="58" t="s">
        <v>1217</v>
      </c>
      <c r="F373" s="58" t="s">
        <v>121</v>
      </c>
      <c r="G373" s="88" t="s">
        <v>25</v>
      </c>
      <c r="H373" s="90">
        <v>43561859</v>
      </c>
      <c r="I373" s="90" t="s">
        <v>3787</v>
      </c>
      <c r="J373" s="90" t="s">
        <v>1218</v>
      </c>
      <c r="K373" s="88" t="s">
        <v>343</v>
      </c>
      <c r="L373" s="91">
        <v>41675</v>
      </c>
      <c r="M373" s="91">
        <v>43875</v>
      </c>
      <c r="N373" s="88">
        <f t="shared" ca="1" si="13"/>
        <v>2312</v>
      </c>
      <c r="O373" s="84" t="str">
        <f ca="1">IF(Tabla1[[#This Row],[|]]&gt;=0,"VENCIDA",IF(Tabla1[[#This Row],[|]]&gt;=-14,"POR VENCER","OK"))</f>
        <v>VENCIDA</v>
      </c>
      <c r="P373" s="90" t="s">
        <v>1059</v>
      </c>
      <c r="Q373" s="90" t="s">
        <v>312</v>
      </c>
      <c r="R373" s="88" t="s">
        <v>317</v>
      </c>
      <c r="S373" s="88"/>
      <c r="T373" s="88"/>
      <c r="U373" s="88"/>
      <c r="V373" s="88" t="s">
        <v>1021</v>
      </c>
      <c r="W373" s="92" t="s">
        <v>971</v>
      </c>
      <c r="X373" s="203"/>
    </row>
    <row r="374" spans="1:24" s="43" customFormat="1" ht="32.25" customHeight="1" x14ac:dyDescent="0.2">
      <c r="A374" s="42">
        <v>413</v>
      </c>
      <c r="B374" s="93" t="s">
        <v>279</v>
      </c>
      <c r="C374" s="94">
        <v>413</v>
      </c>
      <c r="D374" s="93" t="str">
        <f t="shared" si="14"/>
        <v>SUPERMIX413</v>
      </c>
      <c r="E374" s="115" t="s">
        <v>1219</v>
      </c>
      <c r="F374" s="115" t="s">
        <v>1220</v>
      </c>
      <c r="G374" s="93" t="s">
        <v>2825</v>
      </c>
      <c r="H374" s="95">
        <v>29538880</v>
      </c>
      <c r="I374" s="95" t="s">
        <v>3788</v>
      </c>
      <c r="J374" s="95" t="s">
        <v>1221</v>
      </c>
      <c r="K374" s="93" t="s">
        <v>3443</v>
      </c>
      <c r="L374" s="96">
        <v>37859</v>
      </c>
      <c r="M374" s="96">
        <v>46561</v>
      </c>
      <c r="N374" s="93">
        <f t="shared" ca="1" si="13"/>
        <v>-374</v>
      </c>
      <c r="O374" s="84" t="str">
        <f ca="1">IF(Tabla1[[#This Row],[|]]&gt;=0,"VENCIDA",IF(Tabla1[[#This Row],[|]]&gt;=-14,"POR VENCER","OK"))</f>
        <v>OK</v>
      </c>
      <c r="P374" s="95" t="s">
        <v>3705</v>
      </c>
      <c r="Q374" s="95" t="s">
        <v>312</v>
      </c>
      <c r="R374" s="93" t="s">
        <v>317</v>
      </c>
      <c r="S374" s="93"/>
      <c r="T374" s="93"/>
      <c r="U374" s="93"/>
      <c r="V374" s="93" t="s">
        <v>334</v>
      </c>
      <c r="W374" s="97" t="s">
        <v>2997</v>
      </c>
      <c r="X374" s="204" t="s">
        <v>2960</v>
      </c>
    </row>
    <row r="375" spans="1:24" s="43" customFormat="1" ht="32.25" customHeight="1" x14ac:dyDescent="0.2">
      <c r="A375" s="42">
        <v>414</v>
      </c>
      <c r="B375" s="93" t="s">
        <v>279</v>
      </c>
      <c r="C375" s="94">
        <v>414</v>
      </c>
      <c r="D375" s="93" t="str">
        <f t="shared" si="14"/>
        <v>SUPERMIX414</v>
      </c>
      <c r="E375" s="115" t="s">
        <v>1223</v>
      </c>
      <c r="F375" s="115" t="s">
        <v>1224</v>
      </c>
      <c r="G375" s="93" t="s">
        <v>25</v>
      </c>
      <c r="H375" s="95">
        <v>44279045</v>
      </c>
      <c r="I375" s="95" t="s">
        <v>3788</v>
      </c>
      <c r="J375" s="95" t="s">
        <v>1225</v>
      </c>
      <c r="K375" s="93" t="s">
        <v>343</v>
      </c>
      <c r="L375" s="96">
        <v>42229</v>
      </c>
      <c r="M375" s="117">
        <v>43325</v>
      </c>
      <c r="N375" s="93">
        <f t="shared" ca="1" si="13"/>
        <v>2862</v>
      </c>
      <c r="O375" s="84" t="str">
        <f ca="1">IF(Tabla1[[#This Row],[|]]&gt;=0,"VENCIDA",IF(Tabla1[[#This Row],[|]]&gt;=-14,"POR VENCER","OK"))</f>
        <v>VENCIDA</v>
      </c>
      <c r="P375" s="95" t="s">
        <v>1059</v>
      </c>
      <c r="Q375" s="95" t="s">
        <v>312</v>
      </c>
      <c r="R375" s="93" t="s">
        <v>317</v>
      </c>
      <c r="S375" s="93"/>
      <c r="T375" s="93"/>
      <c r="U375" s="93"/>
      <c r="V375" s="93" t="s">
        <v>656</v>
      </c>
      <c r="W375" s="97" t="s">
        <v>1227</v>
      </c>
      <c r="X375" s="204"/>
    </row>
    <row r="376" spans="1:24" s="63" customFormat="1" ht="32.25" customHeight="1" x14ac:dyDescent="0.2">
      <c r="A376" s="202">
        <v>415</v>
      </c>
      <c r="B376" s="88" t="s">
        <v>279</v>
      </c>
      <c r="C376" s="89">
        <v>415</v>
      </c>
      <c r="D376" s="88" t="str">
        <f t="shared" si="14"/>
        <v>SUPERMIX415</v>
      </c>
      <c r="E376" s="58" t="s">
        <v>1226</v>
      </c>
      <c r="F376" s="58" t="s">
        <v>1004</v>
      </c>
      <c r="G376" s="88" t="s">
        <v>25</v>
      </c>
      <c r="H376" s="90">
        <v>41723371</v>
      </c>
      <c r="I376" s="90" t="s">
        <v>3787</v>
      </c>
      <c r="J376" s="90" t="s">
        <v>1228</v>
      </c>
      <c r="K376" s="88" t="s">
        <v>281</v>
      </c>
      <c r="L376" s="91">
        <v>41698</v>
      </c>
      <c r="M376" s="91">
        <v>42794</v>
      </c>
      <c r="N376" s="88">
        <f t="shared" ca="1" si="13"/>
        <v>3393</v>
      </c>
      <c r="O376" s="84" t="str">
        <f ca="1">IF(Tabla1[[#This Row],[|]]&gt;=0,"VENCIDA",IF(Tabla1[[#This Row],[|]]&gt;=-14,"POR VENCER","OK"))</f>
        <v>VENCIDA</v>
      </c>
      <c r="P376" s="90" t="s">
        <v>597</v>
      </c>
      <c r="Q376" s="90" t="s">
        <v>312</v>
      </c>
      <c r="R376" s="88" t="s">
        <v>317</v>
      </c>
      <c r="S376" s="88"/>
      <c r="T376" s="88"/>
      <c r="U376" s="88"/>
      <c r="V376" s="88" t="s">
        <v>656</v>
      </c>
      <c r="W376" s="92" t="s">
        <v>1227</v>
      </c>
      <c r="X376" s="203"/>
    </row>
    <row r="377" spans="1:24" s="63" customFormat="1" ht="32.25" customHeight="1" x14ac:dyDescent="0.2">
      <c r="A377" s="202">
        <v>416</v>
      </c>
      <c r="B377" s="88" t="s">
        <v>279</v>
      </c>
      <c r="C377" s="89">
        <v>416</v>
      </c>
      <c r="D377" s="88" t="str">
        <f t="shared" si="14"/>
        <v>SUPERMIX416</v>
      </c>
      <c r="E377" s="58" t="s">
        <v>1230</v>
      </c>
      <c r="F377" s="58" t="s">
        <v>1231</v>
      </c>
      <c r="G377" s="88" t="s">
        <v>25</v>
      </c>
      <c r="H377" s="90">
        <v>42213368</v>
      </c>
      <c r="I377" s="90" t="s">
        <v>3787</v>
      </c>
      <c r="J377" s="90" t="s">
        <v>1232</v>
      </c>
      <c r="K377" s="88" t="s">
        <v>293</v>
      </c>
      <c r="L377" s="91">
        <v>40651</v>
      </c>
      <c r="M377" s="91">
        <v>43140</v>
      </c>
      <c r="N377" s="88">
        <f t="shared" ca="1" si="13"/>
        <v>3047</v>
      </c>
      <c r="O377" s="84" t="str">
        <f ca="1">IF(Tabla1[[#This Row],[|]]&gt;=0,"VENCIDA",IF(Tabla1[[#This Row],[|]]&gt;=-14,"POR VENCER","OK"))</f>
        <v>VENCIDA</v>
      </c>
      <c r="P377" s="90" t="s">
        <v>640</v>
      </c>
      <c r="Q377" s="90" t="s">
        <v>312</v>
      </c>
      <c r="R377" s="88" t="s">
        <v>317</v>
      </c>
      <c r="S377" s="88"/>
      <c r="T377" s="88"/>
      <c r="U377" s="88"/>
      <c r="V377" s="88" t="s">
        <v>1233</v>
      </c>
      <c r="W377" s="92" t="s">
        <v>471</v>
      </c>
      <c r="X377" s="203"/>
    </row>
    <row r="378" spans="1:24" s="43" customFormat="1" ht="32.25" customHeight="1" x14ac:dyDescent="0.2">
      <c r="A378" s="42">
        <v>417</v>
      </c>
      <c r="B378" s="93" t="s">
        <v>279</v>
      </c>
      <c r="C378" s="94">
        <v>417</v>
      </c>
      <c r="D378" s="93" t="str">
        <f t="shared" si="14"/>
        <v>SUPERMIX417</v>
      </c>
      <c r="E378" s="115" t="s">
        <v>1234</v>
      </c>
      <c r="F378" s="115" t="s">
        <v>1235</v>
      </c>
      <c r="G378" s="93" t="s">
        <v>25</v>
      </c>
      <c r="H378" s="95">
        <v>43865900</v>
      </c>
      <c r="I378" s="95" t="s">
        <v>3788</v>
      </c>
      <c r="J378" s="95" t="s">
        <v>1236</v>
      </c>
      <c r="K378" s="93" t="s">
        <v>3142</v>
      </c>
      <c r="L378" s="96">
        <v>39185</v>
      </c>
      <c r="M378" s="96">
        <v>46621</v>
      </c>
      <c r="N378" s="93">
        <f t="shared" ca="1" si="13"/>
        <v>-434</v>
      </c>
      <c r="O378" s="84" t="str">
        <f ca="1">IF(Tabla1[[#This Row],[|]]&gt;=0,"VENCIDA",IF(Tabla1[[#This Row],[|]]&gt;=-14,"POR VENCER","OK"))</f>
        <v>OK</v>
      </c>
      <c r="P378" s="95" t="s">
        <v>1059</v>
      </c>
      <c r="Q378" s="95" t="s">
        <v>312</v>
      </c>
      <c r="R378" s="93" t="s">
        <v>317</v>
      </c>
      <c r="S378" s="93"/>
      <c r="T378" s="93"/>
      <c r="U378" s="93"/>
      <c r="V378" s="93" t="s">
        <v>668</v>
      </c>
      <c r="W378" s="97" t="s">
        <v>971</v>
      </c>
      <c r="X378" s="204"/>
    </row>
    <row r="379" spans="1:24" s="43" customFormat="1" ht="32.25" customHeight="1" x14ac:dyDescent="0.2">
      <c r="A379" s="42">
        <v>418</v>
      </c>
      <c r="B379" s="93" t="s">
        <v>279</v>
      </c>
      <c r="C379" s="94">
        <v>418</v>
      </c>
      <c r="D379" s="93" t="str">
        <f t="shared" si="14"/>
        <v>SUPERMIX418</v>
      </c>
      <c r="E379" s="115" t="s">
        <v>1237</v>
      </c>
      <c r="F379" s="115" t="s">
        <v>1238</v>
      </c>
      <c r="G379" s="93" t="s">
        <v>310</v>
      </c>
      <c r="H379" s="95">
        <v>40022326</v>
      </c>
      <c r="I379" s="95" t="s">
        <v>3788</v>
      </c>
      <c r="J379" s="95" t="s">
        <v>1239</v>
      </c>
      <c r="K379" s="93" t="s">
        <v>281</v>
      </c>
      <c r="L379" s="96">
        <v>41306</v>
      </c>
      <c r="M379" s="96">
        <v>46443</v>
      </c>
      <c r="N379" s="93">
        <f t="shared" ca="1" si="13"/>
        <v>-256</v>
      </c>
      <c r="O379" s="84" t="str">
        <f ca="1">IF(Tabla1[[#This Row],[|]]&gt;=0,"VENCIDA",IF(Tabla1[[#This Row],[|]]&gt;=-14,"POR VENCER","OK"))</f>
        <v>OK</v>
      </c>
      <c r="P379" s="95" t="s">
        <v>2847</v>
      </c>
      <c r="Q379" s="95" t="s">
        <v>312</v>
      </c>
      <c r="R379" s="93" t="s">
        <v>317</v>
      </c>
      <c r="S379" s="93"/>
      <c r="T379" s="93"/>
      <c r="U379" s="93"/>
      <c r="V379" s="93" t="s">
        <v>1016</v>
      </c>
      <c r="W379" s="97" t="s">
        <v>1017</v>
      </c>
      <c r="X379" s="204" t="s">
        <v>597</v>
      </c>
    </row>
    <row r="380" spans="1:24" s="43" customFormat="1" ht="32.25" customHeight="1" x14ac:dyDescent="0.2">
      <c r="A380" s="42">
        <v>419</v>
      </c>
      <c r="B380" s="93" t="s">
        <v>279</v>
      </c>
      <c r="C380" s="94">
        <v>419</v>
      </c>
      <c r="D380" s="93" t="str">
        <f t="shared" si="14"/>
        <v>SUPERMIX419</v>
      </c>
      <c r="E380" s="115" t="s">
        <v>1240</v>
      </c>
      <c r="F380" s="115" t="s">
        <v>1241</v>
      </c>
      <c r="G380" s="93" t="s">
        <v>25</v>
      </c>
      <c r="H380" s="95">
        <v>42216903</v>
      </c>
      <c r="I380" s="95" t="s">
        <v>3788</v>
      </c>
      <c r="J380" s="95" t="s">
        <v>1242</v>
      </c>
      <c r="K380" s="93" t="s">
        <v>281</v>
      </c>
      <c r="L380" s="96">
        <v>42601</v>
      </c>
      <c r="M380" s="96">
        <v>46791</v>
      </c>
      <c r="N380" s="93">
        <f t="shared" ca="1" si="13"/>
        <v>-604</v>
      </c>
      <c r="O380" s="84" t="str">
        <f ca="1">IF(Tabla1[[#This Row],[|]]&gt;=0,"VENCIDA",IF(Tabla1[[#This Row],[|]]&gt;=-14,"POR VENCER","OK"))</f>
        <v>OK</v>
      </c>
      <c r="P380" s="95" t="s">
        <v>2778</v>
      </c>
      <c r="Q380" s="95" t="s">
        <v>312</v>
      </c>
      <c r="R380" s="93" t="s">
        <v>17</v>
      </c>
      <c r="S380" s="93"/>
      <c r="T380" s="93"/>
      <c r="U380" s="93"/>
      <c r="V380" s="93" t="s">
        <v>1016</v>
      </c>
      <c r="W380" s="97" t="s">
        <v>2776</v>
      </c>
      <c r="X380" s="204" t="s">
        <v>2865</v>
      </c>
    </row>
    <row r="381" spans="1:24" s="63" customFormat="1" ht="32.25" customHeight="1" x14ac:dyDescent="0.2">
      <c r="A381" s="202">
        <v>420</v>
      </c>
      <c r="B381" s="88" t="s">
        <v>279</v>
      </c>
      <c r="C381" s="89">
        <v>420</v>
      </c>
      <c r="D381" s="88" t="str">
        <f t="shared" si="14"/>
        <v>SUPERMIX420</v>
      </c>
      <c r="E381" s="58" t="s">
        <v>1245</v>
      </c>
      <c r="F381" s="58" t="s">
        <v>1246</v>
      </c>
      <c r="G381" s="88" t="s">
        <v>25</v>
      </c>
      <c r="H381" s="90">
        <v>44230276</v>
      </c>
      <c r="I381" s="90" t="s">
        <v>3787</v>
      </c>
      <c r="J381" s="90" t="s">
        <v>1247</v>
      </c>
      <c r="K381" s="88" t="s">
        <v>293</v>
      </c>
      <c r="L381" s="91">
        <v>41788</v>
      </c>
      <c r="M381" s="91">
        <v>42916</v>
      </c>
      <c r="N381" s="88">
        <f t="shared" ca="1" si="13"/>
        <v>3271</v>
      </c>
      <c r="O381" s="84" t="str">
        <f ca="1">IF(Tabla1[[#This Row],[|]]&gt;=0,"VENCIDA",IF(Tabla1[[#This Row],[|]]&gt;=-14,"POR VENCER","OK"))</f>
        <v>VENCIDA</v>
      </c>
      <c r="P381" s="90" t="s">
        <v>1494</v>
      </c>
      <c r="Q381" s="90" t="s">
        <v>312</v>
      </c>
      <c r="R381" s="88" t="s">
        <v>317</v>
      </c>
      <c r="S381" s="88"/>
      <c r="T381" s="88"/>
      <c r="U381" s="88"/>
      <c r="V381" s="88" t="s">
        <v>763</v>
      </c>
      <c r="W381" s="92" t="s">
        <v>1480</v>
      </c>
      <c r="X381" s="203"/>
    </row>
    <row r="382" spans="1:24" s="63" customFormat="1" ht="32.25" customHeight="1" x14ac:dyDescent="0.2">
      <c r="A382" s="202">
        <v>421</v>
      </c>
      <c r="B382" s="88" t="s">
        <v>279</v>
      </c>
      <c r="C382" s="89">
        <v>421</v>
      </c>
      <c r="D382" s="88" t="str">
        <f t="shared" si="14"/>
        <v>SUPERMIX421</v>
      </c>
      <c r="E382" s="58" t="s">
        <v>1248</v>
      </c>
      <c r="F382" s="58" t="s">
        <v>1249</v>
      </c>
      <c r="G382" s="88" t="s">
        <v>310</v>
      </c>
      <c r="H382" s="90">
        <v>18189913</v>
      </c>
      <c r="I382" s="90" t="s">
        <v>3787</v>
      </c>
      <c r="J382" s="90" t="s">
        <v>1250</v>
      </c>
      <c r="K382" s="88" t="s">
        <v>293</v>
      </c>
      <c r="L382" s="91">
        <v>30328</v>
      </c>
      <c r="M382" s="91">
        <v>43703</v>
      </c>
      <c r="N382" s="88">
        <f t="shared" ca="1" si="13"/>
        <v>2484</v>
      </c>
      <c r="O382" s="84" t="str">
        <f ca="1">IF(Tabla1[[#This Row],[|]]&gt;=0,"VENCIDA",IF(Tabla1[[#This Row],[|]]&gt;=-14,"POR VENCER","OK"))</f>
        <v>VENCIDA</v>
      </c>
      <c r="P382" s="90" t="s">
        <v>1059</v>
      </c>
      <c r="Q382" s="90" t="s">
        <v>312</v>
      </c>
      <c r="R382" s="88" t="s">
        <v>17</v>
      </c>
      <c r="S382" s="88"/>
      <c r="T382" s="88"/>
      <c r="U382" s="88"/>
      <c r="V382" s="88" t="s">
        <v>763</v>
      </c>
      <c r="W382" s="92" t="s">
        <v>416</v>
      </c>
      <c r="X382" s="203"/>
    </row>
    <row r="383" spans="1:24" s="63" customFormat="1" ht="32.25" customHeight="1" x14ac:dyDescent="0.2">
      <c r="A383" s="202">
        <v>422</v>
      </c>
      <c r="B383" s="88" t="s">
        <v>279</v>
      </c>
      <c r="C383" s="89">
        <v>422</v>
      </c>
      <c r="D383" s="88" t="str">
        <f t="shared" si="14"/>
        <v>SUPERMIX422</v>
      </c>
      <c r="E383" s="58" t="s">
        <v>1251</v>
      </c>
      <c r="F383" s="58" t="s">
        <v>1252</v>
      </c>
      <c r="G383" s="88" t="s">
        <v>25</v>
      </c>
      <c r="H383" s="90">
        <v>45930494</v>
      </c>
      <c r="I383" s="90" t="s">
        <v>3787</v>
      </c>
      <c r="J383" s="90" t="s">
        <v>1253</v>
      </c>
      <c r="K383" s="88" t="s">
        <v>293</v>
      </c>
      <c r="L383" s="91">
        <v>41873</v>
      </c>
      <c r="M383" s="91">
        <v>42969</v>
      </c>
      <c r="N383" s="88">
        <f t="shared" ca="1" si="13"/>
        <v>3218</v>
      </c>
      <c r="O383" s="84" t="str">
        <f ca="1">IF(Tabla1[[#This Row],[|]]&gt;=0,"VENCIDA",IF(Tabla1[[#This Row],[|]]&gt;=-14,"POR VENCER","OK"))</f>
        <v>VENCIDA</v>
      </c>
      <c r="P383" s="90" t="s">
        <v>1254</v>
      </c>
      <c r="Q383" s="90" t="s">
        <v>312</v>
      </c>
      <c r="R383" s="88" t="s">
        <v>317</v>
      </c>
      <c r="S383" s="88"/>
      <c r="T383" s="88"/>
      <c r="U383" s="88"/>
      <c r="V383" s="88" t="s">
        <v>763</v>
      </c>
      <c r="W383" s="92" t="s">
        <v>416</v>
      </c>
      <c r="X383" s="203"/>
    </row>
    <row r="384" spans="1:24" ht="32.25" customHeight="1" x14ac:dyDescent="0.2">
      <c r="A384" s="37">
        <v>423</v>
      </c>
      <c r="B384" s="100" t="s">
        <v>279</v>
      </c>
      <c r="C384" s="101">
        <v>423</v>
      </c>
      <c r="D384" s="100" t="str">
        <f t="shared" si="14"/>
        <v>SUPERMIX423</v>
      </c>
      <c r="E384" s="115" t="s">
        <v>1255</v>
      </c>
      <c r="F384" s="169" t="s">
        <v>1256</v>
      </c>
      <c r="G384" s="100" t="s">
        <v>341</v>
      </c>
      <c r="H384" s="102">
        <v>47048752</v>
      </c>
      <c r="I384" s="102" t="s">
        <v>3788</v>
      </c>
      <c r="J384" s="102" t="s">
        <v>1257</v>
      </c>
      <c r="K384" s="100" t="s">
        <v>3660</v>
      </c>
      <c r="L384" s="103">
        <v>41404</v>
      </c>
      <c r="M384" s="103">
        <v>46449</v>
      </c>
      <c r="N384" s="100">
        <f t="shared" ca="1" si="13"/>
        <v>-262</v>
      </c>
      <c r="O384" s="84" t="str">
        <f ca="1">IF(Tabla1[[#This Row],[|]]&gt;=0,"VENCIDA",IF(Tabla1[[#This Row],[|]]&gt;=-14,"POR VENCER","OK"))</f>
        <v>OK</v>
      </c>
      <c r="P384" s="102" t="s">
        <v>2787</v>
      </c>
      <c r="Q384" s="102" t="s">
        <v>312</v>
      </c>
      <c r="R384" s="100" t="s">
        <v>317</v>
      </c>
      <c r="S384" s="100"/>
      <c r="T384" s="100"/>
      <c r="U384" s="100"/>
      <c r="V384" s="100" t="s">
        <v>1939</v>
      </c>
      <c r="W384" s="104" t="s">
        <v>3515</v>
      </c>
      <c r="X384" s="210" t="s">
        <v>2822</v>
      </c>
    </row>
    <row r="385" spans="1:24" s="43" customFormat="1" ht="32.25" customHeight="1" x14ac:dyDescent="0.2">
      <c r="A385" s="42">
        <v>424</v>
      </c>
      <c r="B385" s="93" t="s">
        <v>279</v>
      </c>
      <c r="C385" s="94">
        <v>424</v>
      </c>
      <c r="D385" s="93" t="str">
        <f t="shared" si="14"/>
        <v>SUPERMIX424</v>
      </c>
      <c r="E385" s="115" t="s">
        <v>1258</v>
      </c>
      <c r="F385" s="115" t="s">
        <v>1259</v>
      </c>
      <c r="G385" s="93" t="s">
        <v>2825</v>
      </c>
      <c r="H385" s="95">
        <v>29703639</v>
      </c>
      <c r="I385" s="95" t="s">
        <v>3788</v>
      </c>
      <c r="J385" s="95" t="s">
        <v>1260</v>
      </c>
      <c r="K385" s="93" t="s">
        <v>3443</v>
      </c>
      <c r="L385" s="96">
        <v>37631</v>
      </c>
      <c r="M385" s="119">
        <v>46320</v>
      </c>
      <c r="N385" s="93">
        <f t="shared" ca="1" si="13"/>
        <v>-133</v>
      </c>
      <c r="O385" s="84" t="str">
        <f ca="1">IF(Tabla1[[#This Row],[|]]&gt;=0,"VENCIDA",IF(Tabla1[[#This Row],[|]]&gt;=-14,"POR VENCER","OK"))</f>
        <v>OK</v>
      </c>
      <c r="P385" s="95" t="s">
        <v>597</v>
      </c>
      <c r="Q385" s="95" t="s">
        <v>312</v>
      </c>
      <c r="R385" s="93" t="s">
        <v>317</v>
      </c>
      <c r="S385" s="93"/>
      <c r="T385" s="93"/>
      <c r="U385" s="93"/>
      <c r="V385" s="93" t="s">
        <v>282</v>
      </c>
      <c r="W385" s="97" t="s">
        <v>1017</v>
      </c>
      <c r="X385" s="204" t="s">
        <v>597</v>
      </c>
    </row>
    <row r="386" spans="1:24" s="63" customFormat="1" ht="32.25" customHeight="1" x14ac:dyDescent="0.2">
      <c r="A386" s="202">
        <v>425</v>
      </c>
      <c r="B386" s="88" t="s">
        <v>279</v>
      </c>
      <c r="C386" s="89">
        <v>425</v>
      </c>
      <c r="D386" s="88" t="str">
        <f t="shared" si="14"/>
        <v>SUPERMIX425</v>
      </c>
      <c r="E386" s="58" t="s">
        <v>1263</v>
      </c>
      <c r="F386" s="58" t="s">
        <v>1264</v>
      </c>
      <c r="G386" s="88" t="s">
        <v>25</v>
      </c>
      <c r="H386" s="90">
        <v>40396498</v>
      </c>
      <c r="I386" s="90" t="s">
        <v>3787</v>
      </c>
      <c r="J386" s="90" t="s">
        <v>1265</v>
      </c>
      <c r="K386" s="88" t="s">
        <v>3142</v>
      </c>
      <c r="L386" s="91">
        <v>38100</v>
      </c>
      <c r="M386" s="91">
        <v>44940</v>
      </c>
      <c r="N386" s="88">
        <f t="shared" ref="N386:N449" ca="1" si="15">TODAY()-M386</f>
        <v>1247</v>
      </c>
      <c r="O386" s="84" t="str">
        <f ca="1">IF(Tabla1[[#This Row],[|]]&gt;=0,"VENCIDA",IF(Tabla1[[#This Row],[|]]&gt;=-14,"POR VENCER","OK"))</f>
        <v>VENCIDA</v>
      </c>
      <c r="P386" s="90" t="s">
        <v>1059</v>
      </c>
      <c r="Q386" s="90" t="s">
        <v>312</v>
      </c>
      <c r="R386" s="88" t="s">
        <v>317</v>
      </c>
      <c r="S386" s="88"/>
      <c r="T386" s="88"/>
      <c r="U386" s="88"/>
      <c r="V386" s="88" t="s">
        <v>668</v>
      </c>
      <c r="W386" s="92" t="s">
        <v>1267</v>
      </c>
      <c r="X386" s="203"/>
    </row>
    <row r="387" spans="1:24" s="63" customFormat="1" ht="32.25" customHeight="1" x14ac:dyDescent="0.2">
      <c r="A387" s="202">
        <v>426</v>
      </c>
      <c r="B387" s="88" t="s">
        <v>279</v>
      </c>
      <c r="C387" s="89">
        <v>426</v>
      </c>
      <c r="D387" s="88" t="str">
        <f t="shared" si="14"/>
        <v>SUPERMIX426</v>
      </c>
      <c r="E387" s="58" t="s">
        <v>1261</v>
      </c>
      <c r="F387" s="58" t="s">
        <v>1262</v>
      </c>
      <c r="G387" s="88" t="s">
        <v>774</v>
      </c>
      <c r="H387" s="90">
        <v>41806052</v>
      </c>
      <c r="I387" s="90" t="s">
        <v>3787</v>
      </c>
      <c r="J387" s="90" t="s">
        <v>1266</v>
      </c>
      <c r="K387" s="88" t="s">
        <v>3142</v>
      </c>
      <c r="L387" s="91">
        <v>37253</v>
      </c>
      <c r="M387" s="91">
        <v>43826</v>
      </c>
      <c r="N387" s="88">
        <f t="shared" ca="1" si="15"/>
        <v>2361</v>
      </c>
      <c r="O387" s="84" t="str">
        <f ca="1">IF(Tabla1[[#This Row],[|]]&gt;=0,"VENCIDA",IF(Tabla1[[#This Row],[|]]&gt;=-14,"POR VENCER","OK"))</f>
        <v>VENCIDA</v>
      </c>
      <c r="P387" s="90" t="s">
        <v>1059</v>
      </c>
      <c r="Q387" s="90" t="s">
        <v>312</v>
      </c>
      <c r="R387" s="88" t="s">
        <v>317</v>
      </c>
      <c r="S387" s="88"/>
      <c r="T387" s="88"/>
      <c r="U387" s="88"/>
      <c r="V387" s="88" t="s">
        <v>668</v>
      </c>
      <c r="W387" s="92" t="s">
        <v>1267</v>
      </c>
      <c r="X387" s="203"/>
    </row>
    <row r="388" spans="1:24" s="43" customFormat="1" ht="32.25" customHeight="1" x14ac:dyDescent="0.2">
      <c r="A388" s="42">
        <v>427</v>
      </c>
      <c r="B388" s="93" t="s">
        <v>279</v>
      </c>
      <c r="C388" s="94">
        <v>427</v>
      </c>
      <c r="D388" s="93" t="str">
        <f t="shared" si="14"/>
        <v>SUPERMIX427</v>
      </c>
      <c r="E388" s="115" t="s">
        <v>268</v>
      </c>
      <c r="F388" s="115" t="s">
        <v>269</v>
      </c>
      <c r="G388" s="93" t="s">
        <v>25</v>
      </c>
      <c r="H388" s="95">
        <v>29341554</v>
      </c>
      <c r="I388" s="95" t="s">
        <v>3788</v>
      </c>
      <c r="J388" s="93" t="s">
        <v>1268</v>
      </c>
      <c r="K388" s="93" t="s">
        <v>1834</v>
      </c>
      <c r="L388" s="96">
        <v>33914</v>
      </c>
      <c r="M388" s="96">
        <v>46204</v>
      </c>
      <c r="N388" s="93">
        <f t="shared" ca="1" si="15"/>
        <v>-17</v>
      </c>
      <c r="O388" s="84" t="str">
        <f ca="1">IF(Tabla1[[#This Row],[|]]&gt;=0,"VENCIDA",IF(Tabla1[[#This Row],[|]]&gt;=-14,"POR VENCER","OK"))</f>
        <v>OK</v>
      </c>
      <c r="P388" s="95" t="s">
        <v>3380</v>
      </c>
      <c r="Q388" s="95" t="s">
        <v>312</v>
      </c>
      <c r="R388" s="93" t="s">
        <v>17</v>
      </c>
      <c r="S388" s="93"/>
      <c r="T388" s="93"/>
      <c r="U388" s="93"/>
      <c r="V388" s="93" t="s">
        <v>282</v>
      </c>
      <c r="W388" s="97" t="s">
        <v>850</v>
      </c>
      <c r="X388" s="204" t="s">
        <v>597</v>
      </c>
    </row>
    <row r="389" spans="1:24" s="63" customFormat="1" ht="32.25" customHeight="1" x14ac:dyDescent="0.2">
      <c r="A389" s="202">
        <v>428</v>
      </c>
      <c r="B389" s="88" t="s">
        <v>279</v>
      </c>
      <c r="C389" s="89">
        <v>428</v>
      </c>
      <c r="D389" s="88" t="str">
        <f t="shared" si="14"/>
        <v>SUPERMIX428</v>
      </c>
      <c r="E389" s="58" t="s">
        <v>1269</v>
      </c>
      <c r="F389" s="58" t="s">
        <v>1270</v>
      </c>
      <c r="G389" s="88" t="s">
        <v>310</v>
      </c>
      <c r="H389" s="107" t="s">
        <v>1272</v>
      </c>
      <c r="I389" s="107" t="s">
        <v>3787</v>
      </c>
      <c r="J389" s="88" t="s">
        <v>1271</v>
      </c>
      <c r="K389" s="88" t="s">
        <v>281</v>
      </c>
      <c r="L389" s="91">
        <v>41163</v>
      </c>
      <c r="M389" s="91">
        <v>43354</v>
      </c>
      <c r="N389" s="88">
        <f t="shared" ca="1" si="15"/>
        <v>2833</v>
      </c>
      <c r="O389" s="84" t="str">
        <f ca="1">IF(Tabla1[[#This Row],[|]]&gt;=0,"VENCIDA",IF(Tabla1[[#This Row],[|]]&gt;=-14,"POR VENCER","OK"))</f>
        <v>VENCIDA</v>
      </c>
      <c r="P389" s="90" t="s">
        <v>1360</v>
      </c>
      <c r="Q389" s="90" t="s">
        <v>312</v>
      </c>
      <c r="R389" s="88" t="s">
        <v>317</v>
      </c>
      <c r="S389" s="88"/>
      <c r="T389" s="88"/>
      <c r="U389" s="88"/>
      <c r="V389" s="88" t="s">
        <v>668</v>
      </c>
      <c r="W389" s="92" t="s">
        <v>732</v>
      </c>
      <c r="X389" s="203"/>
    </row>
    <row r="390" spans="1:24" s="43" customFormat="1" ht="32.25" customHeight="1" x14ac:dyDescent="0.2">
      <c r="A390" s="42">
        <v>429</v>
      </c>
      <c r="B390" s="93" t="s">
        <v>279</v>
      </c>
      <c r="C390" s="94">
        <v>429</v>
      </c>
      <c r="D390" s="93" t="str">
        <f t="shared" si="14"/>
        <v>SUPERMIX429</v>
      </c>
      <c r="E390" s="115" t="s">
        <v>1273</v>
      </c>
      <c r="F390" s="115" t="s">
        <v>20</v>
      </c>
      <c r="G390" s="93" t="s">
        <v>25</v>
      </c>
      <c r="H390" s="95">
        <v>41159198</v>
      </c>
      <c r="I390" s="95" t="s">
        <v>3788</v>
      </c>
      <c r="J390" s="93" t="s">
        <v>1274</v>
      </c>
      <c r="K390" s="93" t="s">
        <v>281</v>
      </c>
      <c r="L390" s="96">
        <v>40518</v>
      </c>
      <c r="M390" s="96">
        <v>46801</v>
      </c>
      <c r="N390" s="93">
        <f t="shared" ca="1" si="15"/>
        <v>-614</v>
      </c>
      <c r="O390" s="84" t="str">
        <f ca="1">IF(Tabla1[[#This Row],[|]]&gt;=0,"VENCIDA",IF(Tabla1[[#This Row],[|]]&gt;=-14,"POR VENCER","OK"))</f>
        <v>OK</v>
      </c>
      <c r="P390" s="95" t="s">
        <v>3704</v>
      </c>
      <c r="Q390" s="95" t="s">
        <v>312</v>
      </c>
      <c r="R390" s="93" t="s">
        <v>17</v>
      </c>
      <c r="S390" s="93"/>
      <c r="T390" s="93"/>
      <c r="U390" s="93"/>
      <c r="V390" s="93" t="s">
        <v>282</v>
      </c>
      <c r="W390" s="97" t="s">
        <v>1017</v>
      </c>
      <c r="X390" s="204" t="s">
        <v>597</v>
      </c>
    </row>
    <row r="391" spans="1:24" s="63" customFormat="1" ht="32.25" customHeight="1" x14ac:dyDescent="0.2">
      <c r="A391" s="202">
        <v>430</v>
      </c>
      <c r="B391" s="88" t="s">
        <v>279</v>
      </c>
      <c r="C391" s="89">
        <v>430</v>
      </c>
      <c r="D391" s="88" t="str">
        <f t="shared" si="14"/>
        <v>SUPERMIX430</v>
      </c>
      <c r="E391" s="58" t="s">
        <v>1277</v>
      </c>
      <c r="F391" s="58" t="s">
        <v>1278</v>
      </c>
      <c r="G391" s="88" t="s">
        <v>25</v>
      </c>
      <c r="H391" s="107" t="s">
        <v>1279</v>
      </c>
      <c r="I391" s="107" t="s">
        <v>3787</v>
      </c>
      <c r="J391" s="107" t="s">
        <v>1280</v>
      </c>
      <c r="K391" s="88" t="s">
        <v>293</v>
      </c>
      <c r="L391" s="91">
        <v>30301</v>
      </c>
      <c r="M391" s="91">
        <v>44263</v>
      </c>
      <c r="N391" s="88">
        <f t="shared" ca="1" si="15"/>
        <v>1924</v>
      </c>
      <c r="O391" s="84" t="str">
        <f ca="1">IF(Tabla1[[#This Row],[|]]&gt;=0,"VENCIDA",IF(Tabla1[[#This Row],[|]]&gt;=-14,"POR VENCER","OK"))</f>
        <v>VENCIDA</v>
      </c>
      <c r="P391" s="90" t="s">
        <v>1355</v>
      </c>
      <c r="Q391" s="90" t="s">
        <v>312</v>
      </c>
      <c r="R391" s="88" t="s">
        <v>317</v>
      </c>
      <c r="S391" s="88"/>
      <c r="T391" s="88"/>
      <c r="U391" s="88"/>
      <c r="V391" s="88" t="s">
        <v>1281</v>
      </c>
      <c r="W391" s="92" t="s">
        <v>1282</v>
      </c>
      <c r="X391" s="203"/>
    </row>
    <row r="392" spans="1:24" s="43" customFormat="1" ht="32.25" customHeight="1" x14ac:dyDescent="0.2">
      <c r="A392" s="42">
        <v>431</v>
      </c>
      <c r="B392" s="93" t="s">
        <v>279</v>
      </c>
      <c r="C392" s="94">
        <v>431</v>
      </c>
      <c r="D392" s="93" t="str">
        <f t="shared" ref="D392:D455" si="16">CONCATENATE(B392,C392)</f>
        <v>SUPERMIX431</v>
      </c>
      <c r="E392" s="115" t="s">
        <v>1283</v>
      </c>
      <c r="F392" s="115" t="s">
        <v>952</v>
      </c>
      <c r="G392" s="93" t="s">
        <v>25</v>
      </c>
      <c r="H392" s="95">
        <v>40031430</v>
      </c>
      <c r="I392" s="95" t="s">
        <v>3788</v>
      </c>
      <c r="J392" s="95" t="s">
        <v>1284</v>
      </c>
      <c r="K392" s="93" t="s">
        <v>281</v>
      </c>
      <c r="L392" s="96">
        <v>39395</v>
      </c>
      <c r="M392" s="96">
        <v>47542</v>
      </c>
      <c r="N392" s="93">
        <f t="shared" ca="1" si="15"/>
        <v>-1355</v>
      </c>
      <c r="O392" s="84" t="str">
        <f ca="1">IF(Tabla1[[#This Row],[|]]&gt;=0,"VENCIDA",IF(Tabla1[[#This Row],[|]]&gt;=-14,"POR VENCER","OK"))</f>
        <v>OK</v>
      </c>
      <c r="P392" s="95" t="s">
        <v>3308</v>
      </c>
      <c r="Q392" s="95" t="s">
        <v>312</v>
      </c>
      <c r="R392" s="93" t="s">
        <v>17</v>
      </c>
      <c r="S392" s="93"/>
      <c r="T392" s="93"/>
      <c r="U392" s="93"/>
      <c r="V392" s="93" t="s">
        <v>1281</v>
      </c>
      <c r="W392" s="97" t="s">
        <v>1282</v>
      </c>
      <c r="X392" s="204" t="s">
        <v>2819</v>
      </c>
    </row>
    <row r="393" spans="1:24" s="43" customFormat="1" ht="32.25" customHeight="1" x14ac:dyDescent="0.2">
      <c r="A393" s="42">
        <v>432</v>
      </c>
      <c r="B393" s="93" t="s">
        <v>279</v>
      </c>
      <c r="C393" s="94">
        <v>432</v>
      </c>
      <c r="D393" s="93" t="str">
        <f t="shared" si="16"/>
        <v>SUPERMIX432</v>
      </c>
      <c r="E393" s="115" t="s">
        <v>441</v>
      </c>
      <c r="F393" s="115" t="s">
        <v>21</v>
      </c>
      <c r="G393" s="93" t="s">
        <v>25</v>
      </c>
      <c r="H393" s="95">
        <v>40549374</v>
      </c>
      <c r="I393" s="95" t="s">
        <v>3788</v>
      </c>
      <c r="J393" s="95" t="s">
        <v>442</v>
      </c>
      <c r="K393" s="93" t="s">
        <v>368</v>
      </c>
      <c r="L393" s="96">
        <v>40736</v>
      </c>
      <c r="M393" s="117">
        <v>46185</v>
      </c>
      <c r="N393" s="93">
        <f t="shared" ca="1" si="15"/>
        <v>2</v>
      </c>
      <c r="O393" s="84" t="str">
        <f ca="1">IF(Tabla1[[#This Row],[|]]&gt;=0,"VENCIDA",IF(Tabla1[[#This Row],[|]]&gt;=-14,"POR VENCER","OK"))</f>
        <v>VENCIDA</v>
      </c>
      <c r="P393" s="95" t="s">
        <v>2827</v>
      </c>
      <c r="Q393" s="95" t="s">
        <v>312</v>
      </c>
      <c r="R393" s="93" t="s">
        <v>17</v>
      </c>
      <c r="S393" s="93"/>
      <c r="T393" s="93"/>
      <c r="U393" s="93"/>
      <c r="V393" s="93" t="s">
        <v>282</v>
      </c>
      <c r="W393" s="97" t="s">
        <v>2776</v>
      </c>
      <c r="X393" s="93" t="s">
        <v>2870</v>
      </c>
    </row>
    <row r="394" spans="1:24" s="63" customFormat="1" ht="32.25" customHeight="1" x14ac:dyDescent="0.2">
      <c r="A394" s="202">
        <v>433</v>
      </c>
      <c r="B394" s="88" t="s">
        <v>279</v>
      </c>
      <c r="C394" s="89">
        <v>433</v>
      </c>
      <c r="D394" s="88" t="str">
        <f t="shared" si="16"/>
        <v>SUPERMIX433</v>
      </c>
      <c r="E394" s="58" t="s">
        <v>1285</v>
      </c>
      <c r="F394" s="58" t="s">
        <v>337</v>
      </c>
      <c r="G394" s="88" t="s">
        <v>25</v>
      </c>
      <c r="H394" s="90">
        <v>43362803</v>
      </c>
      <c r="I394" s="90" t="s">
        <v>3787</v>
      </c>
      <c r="J394" s="90" t="s">
        <v>1286</v>
      </c>
      <c r="K394" s="88" t="s">
        <v>3142</v>
      </c>
      <c r="L394" s="91">
        <v>39458</v>
      </c>
      <c r="M394" s="91">
        <v>43451</v>
      </c>
      <c r="N394" s="88">
        <f t="shared" ca="1" si="15"/>
        <v>2736</v>
      </c>
      <c r="O394" s="84" t="str">
        <f ca="1">IF(Tabla1[[#This Row],[|]]&gt;=0,"VENCIDA",IF(Tabla1[[#This Row],[|]]&gt;=-14,"POR VENCER","OK"))</f>
        <v>VENCIDA</v>
      </c>
      <c r="P394" s="90" t="s">
        <v>1059</v>
      </c>
      <c r="Q394" s="90" t="s">
        <v>312</v>
      </c>
      <c r="R394" s="88" t="s">
        <v>317</v>
      </c>
      <c r="S394" s="88"/>
      <c r="T394" s="88"/>
      <c r="U394" s="88"/>
      <c r="V394" s="88" t="s">
        <v>1281</v>
      </c>
      <c r="W394" s="92" t="s">
        <v>2776</v>
      </c>
      <c r="X394" s="203"/>
    </row>
    <row r="395" spans="1:24" s="63" customFormat="1" ht="32.25" customHeight="1" x14ac:dyDescent="0.2">
      <c r="A395" s="202">
        <v>434</v>
      </c>
      <c r="B395" s="88" t="s">
        <v>279</v>
      </c>
      <c r="C395" s="89">
        <v>434</v>
      </c>
      <c r="D395" s="88" t="str">
        <f t="shared" si="16"/>
        <v>SUPERMIX434</v>
      </c>
      <c r="E395" s="58" t="s">
        <v>1287</v>
      </c>
      <c r="F395" s="58" t="s">
        <v>1288</v>
      </c>
      <c r="G395" s="88" t="s">
        <v>25</v>
      </c>
      <c r="H395" s="90">
        <v>73491806</v>
      </c>
      <c r="I395" s="90" t="s">
        <v>3787</v>
      </c>
      <c r="J395" s="90" t="s">
        <v>1289</v>
      </c>
      <c r="K395" s="88" t="s">
        <v>343</v>
      </c>
      <c r="L395" s="91">
        <v>42734</v>
      </c>
      <c r="M395" s="91">
        <v>43829</v>
      </c>
      <c r="N395" s="88">
        <f t="shared" ca="1" si="15"/>
        <v>2358</v>
      </c>
      <c r="O395" s="84" t="str">
        <f ca="1">IF(Tabla1[[#This Row],[|]]&gt;=0,"VENCIDA",IF(Tabla1[[#This Row],[|]]&gt;=-14,"POR VENCER","OK"))</f>
        <v>VENCIDA</v>
      </c>
      <c r="P395" s="90" t="s">
        <v>1035</v>
      </c>
      <c r="Q395" s="90" t="s">
        <v>312</v>
      </c>
      <c r="R395" s="88" t="s">
        <v>317</v>
      </c>
      <c r="S395" s="88"/>
      <c r="T395" s="88"/>
      <c r="U395" s="88"/>
      <c r="V395" s="88" t="s">
        <v>1281</v>
      </c>
      <c r="W395" s="92" t="s">
        <v>1282</v>
      </c>
      <c r="X395" s="203"/>
    </row>
    <row r="396" spans="1:24" s="43" customFormat="1" ht="32.25" customHeight="1" x14ac:dyDescent="0.2">
      <c r="A396" s="42">
        <v>435</v>
      </c>
      <c r="B396" s="93" t="s">
        <v>279</v>
      </c>
      <c r="C396" s="94">
        <v>435</v>
      </c>
      <c r="D396" s="93" t="str">
        <f t="shared" si="16"/>
        <v>SUPERMIX435</v>
      </c>
      <c r="E396" s="115" t="s">
        <v>1545</v>
      </c>
      <c r="F396" s="115" t="s">
        <v>1290</v>
      </c>
      <c r="G396" s="93" t="s">
        <v>25</v>
      </c>
      <c r="H396" s="95">
        <v>44406732</v>
      </c>
      <c r="I396" s="95" t="s">
        <v>3788</v>
      </c>
      <c r="J396" s="95" t="s">
        <v>1291</v>
      </c>
      <c r="K396" s="93" t="s">
        <v>1954</v>
      </c>
      <c r="L396" s="96">
        <v>42307</v>
      </c>
      <c r="M396" s="96">
        <v>46205</v>
      </c>
      <c r="N396" s="93">
        <f t="shared" ca="1" si="15"/>
        <v>-18</v>
      </c>
      <c r="O396" s="84" t="str">
        <f ca="1">IF(Tabla1[[#This Row],[|]]&gt;=0,"VENCIDA",IF(Tabla1[[#This Row],[|]]&gt;=-14,"POR VENCER","OK"))</f>
        <v>OK</v>
      </c>
      <c r="P396" s="95" t="s">
        <v>3503</v>
      </c>
      <c r="Q396" s="95" t="s">
        <v>312</v>
      </c>
      <c r="R396" s="93" t="s">
        <v>317</v>
      </c>
      <c r="S396" s="93"/>
      <c r="T396" s="93"/>
      <c r="U396" s="93"/>
      <c r="V396" s="93" t="s">
        <v>1281</v>
      </c>
      <c r="W396" s="97" t="s">
        <v>1282</v>
      </c>
      <c r="X396" s="204" t="s">
        <v>3152</v>
      </c>
    </row>
    <row r="397" spans="1:24" s="63" customFormat="1" ht="32.25" customHeight="1" x14ac:dyDescent="0.2">
      <c r="A397" s="202">
        <v>436</v>
      </c>
      <c r="B397" s="88" t="s">
        <v>279</v>
      </c>
      <c r="C397" s="89">
        <v>436</v>
      </c>
      <c r="D397" s="88" t="str">
        <f t="shared" si="16"/>
        <v>SUPERMIX436</v>
      </c>
      <c r="E397" s="58" t="s">
        <v>96</v>
      </c>
      <c r="F397" s="58" t="s">
        <v>97</v>
      </c>
      <c r="G397" s="88" t="s">
        <v>25</v>
      </c>
      <c r="H397" s="107" t="s">
        <v>371</v>
      </c>
      <c r="I397" s="107" t="s">
        <v>3787</v>
      </c>
      <c r="J397" s="88" t="s">
        <v>709</v>
      </c>
      <c r="K397" s="88" t="s">
        <v>281</v>
      </c>
      <c r="L397" s="91">
        <v>34017</v>
      </c>
      <c r="M397" s="91">
        <v>44307</v>
      </c>
      <c r="N397" s="88">
        <f t="shared" ca="1" si="15"/>
        <v>1880</v>
      </c>
      <c r="O397" s="84" t="str">
        <f ca="1">IF(Tabla1[[#This Row],[|]]&gt;=0,"VENCIDA",IF(Tabla1[[#This Row],[|]]&gt;=-14,"POR VENCER","OK"))</f>
        <v>VENCIDA</v>
      </c>
      <c r="P397" s="90" t="s">
        <v>2708</v>
      </c>
      <c r="Q397" s="90" t="s">
        <v>312</v>
      </c>
      <c r="R397" s="88" t="s">
        <v>317</v>
      </c>
      <c r="S397" s="88"/>
      <c r="T397" s="88"/>
      <c r="U397" s="88"/>
      <c r="V397" s="88" t="s">
        <v>1281</v>
      </c>
      <c r="W397" s="92" t="s">
        <v>1282</v>
      </c>
      <c r="X397" s="203"/>
    </row>
    <row r="398" spans="1:24" s="43" customFormat="1" ht="32.25" customHeight="1" x14ac:dyDescent="0.2">
      <c r="A398" s="42">
        <v>437</v>
      </c>
      <c r="B398" s="93" t="s">
        <v>279</v>
      </c>
      <c r="C398" s="94">
        <v>437</v>
      </c>
      <c r="D398" s="93" t="str">
        <f t="shared" si="16"/>
        <v>SUPERMIX437</v>
      </c>
      <c r="E398" s="115" t="s">
        <v>1292</v>
      </c>
      <c r="F398" s="115" t="s">
        <v>1293</v>
      </c>
      <c r="G398" s="93" t="s">
        <v>25</v>
      </c>
      <c r="H398" s="128" t="s">
        <v>1294</v>
      </c>
      <c r="I398" s="128" t="s">
        <v>3788</v>
      </c>
      <c r="J398" s="128" t="s">
        <v>1295</v>
      </c>
      <c r="K398" s="93" t="s">
        <v>281</v>
      </c>
      <c r="L398" s="96">
        <v>39472</v>
      </c>
      <c r="M398" s="96">
        <v>47384</v>
      </c>
      <c r="N398" s="93">
        <f t="shared" ca="1" si="15"/>
        <v>-1197</v>
      </c>
      <c r="O398" s="84" t="str">
        <f ca="1">IF(Tabla1[[#This Row],[|]]&gt;=0,"VENCIDA",IF(Tabla1[[#This Row],[|]]&gt;=-14,"POR VENCER","OK"))</f>
        <v>OK</v>
      </c>
      <c r="P398" s="95" t="s">
        <v>3577</v>
      </c>
      <c r="Q398" s="95" t="s">
        <v>312</v>
      </c>
      <c r="R398" s="93" t="s">
        <v>317</v>
      </c>
      <c r="S398" s="93"/>
      <c r="T398" s="93"/>
      <c r="U398" s="93"/>
      <c r="V398" s="93" t="s">
        <v>1275</v>
      </c>
      <c r="W398" s="97" t="s">
        <v>1276</v>
      </c>
      <c r="X398" s="204" t="s">
        <v>640</v>
      </c>
    </row>
    <row r="399" spans="1:24" s="43" customFormat="1" ht="32.25" customHeight="1" x14ac:dyDescent="0.2">
      <c r="A399" s="42">
        <v>438</v>
      </c>
      <c r="B399" s="93" t="s">
        <v>279</v>
      </c>
      <c r="C399" s="94">
        <v>438</v>
      </c>
      <c r="D399" s="93" t="str">
        <f t="shared" si="16"/>
        <v>SUPERMIX438</v>
      </c>
      <c r="E399" s="115" t="s">
        <v>1296</v>
      </c>
      <c r="F399" s="115" t="s">
        <v>83</v>
      </c>
      <c r="G399" s="93" t="s">
        <v>25</v>
      </c>
      <c r="H399" s="95">
        <v>40070157</v>
      </c>
      <c r="I399" s="95" t="s">
        <v>3788</v>
      </c>
      <c r="J399" s="95" t="s">
        <v>1297</v>
      </c>
      <c r="K399" s="93" t="s">
        <v>1954</v>
      </c>
      <c r="L399" s="96">
        <v>40361</v>
      </c>
      <c r="M399" s="96">
        <v>46383</v>
      </c>
      <c r="N399" s="93">
        <f t="shared" ca="1" si="15"/>
        <v>-196</v>
      </c>
      <c r="O399" s="84" t="str">
        <f ca="1">IF(Tabla1[[#This Row],[|]]&gt;=0,"VENCIDA",IF(Tabla1[[#This Row],[|]]&gt;=-14,"POR VENCER","OK"))</f>
        <v>OK</v>
      </c>
      <c r="P399" s="95" t="s">
        <v>2798</v>
      </c>
      <c r="Q399" s="95" t="s">
        <v>312</v>
      </c>
      <c r="R399" s="93" t="s">
        <v>317</v>
      </c>
      <c r="S399" s="93"/>
      <c r="T399" s="93"/>
      <c r="U399" s="93"/>
      <c r="V399" s="93" t="s">
        <v>1275</v>
      </c>
      <c r="W399" s="97" t="s">
        <v>1276</v>
      </c>
      <c r="X399" s="204" t="s">
        <v>597</v>
      </c>
    </row>
    <row r="400" spans="1:24" s="43" customFormat="1" ht="32.25" customHeight="1" x14ac:dyDescent="0.2">
      <c r="A400" s="42">
        <v>439</v>
      </c>
      <c r="B400" s="93" t="s">
        <v>279</v>
      </c>
      <c r="C400" s="94">
        <v>439</v>
      </c>
      <c r="D400" s="93" t="str">
        <f t="shared" si="16"/>
        <v>SUPERMIX439</v>
      </c>
      <c r="E400" s="115" t="s">
        <v>1298</v>
      </c>
      <c r="F400" s="115" t="s">
        <v>1299</v>
      </c>
      <c r="G400" s="93" t="s">
        <v>25</v>
      </c>
      <c r="H400" s="95">
        <v>46102406</v>
      </c>
      <c r="I400" s="95" t="s">
        <v>3788</v>
      </c>
      <c r="J400" s="95" t="s">
        <v>1300</v>
      </c>
      <c r="K400" s="93" t="s">
        <v>877</v>
      </c>
      <c r="L400" s="96">
        <v>41835</v>
      </c>
      <c r="M400" s="117">
        <v>42931</v>
      </c>
      <c r="N400" s="93">
        <f t="shared" ca="1" si="15"/>
        <v>3256</v>
      </c>
      <c r="O400" s="84" t="str">
        <f ca="1">IF(Tabla1[[#This Row],[|]]&gt;=0,"VENCIDA",IF(Tabla1[[#This Row],[|]]&gt;=-14,"POR VENCER","OK"))</f>
        <v>VENCIDA</v>
      </c>
      <c r="P400" s="95" t="s">
        <v>1059</v>
      </c>
      <c r="Q400" s="95" t="s">
        <v>312</v>
      </c>
      <c r="R400" s="93" t="s">
        <v>317</v>
      </c>
      <c r="S400" s="93"/>
      <c r="T400" s="93"/>
      <c r="U400" s="93"/>
      <c r="V400" s="93" t="s">
        <v>1281</v>
      </c>
      <c r="W400" s="97" t="s">
        <v>1282</v>
      </c>
      <c r="X400" s="204"/>
    </row>
    <row r="401" spans="1:24" s="63" customFormat="1" ht="32.25" customHeight="1" x14ac:dyDescent="0.2">
      <c r="A401" s="202">
        <v>440</v>
      </c>
      <c r="B401" s="88" t="s">
        <v>279</v>
      </c>
      <c r="C401" s="89">
        <v>440</v>
      </c>
      <c r="D401" s="88" t="str">
        <f t="shared" si="16"/>
        <v>SUPERMIX440</v>
      </c>
      <c r="E401" s="58" t="s">
        <v>1302</v>
      </c>
      <c r="F401" s="58" t="s">
        <v>1303</v>
      </c>
      <c r="G401" s="88" t="s">
        <v>310</v>
      </c>
      <c r="H401" s="90">
        <v>40846360</v>
      </c>
      <c r="I401" s="90" t="s">
        <v>3787</v>
      </c>
      <c r="J401" s="88" t="s">
        <v>1304</v>
      </c>
      <c r="K401" s="88" t="s">
        <v>281</v>
      </c>
      <c r="L401" s="91">
        <v>42284</v>
      </c>
      <c r="M401" s="91">
        <v>43380</v>
      </c>
      <c r="N401" s="88">
        <f t="shared" ca="1" si="15"/>
        <v>2807</v>
      </c>
      <c r="O401" s="84" t="str">
        <f ca="1">IF(Tabla1[[#This Row],[|]]&gt;=0,"VENCIDA",IF(Tabla1[[#This Row],[|]]&gt;=-14,"POR VENCER","OK"))</f>
        <v>VENCIDA</v>
      </c>
      <c r="P401" s="90" t="s">
        <v>1059</v>
      </c>
      <c r="Q401" s="90" t="s">
        <v>312</v>
      </c>
      <c r="R401" s="88" t="s">
        <v>17</v>
      </c>
      <c r="S401" s="88"/>
      <c r="T401" s="88"/>
      <c r="U401" s="88"/>
      <c r="V401" s="88" t="s">
        <v>668</v>
      </c>
      <c r="W401" s="92" t="s">
        <v>1305</v>
      </c>
      <c r="X401" s="203"/>
    </row>
    <row r="402" spans="1:24" s="44" customFormat="1" ht="32.25" customHeight="1" x14ac:dyDescent="0.2">
      <c r="A402" s="42">
        <v>441</v>
      </c>
      <c r="B402" s="93" t="s">
        <v>279</v>
      </c>
      <c r="C402" s="94">
        <v>441</v>
      </c>
      <c r="D402" s="93" t="str">
        <f t="shared" si="16"/>
        <v>SUPERMIX441</v>
      </c>
      <c r="E402" s="115" t="s">
        <v>1310</v>
      </c>
      <c r="F402" s="115" t="s">
        <v>1309</v>
      </c>
      <c r="G402" s="93" t="s">
        <v>25</v>
      </c>
      <c r="H402" s="95">
        <v>80034963</v>
      </c>
      <c r="I402" s="95" t="s">
        <v>3788</v>
      </c>
      <c r="J402" s="93" t="s">
        <v>1311</v>
      </c>
      <c r="K402" s="93" t="s">
        <v>281</v>
      </c>
      <c r="L402" s="96">
        <v>42314</v>
      </c>
      <c r="M402" s="117">
        <v>43410</v>
      </c>
      <c r="N402" s="93">
        <f t="shared" ca="1" si="15"/>
        <v>2777</v>
      </c>
      <c r="O402" s="84" t="str">
        <f ca="1">IF(Tabla1[[#This Row],[|]]&gt;=0,"VENCIDA",IF(Tabla1[[#This Row],[|]]&gt;=-14,"POR VENCER","OK"))</f>
        <v>VENCIDA</v>
      </c>
      <c r="P402" s="95" t="s">
        <v>1513</v>
      </c>
      <c r="Q402" s="95" t="s">
        <v>312</v>
      </c>
      <c r="R402" s="93" t="s">
        <v>17</v>
      </c>
      <c r="S402" s="93"/>
      <c r="T402" s="93"/>
      <c r="U402" s="93"/>
      <c r="V402" s="93" t="s">
        <v>1016</v>
      </c>
      <c r="W402" s="97" t="s">
        <v>1017</v>
      </c>
      <c r="X402" s="204"/>
    </row>
    <row r="403" spans="1:24" s="43" customFormat="1" ht="32.25" customHeight="1" x14ac:dyDescent="0.2">
      <c r="A403" s="42">
        <v>442</v>
      </c>
      <c r="B403" s="93" t="s">
        <v>279</v>
      </c>
      <c r="C403" s="94">
        <v>442</v>
      </c>
      <c r="D403" s="93" t="str">
        <f t="shared" si="16"/>
        <v>SUPERMIX442</v>
      </c>
      <c r="E403" s="115" t="s">
        <v>1312</v>
      </c>
      <c r="F403" s="115" t="s">
        <v>83</v>
      </c>
      <c r="G403" s="93" t="s">
        <v>25</v>
      </c>
      <c r="H403" s="95">
        <v>45792792</v>
      </c>
      <c r="I403" s="95" t="s">
        <v>3788</v>
      </c>
      <c r="J403" s="93" t="s">
        <v>1313</v>
      </c>
      <c r="K403" s="93" t="s">
        <v>281</v>
      </c>
      <c r="L403" s="96">
        <v>42661</v>
      </c>
      <c r="M403" s="96">
        <v>46652</v>
      </c>
      <c r="N403" s="93">
        <f t="shared" ca="1" si="15"/>
        <v>-465</v>
      </c>
      <c r="O403" s="84" t="str">
        <f ca="1">IF(Tabla1[[#This Row],[|]]&gt;=0,"VENCIDA",IF(Tabla1[[#This Row],[|]]&gt;=-14,"POR VENCER","OK"))</f>
        <v>OK</v>
      </c>
      <c r="P403" s="95" t="s">
        <v>3424</v>
      </c>
      <c r="Q403" s="95" t="s">
        <v>312</v>
      </c>
      <c r="R403" s="93" t="s">
        <v>17</v>
      </c>
      <c r="S403" s="93"/>
      <c r="T403" s="93"/>
      <c r="U403" s="93"/>
      <c r="V403" s="93" t="s">
        <v>750</v>
      </c>
      <c r="W403" s="97" t="s">
        <v>511</v>
      </c>
      <c r="X403" s="204" t="s">
        <v>2893</v>
      </c>
    </row>
    <row r="404" spans="1:24" s="43" customFormat="1" ht="32.25" customHeight="1" x14ac:dyDescent="0.2">
      <c r="A404" s="42">
        <v>443</v>
      </c>
      <c r="B404" s="93" t="s">
        <v>279</v>
      </c>
      <c r="C404" s="94">
        <v>443</v>
      </c>
      <c r="D404" s="93" t="str">
        <f t="shared" si="16"/>
        <v>SUPERMIX443</v>
      </c>
      <c r="E404" s="115" t="s">
        <v>1314</v>
      </c>
      <c r="F404" s="115" t="s">
        <v>1315</v>
      </c>
      <c r="G404" s="93" t="s">
        <v>25</v>
      </c>
      <c r="H404" s="95">
        <v>41523526</v>
      </c>
      <c r="I404" s="95" t="s">
        <v>3788</v>
      </c>
      <c r="J404" s="93" t="s">
        <v>1316</v>
      </c>
      <c r="K404" s="93" t="s">
        <v>343</v>
      </c>
      <c r="L404" s="96">
        <v>38515</v>
      </c>
      <c r="M404" s="96">
        <v>46009</v>
      </c>
      <c r="N404" s="93">
        <f t="shared" ca="1" si="15"/>
        <v>178</v>
      </c>
      <c r="O404" s="84" t="str">
        <f ca="1">IF(Tabla1[[#This Row],[|]]&gt;=0,"VENCIDA",IF(Tabla1[[#This Row],[|]]&gt;=-14,"POR VENCER","OK"))</f>
        <v>VENCIDA</v>
      </c>
      <c r="P404" s="95" t="s">
        <v>2231</v>
      </c>
      <c r="Q404" s="95" t="s">
        <v>312</v>
      </c>
      <c r="R404" s="93" t="s">
        <v>317</v>
      </c>
      <c r="S404" s="93"/>
      <c r="T404" s="93"/>
      <c r="U404" s="93"/>
      <c r="V404" s="93" t="s">
        <v>334</v>
      </c>
      <c r="W404" s="97" t="s">
        <v>2947</v>
      </c>
      <c r="X404" s="204" t="s">
        <v>3684</v>
      </c>
    </row>
    <row r="405" spans="1:24" s="43" customFormat="1" ht="32.25" customHeight="1" x14ac:dyDescent="0.2">
      <c r="A405" s="42">
        <v>444</v>
      </c>
      <c r="B405" s="93" t="s">
        <v>279</v>
      </c>
      <c r="C405" s="94">
        <v>444</v>
      </c>
      <c r="D405" s="93" t="str">
        <f t="shared" si="16"/>
        <v>SUPERMIX444</v>
      </c>
      <c r="E405" s="115" t="s">
        <v>1318</v>
      </c>
      <c r="F405" s="115" t="s">
        <v>1319</v>
      </c>
      <c r="G405" s="93" t="s">
        <v>25</v>
      </c>
      <c r="H405" s="95">
        <v>29682149</v>
      </c>
      <c r="I405" s="95" t="s">
        <v>3788</v>
      </c>
      <c r="J405" s="93" t="s">
        <v>1320</v>
      </c>
      <c r="K405" s="93" t="s">
        <v>281</v>
      </c>
      <c r="L405" s="96">
        <v>40905</v>
      </c>
      <c r="M405" s="117">
        <v>44171</v>
      </c>
      <c r="N405" s="93">
        <f t="shared" ca="1" si="15"/>
        <v>2016</v>
      </c>
      <c r="O405" s="84" t="str">
        <f ca="1">IF(Tabla1[[#This Row],[|]]&gt;=0,"VENCIDA",IF(Tabla1[[#This Row],[|]]&gt;=-14,"POR VENCER","OK"))</f>
        <v>VENCIDA</v>
      </c>
      <c r="P405" s="95" t="s">
        <v>2424</v>
      </c>
      <c r="Q405" s="95" t="s">
        <v>312</v>
      </c>
      <c r="R405" s="93" t="s">
        <v>317</v>
      </c>
      <c r="S405" s="93"/>
      <c r="T405" s="93"/>
      <c r="U405" s="93"/>
      <c r="V405" s="93" t="s">
        <v>849</v>
      </c>
      <c r="W405" s="97" t="s">
        <v>716</v>
      </c>
      <c r="X405" s="204"/>
    </row>
    <row r="406" spans="1:24" s="63" customFormat="1" ht="32.25" customHeight="1" x14ac:dyDescent="0.2">
      <c r="A406" s="202">
        <v>445</v>
      </c>
      <c r="B406" s="88" t="s">
        <v>279</v>
      </c>
      <c r="C406" s="89">
        <v>445</v>
      </c>
      <c r="D406" s="88" t="str">
        <f t="shared" si="16"/>
        <v>SUPERMIX445</v>
      </c>
      <c r="E406" s="58" t="s">
        <v>1321</v>
      </c>
      <c r="F406" s="58" t="s">
        <v>1322</v>
      </c>
      <c r="G406" s="88" t="s">
        <v>25</v>
      </c>
      <c r="H406" s="90">
        <v>40724427</v>
      </c>
      <c r="I406" s="90" t="s">
        <v>3787</v>
      </c>
      <c r="J406" s="88" t="s">
        <v>1323</v>
      </c>
      <c r="K406" s="88" t="s">
        <v>281</v>
      </c>
      <c r="L406" s="91" t="s">
        <v>1324</v>
      </c>
      <c r="M406" s="91">
        <v>44535</v>
      </c>
      <c r="N406" s="88">
        <f t="shared" ca="1" si="15"/>
        <v>1652</v>
      </c>
      <c r="O406" s="84" t="str">
        <f ca="1">IF(Tabla1[[#This Row],[|]]&gt;=0,"VENCIDA",IF(Tabla1[[#This Row],[|]]&gt;=-14,"POR VENCER","OK"))</f>
        <v>VENCIDA</v>
      </c>
      <c r="P406" s="90" t="s">
        <v>3169</v>
      </c>
      <c r="Q406" s="90" t="s">
        <v>312</v>
      </c>
      <c r="R406" s="88" t="s">
        <v>317</v>
      </c>
      <c r="S406" s="88"/>
      <c r="T406" s="88"/>
      <c r="U406" s="88"/>
      <c r="V406" s="88" t="s">
        <v>282</v>
      </c>
      <c r="W406" s="92" t="s">
        <v>2776</v>
      </c>
      <c r="X406" s="203" t="s">
        <v>597</v>
      </c>
    </row>
    <row r="407" spans="1:24" s="43" customFormat="1" ht="32.25" customHeight="1" x14ac:dyDescent="0.2">
      <c r="A407" s="42">
        <v>446</v>
      </c>
      <c r="B407" s="93" t="s">
        <v>279</v>
      </c>
      <c r="C407" s="94">
        <v>446</v>
      </c>
      <c r="D407" s="93" t="str">
        <f t="shared" si="16"/>
        <v>SUPERMIX446</v>
      </c>
      <c r="E407" s="115" t="s">
        <v>1326</v>
      </c>
      <c r="F407" s="115" t="s">
        <v>609</v>
      </c>
      <c r="G407" s="93" t="s">
        <v>25</v>
      </c>
      <c r="H407" s="95">
        <v>43636043</v>
      </c>
      <c r="I407" s="95" t="s">
        <v>3788</v>
      </c>
      <c r="J407" s="95" t="s">
        <v>1327</v>
      </c>
      <c r="K407" s="93" t="s">
        <v>1834</v>
      </c>
      <c r="L407" s="96">
        <v>42717</v>
      </c>
      <c r="M407" s="96">
        <v>46725</v>
      </c>
      <c r="N407" s="93">
        <f t="shared" ca="1" si="15"/>
        <v>-538</v>
      </c>
      <c r="O407" s="84" t="str">
        <f ca="1">IF(Tabla1[[#This Row],[|]]&gt;=0,"VENCIDA",IF(Tabla1[[#This Row],[|]]&gt;=-14,"POR VENCER","OK"))</f>
        <v>OK</v>
      </c>
      <c r="P407" s="95" t="s">
        <v>2827</v>
      </c>
      <c r="Q407" s="95" t="s">
        <v>312</v>
      </c>
      <c r="R407" s="93" t="s">
        <v>17</v>
      </c>
      <c r="S407" s="93"/>
      <c r="T407" s="93"/>
      <c r="U407" s="93"/>
      <c r="V407" s="93" t="s">
        <v>282</v>
      </c>
      <c r="W407" s="97" t="s">
        <v>2776</v>
      </c>
      <c r="X407" s="93" t="s">
        <v>2913</v>
      </c>
    </row>
    <row r="408" spans="1:24" s="63" customFormat="1" ht="32.25" customHeight="1" x14ac:dyDescent="0.2">
      <c r="A408" s="202">
        <v>447</v>
      </c>
      <c r="B408" s="88" t="s">
        <v>279</v>
      </c>
      <c r="C408" s="89">
        <v>447</v>
      </c>
      <c r="D408" s="88" t="str">
        <f t="shared" si="16"/>
        <v>SUPERMIX447</v>
      </c>
      <c r="E408" s="58" t="s">
        <v>1330</v>
      </c>
      <c r="F408" s="58" t="s">
        <v>1329</v>
      </c>
      <c r="G408" s="88" t="s">
        <v>25</v>
      </c>
      <c r="H408" s="90">
        <v>43120990</v>
      </c>
      <c r="I408" s="90" t="s">
        <v>3787</v>
      </c>
      <c r="J408" s="90" t="s">
        <v>1331</v>
      </c>
      <c r="K408" s="88" t="s">
        <v>281</v>
      </c>
      <c r="L408" s="91">
        <v>42047</v>
      </c>
      <c r="M408" s="91">
        <v>43679</v>
      </c>
      <c r="N408" s="88">
        <f t="shared" ca="1" si="15"/>
        <v>2508</v>
      </c>
      <c r="O408" s="84" t="str">
        <f ca="1">IF(Tabla1[[#This Row],[|]]&gt;=0,"VENCIDA",IF(Tabla1[[#This Row],[|]]&gt;=-14,"POR VENCER","OK"))</f>
        <v>VENCIDA</v>
      </c>
      <c r="P408" s="90" t="s">
        <v>1387</v>
      </c>
      <c r="Q408" s="90" t="s">
        <v>312</v>
      </c>
      <c r="R408" s="88" t="s">
        <v>317</v>
      </c>
      <c r="S408" s="88"/>
      <c r="T408" s="88"/>
      <c r="U408" s="88"/>
      <c r="V408" s="88" t="s">
        <v>1551</v>
      </c>
      <c r="W408" s="92"/>
      <c r="X408" s="88"/>
    </row>
    <row r="409" spans="1:24" s="63" customFormat="1" ht="32.25" customHeight="1" x14ac:dyDescent="0.2">
      <c r="A409" s="202">
        <v>448</v>
      </c>
      <c r="B409" s="88" t="s">
        <v>279</v>
      </c>
      <c r="C409" s="89">
        <v>448</v>
      </c>
      <c r="D409" s="88" t="str">
        <f t="shared" si="16"/>
        <v>SUPERMIX448</v>
      </c>
      <c r="E409" s="58" t="s">
        <v>1332</v>
      </c>
      <c r="F409" s="58" t="s">
        <v>842</v>
      </c>
      <c r="G409" s="88" t="s">
        <v>25</v>
      </c>
      <c r="H409" s="90">
        <v>42056632</v>
      </c>
      <c r="I409" s="90" t="s">
        <v>3787</v>
      </c>
      <c r="J409" s="90" t="s">
        <v>1333</v>
      </c>
      <c r="K409" s="88" t="s">
        <v>281</v>
      </c>
      <c r="L409" s="91">
        <v>41177</v>
      </c>
      <c r="M409" s="91">
        <v>43373</v>
      </c>
      <c r="N409" s="88">
        <f t="shared" ca="1" si="15"/>
        <v>2814</v>
      </c>
      <c r="O409" s="84" t="str">
        <f ca="1">IF(Tabla1[[#This Row],[|]]&gt;=0,"VENCIDA",IF(Tabla1[[#This Row],[|]]&gt;=-14,"POR VENCER","OK"))</f>
        <v>VENCIDA</v>
      </c>
      <c r="P409" s="90" t="s">
        <v>1334</v>
      </c>
      <c r="Q409" s="90" t="s">
        <v>312</v>
      </c>
      <c r="R409" s="88" t="s">
        <v>317</v>
      </c>
      <c r="S409" s="88"/>
      <c r="T409" s="88"/>
      <c r="U409" s="88"/>
      <c r="V409" s="88" t="s">
        <v>1328</v>
      </c>
      <c r="W409" s="92" t="s">
        <v>717</v>
      </c>
      <c r="X409" s="88"/>
    </row>
    <row r="410" spans="1:24" s="63" customFormat="1" ht="32.25" customHeight="1" x14ac:dyDescent="0.2">
      <c r="A410" s="202">
        <v>449</v>
      </c>
      <c r="B410" s="88" t="s">
        <v>279</v>
      </c>
      <c r="C410" s="89">
        <v>449</v>
      </c>
      <c r="D410" s="88" t="str">
        <f t="shared" si="16"/>
        <v>SUPERMIX449</v>
      </c>
      <c r="E410" s="58" t="s">
        <v>1336</v>
      </c>
      <c r="F410" s="58" t="s">
        <v>1335</v>
      </c>
      <c r="G410" s="88" t="s">
        <v>25</v>
      </c>
      <c r="H410" s="90">
        <v>29483440</v>
      </c>
      <c r="I410" s="90" t="s">
        <v>3787</v>
      </c>
      <c r="J410" s="88" t="s">
        <v>1337</v>
      </c>
      <c r="K410" s="88" t="s">
        <v>281</v>
      </c>
      <c r="L410" s="91">
        <v>36713</v>
      </c>
      <c r="M410" s="91">
        <v>42814</v>
      </c>
      <c r="N410" s="88">
        <f t="shared" ca="1" si="15"/>
        <v>3373</v>
      </c>
      <c r="O410" s="84" t="str">
        <f ca="1">IF(Tabla1[[#This Row],[|]]&gt;=0,"VENCIDA",IF(Tabla1[[#This Row],[|]]&gt;=-14,"POR VENCER","OK"))</f>
        <v>VENCIDA</v>
      </c>
      <c r="P410" s="90" t="s">
        <v>597</v>
      </c>
      <c r="Q410" s="90" t="s">
        <v>312</v>
      </c>
      <c r="R410" s="88" t="s">
        <v>17</v>
      </c>
      <c r="S410" s="88"/>
      <c r="T410" s="88"/>
      <c r="U410" s="88"/>
      <c r="V410" s="88" t="s">
        <v>1338</v>
      </c>
      <c r="W410" s="92" t="s">
        <v>1339</v>
      </c>
      <c r="X410" s="88"/>
    </row>
    <row r="411" spans="1:24" s="63" customFormat="1" ht="32.25" customHeight="1" x14ac:dyDescent="0.2">
      <c r="A411" s="202">
        <v>450</v>
      </c>
      <c r="B411" s="88" t="s">
        <v>279</v>
      </c>
      <c r="C411" s="89">
        <v>450</v>
      </c>
      <c r="D411" s="88" t="str">
        <f t="shared" si="16"/>
        <v>SUPERMIX450</v>
      </c>
      <c r="E411" s="58" t="s">
        <v>1340</v>
      </c>
      <c r="F411" s="58" t="s">
        <v>1341</v>
      </c>
      <c r="G411" s="88" t="s">
        <v>25</v>
      </c>
      <c r="H411" s="90">
        <v>29227487</v>
      </c>
      <c r="I411" s="90" t="s">
        <v>3787</v>
      </c>
      <c r="J411" s="88" t="s">
        <v>1342</v>
      </c>
      <c r="K411" s="88" t="s">
        <v>1834</v>
      </c>
      <c r="L411" s="91">
        <v>29012</v>
      </c>
      <c r="M411" s="91">
        <v>43888</v>
      </c>
      <c r="N411" s="88">
        <f t="shared" ca="1" si="15"/>
        <v>2299</v>
      </c>
      <c r="O411" s="84" t="str">
        <f ca="1">IF(Tabla1[[#This Row],[|]]&gt;=0,"VENCIDA",IF(Tabla1[[#This Row],[|]]&gt;=-14,"POR VENCER","OK"))</f>
        <v>VENCIDA</v>
      </c>
      <c r="P411" s="90" t="s">
        <v>2790</v>
      </c>
      <c r="Q411" s="90" t="s">
        <v>312</v>
      </c>
      <c r="R411" s="88" t="s">
        <v>17</v>
      </c>
      <c r="S411" s="88"/>
      <c r="T411" s="88"/>
      <c r="U411" s="88"/>
      <c r="V411" s="88" t="s">
        <v>2711</v>
      </c>
      <c r="W411" s="92" t="s">
        <v>2772</v>
      </c>
      <c r="X411" s="88" t="s">
        <v>624</v>
      </c>
    </row>
    <row r="412" spans="1:24" s="63" customFormat="1" ht="32.25" customHeight="1" x14ac:dyDescent="0.2">
      <c r="A412" s="202">
        <v>451</v>
      </c>
      <c r="B412" s="88" t="s">
        <v>279</v>
      </c>
      <c r="C412" s="89">
        <v>451</v>
      </c>
      <c r="D412" s="88" t="str">
        <f t="shared" si="16"/>
        <v>SUPERMIX451</v>
      </c>
      <c r="E412" s="58" t="s">
        <v>1344</v>
      </c>
      <c r="F412" s="58" t="s">
        <v>1343</v>
      </c>
      <c r="G412" s="88" t="s">
        <v>25</v>
      </c>
      <c r="H412" s="90">
        <v>16685187</v>
      </c>
      <c r="I412" s="90" t="s">
        <v>3787</v>
      </c>
      <c r="J412" s="88" t="s">
        <v>1345</v>
      </c>
      <c r="K412" s="88" t="s">
        <v>281</v>
      </c>
      <c r="L412" s="91">
        <v>37663</v>
      </c>
      <c r="M412" s="91">
        <v>43420</v>
      </c>
      <c r="N412" s="88">
        <f t="shared" ca="1" si="15"/>
        <v>2767</v>
      </c>
      <c r="O412" s="84" t="str">
        <f ca="1">IF(Tabla1[[#This Row],[|]]&gt;=0,"VENCIDA",IF(Tabla1[[#This Row],[|]]&gt;=-14,"POR VENCER","OK"))</f>
        <v>VENCIDA</v>
      </c>
      <c r="P412" s="90" t="s">
        <v>597</v>
      </c>
      <c r="Q412" s="90" t="s">
        <v>312</v>
      </c>
      <c r="R412" s="88" t="s">
        <v>317</v>
      </c>
      <c r="S412" s="88"/>
      <c r="T412" s="88"/>
      <c r="U412" s="88"/>
      <c r="V412" s="88" t="s">
        <v>1338</v>
      </c>
      <c r="W412" s="92" t="s">
        <v>1339</v>
      </c>
      <c r="X412" s="88"/>
    </row>
    <row r="413" spans="1:24" s="63" customFormat="1" ht="32.25" customHeight="1" x14ac:dyDescent="0.2">
      <c r="A413" s="202">
        <v>452</v>
      </c>
      <c r="B413" s="88" t="s">
        <v>279</v>
      </c>
      <c r="C413" s="89">
        <v>452</v>
      </c>
      <c r="D413" s="88" t="str">
        <f t="shared" si="16"/>
        <v>SUPERMIX452</v>
      </c>
      <c r="E413" s="58" t="s">
        <v>1347</v>
      </c>
      <c r="F413" s="58" t="s">
        <v>1346</v>
      </c>
      <c r="G413" s="88" t="s">
        <v>25</v>
      </c>
      <c r="H413" s="107" t="s">
        <v>1348</v>
      </c>
      <c r="I413" s="107" t="s">
        <v>3787</v>
      </c>
      <c r="J413" s="88" t="s">
        <v>1349</v>
      </c>
      <c r="K413" s="88" t="s">
        <v>343</v>
      </c>
      <c r="L413" s="91">
        <v>42145</v>
      </c>
      <c r="M413" s="91">
        <v>43272</v>
      </c>
      <c r="N413" s="88">
        <f t="shared" ca="1" si="15"/>
        <v>2915</v>
      </c>
      <c r="O413" s="84" t="str">
        <f ca="1">IF(Tabla1[[#This Row],[|]]&gt;=0,"VENCIDA",IF(Tabla1[[#This Row],[|]]&gt;=-14,"POR VENCER","OK"))</f>
        <v>VENCIDA</v>
      </c>
      <c r="P413" s="90" t="s">
        <v>640</v>
      </c>
      <c r="Q413" s="90" t="s">
        <v>312</v>
      </c>
      <c r="R413" s="88" t="s">
        <v>317</v>
      </c>
      <c r="S413" s="88"/>
      <c r="T413" s="88"/>
      <c r="U413" s="88"/>
      <c r="V413" s="88" t="s">
        <v>1338</v>
      </c>
      <c r="W413" s="92" t="s">
        <v>1339</v>
      </c>
      <c r="X413" s="88"/>
    </row>
    <row r="414" spans="1:24" s="45" customFormat="1" ht="32.25" customHeight="1" x14ac:dyDescent="0.2">
      <c r="A414" s="212">
        <v>453</v>
      </c>
      <c r="B414" s="121" t="s">
        <v>279</v>
      </c>
      <c r="C414" s="139">
        <v>453</v>
      </c>
      <c r="D414" s="121" t="str">
        <f t="shared" si="16"/>
        <v>SUPERMIX453</v>
      </c>
      <c r="E414" s="140" t="s">
        <v>1351</v>
      </c>
      <c r="F414" s="140" t="s">
        <v>1352</v>
      </c>
      <c r="G414" s="121" t="s">
        <v>25</v>
      </c>
      <c r="H414" s="120">
        <v>41761410</v>
      </c>
      <c r="I414" s="120" t="s">
        <v>3788</v>
      </c>
      <c r="J414" s="121" t="s">
        <v>1353</v>
      </c>
      <c r="K414" s="121" t="s">
        <v>293</v>
      </c>
      <c r="L414" s="141">
        <v>40078</v>
      </c>
      <c r="M414" s="141">
        <v>46251</v>
      </c>
      <c r="N414" s="121">
        <f t="shared" ca="1" si="15"/>
        <v>-64</v>
      </c>
      <c r="O414" s="142" t="str">
        <f ca="1">IF(Tabla1[[#This Row],[|]]&gt;=0,"VENCIDA",IF(Tabla1[[#This Row],[|]]&gt;=-14,"POR VENCER","OK"))</f>
        <v>OK</v>
      </c>
      <c r="P414" s="120" t="s">
        <v>4045</v>
      </c>
      <c r="Q414" s="120" t="s">
        <v>2781</v>
      </c>
      <c r="R414" s="121" t="s">
        <v>2774</v>
      </c>
      <c r="S414" s="88"/>
      <c r="T414" s="88"/>
      <c r="U414" s="88"/>
      <c r="V414" s="121" t="s">
        <v>668</v>
      </c>
      <c r="W414" s="122" t="s">
        <v>2776</v>
      </c>
      <c r="X414" s="121" t="s">
        <v>597</v>
      </c>
    </row>
    <row r="415" spans="1:24" s="63" customFormat="1" ht="32.25" customHeight="1" x14ac:dyDescent="0.2">
      <c r="A415" s="202">
        <v>454</v>
      </c>
      <c r="B415" s="88" t="s">
        <v>279</v>
      </c>
      <c r="C415" s="89">
        <v>454</v>
      </c>
      <c r="D415" s="88" t="str">
        <f t="shared" si="16"/>
        <v>SUPERMIX454</v>
      </c>
      <c r="E415" s="172" t="s">
        <v>1361</v>
      </c>
      <c r="F415" s="58" t="s">
        <v>1362</v>
      </c>
      <c r="G415" s="88" t="s">
        <v>25</v>
      </c>
      <c r="H415" s="90">
        <v>42619158</v>
      </c>
      <c r="I415" s="90" t="s">
        <v>3787</v>
      </c>
      <c r="J415" s="88" t="s">
        <v>1447</v>
      </c>
      <c r="K415" s="88" t="s">
        <v>281</v>
      </c>
      <c r="L415" s="91">
        <v>41606</v>
      </c>
      <c r="M415" s="91">
        <v>44855</v>
      </c>
      <c r="N415" s="88">
        <f t="shared" ca="1" si="15"/>
        <v>1332</v>
      </c>
      <c r="O415" s="84" t="str">
        <f ca="1">IF(Tabla1[[#This Row],[|]]&gt;=0,"VENCIDA",IF(Tabla1[[#This Row],[|]]&gt;=-14,"POR VENCER","OK"))</f>
        <v>VENCIDA</v>
      </c>
      <c r="P415" s="90" t="s">
        <v>1355</v>
      </c>
      <c r="Q415" s="90" t="s">
        <v>312</v>
      </c>
      <c r="R415" s="88" t="s">
        <v>317</v>
      </c>
      <c r="S415" s="88"/>
      <c r="T415" s="88"/>
      <c r="U415" s="88"/>
      <c r="V415" s="88" t="s">
        <v>282</v>
      </c>
      <c r="W415" s="92" t="s">
        <v>2776</v>
      </c>
      <c r="X415" s="88" t="s">
        <v>597</v>
      </c>
    </row>
    <row r="416" spans="1:24" s="43" customFormat="1" ht="32.25" customHeight="1" x14ac:dyDescent="0.2">
      <c r="A416" s="42">
        <v>455</v>
      </c>
      <c r="B416" s="93" t="s">
        <v>279</v>
      </c>
      <c r="C416" s="94">
        <v>455</v>
      </c>
      <c r="D416" s="93" t="str">
        <f t="shared" si="16"/>
        <v>SUPERMIX455</v>
      </c>
      <c r="E416" s="115" t="s">
        <v>1363</v>
      </c>
      <c r="F416" s="115" t="s">
        <v>1364</v>
      </c>
      <c r="G416" s="93" t="s">
        <v>25</v>
      </c>
      <c r="H416" s="95">
        <v>41988757</v>
      </c>
      <c r="I416" s="95" t="s">
        <v>3788</v>
      </c>
      <c r="J416" s="93" t="s">
        <v>1365</v>
      </c>
      <c r="K416" s="93" t="s">
        <v>281</v>
      </c>
      <c r="L416" s="96">
        <v>42122</v>
      </c>
      <c r="M416" s="96">
        <v>46139</v>
      </c>
      <c r="N416" s="93">
        <f t="shared" ca="1" si="15"/>
        <v>48</v>
      </c>
      <c r="O416" s="84" t="str">
        <f ca="1">IF(Tabla1[[#This Row],[|]]&gt;=0,"VENCIDA",IF(Tabla1[[#This Row],[|]]&gt;=-14,"POR VENCER","OK"))</f>
        <v>VENCIDA</v>
      </c>
      <c r="P416" s="95" t="s">
        <v>2722</v>
      </c>
      <c r="Q416" s="95" t="s">
        <v>312</v>
      </c>
      <c r="R416" s="93" t="s">
        <v>17</v>
      </c>
      <c r="S416" s="93"/>
      <c r="T416" s="93"/>
      <c r="U416" s="93"/>
      <c r="V416" s="93" t="s">
        <v>668</v>
      </c>
      <c r="W416" s="97" t="s">
        <v>1354</v>
      </c>
      <c r="X416" s="204" t="s">
        <v>597</v>
      </c>
    </row>
    <row r="417" spans="1:24" s="63" customFormat="1" ht="32.25" customHeight="1" x14ac:dyDescent="0.2">
      <c r="A417" s="202">
        <v>456</v>
      </c>
      <c r="B417" s="88" t="s">
        <v>279</v>
      </c>
      <c r="C417" s="89">
        <v>456</v>
      </c>
      <c r="D417" s="88" t="str">
        <f t="shared" si="16"/>
        <v>SUPERMIX456</v>
      </c>
      <c r="E417" s="58" t="s">
        <v>1366</v>
      </c>
      <c r="F417" s="58" t="s">
        <v>1367</v>
      </c>
      <c r="G417" s="88" t="s">
        <v>25</v>
      </c>
      <c r="H417" s="90">
        <v>40781835</v>
      </c>
      <c r="I417" s="90" t="s">
        <v>3787</v>
      </c>
      <c r="J417" s="88" t="s">
        <v>1368</v>
      </c>
      <c r="K417" s="88" t="s">
        <v>343</v>
      </c>
      <c r="L417" s="91">
        <v>42065</v>
      </c>
      <c r="M417" s="91">
        <v>43161</v>
      </c>
      <c r="N417" s="88">
        <f t="shared" ca="1" si="15"/>
        <v>3026</v>
      </c>
      <c r="O417" s="84" t="str">
        <f ca="1">IF(Tabla1[[#This Row],[|]]&gt;=0,"VENCIDA",IF(Tabla1[[#This Row],[|]]&gt;=-14,"POR VENCER","OK"))</f>
        <v>VENCIDA</v>
      </c>
      <c r="P417" s="90" t="s">
        <v>1059</v>
      </c>
      <c r="Q417" s="90" t="s">
        <v>312</v>
      </c>
      <c r="R417" s="88" t="s">
        <v>317</v>
      </c>
      <c r="S417" s="88"/>
      <c r="T417" s="88"/>
      <c r="U417" s="88"/>
      <c r="V417" s="88" t="s">
        <v>1025</v>
      </c>
      <c r="W417" s="92" t="s">
        <v>1082</v>
      </c>
      <c r="X417" s="88"/>
    </row>
    <row r="418" spans="1:24" s="63" customFormat="1" ht="32.25" customHeight="1" x14ac:dyDescent="0.2">
      <c r="A418" s="202">
        <v>457</v>
      </c>
      <c r="B418" s="88" t="s">
        <v>279</v>
      </c>
      <c r="C418" s="89">
        <v>457</v>
      </c>
      <c r="D418" s="88" t="str">
        <f t="shared" si="16"/>
        <v>SUPERMIX457</v>
      </c>
      <c r="E418" s="58" t="s">
        <v>1206</v>
      </c>
      <c r="F418" s="58" t="s">
        <v>1207</v>
      </c>
      <c r="G418" s="88" t="s">
        <v>25</v>
      </c>
      <c r="H418" s="90">
        <v>4825078</v>
      </c>
      <c r="I418" s="90" t="s">
        <v>3787</v>
      </c>
      <c r="J418" s="88" t="s">
        <v>1209</v>
      </c>
      <c r="K418" s="88" t="s">
        <v>281</v>
      </c>
      <c r="L418" s="91">
        <v>41871</v>
      </c>
      <c r="M418" s="91">
        <v>42967</v>
      </c>
      <c r="N418" s="88">
        <f t="shared" ca="1" si="15"/>
        <v>3220</v>
      </c>
      <c r="O418" s="84" t="str">
        <f ca="1">IF(Tabla1[[#This Row],[|]]&gt;=0,"VENCIDA",IF(Tabla1[[#This Row],[|]]&gt;=-14,"POR VENCER","OK"))</f>
        <v>VENCIDA</v>
      </c>
      <c r="P418" s="90" t="s">
        <v>1369</v>
      </c>
      <c r="Q418" s="90" t="s">
        <v>312</v>
      </c>
      <c r="R418" s="88" t="s">
        <v>317</v>
      </c>
      <c r="S418" s="88"/>
      <c r="T418" s="88"/>
      <c r="U418" s="88"/>
      <c r="V418" s="88" t="s">
        <v>1016</v>
      </c>
      <c r="W418" s="92" t="s">
        <v>1017</v>
      </c>
      <c r="X418" s="88"/>
    </row>
    <row r="419" spans="1:24" s="63" customFormat="1" ht="32.25" customHeight="1" x14ac:dyDescent="0.2">
      <c r="A419" s="202">
        <v>458</v>
      </c>
      <c r="B419" s="88" t="s">
        <v>279</v>
      </c>
      <c r="C419" s="89">
        <v>458</v>
      </c>
      <c r="D419" s="88" t="str">
        <f t="shared" si="16"/>
        <v>SUPERMIX458</v>
      </c>
      <c r="E419" s="58" t="s">
        <v>1372</v>
      </c>
      <c r="F419" s="58" t="s">
        <v>1370</v>
      </c>
      <c r="G419" s="88" t="s">
        <v>25</v>
      </c>
      <c r="H419" s="90">
        <v>23803203</v>
      </c>
      <c r="I419" s="90" t="s">
        <v>3787</v>
      </c>
      <c r="J419" s="88" t="s">
        <v>1371</v>
      </c>
      <c r="K419" s="88" t="s">
        <v>877</v>
      </c>
      <c r="L419" s="91">
        <v>42522</v>
      </c>
      <c r="M419" s="91">
        <v>43617</v>
      </c>
      <c r="N419" s="88">
        <f t="shared" ca="1" si="15"/>
        <v>2570</v>
      </c>
      <c r="O419" s="84" t="str">
        <f ca="1">IF(Tabla1[[#This Row],[|]]&gt;=0,"VENCIDA",IF(Tabla1[[#This Row],[|]]&gt;=-14,"POR VENCER","OK"))</f>
        <v>VENCIDA</v>
      </c>
      <c r="P419" s="90" t="s">
        <v>597</v>
      </c>
      <c r="Q419" s="90" t="s">
        <v>312</v>
      </c>
      <c r="R419" s="88" t="s">
        <v>17</v>
      </c>
      <c r="S419" s="88"/>
      <c r="T419" s="88"/>
      <c r="U419" s="88"/>
      <c r="V419" s="88" t="s">
        <v>1016</v>
      </c>
      <c r="W419" s="92" t="s">
        <v>1017</v>
      </c>
      <c r="X419" s="88"/>
    </row>
    <row r="420" spans="1:24" s="63" customFormat="1" ht="32.25" customHeight="1" x14ac:dyDescent="0.2">
      <c r="A420" s="202">
        <v>459</v>
      </c>
      <c r="B420" s="88" t="s">
        <v>279</v>
      </c>
      <c r="C420" s="89">
        <v>459</v>
      </c>
      <c r="D420" s="88" t="str">
        <f t="shared" si="16"/>
        <v>SUPERMIX459</v>
      </c>
      <c r="E420" s="58" t="s">
        <v>1373</v>
      </c>
      <c r="F420" s="58" t="s">
        <v>589</v>
      </c>
      <c r="G420" s="88" t="s">
        <v>310</v>
      </c>
      <c r="H420" s="90">
        <v>24367269</v>
      </c>
      <c r="I420" s="90" t="s">
        <v>3787</v>
      </c>
      <c r="J420" s="88" t="s">
        <v>1374</v>
      </c>
      <c r="K420" s="88" t="s">
        <v>281</v>
      </c>
      <c r="L420" s="91">
        <v>40689</v>
      </c>
      <c r="M420" s="91">
        <v>43946</v>
      </c>
      <c r="N420" s="88">
        <f t="shared" ca="1" si="15"/>
        <v>2241</v>
      </c>
      <c r="O420" s="84" t="str">
        <f ca="1">IF(Tabla1[[#This Row],[|]]&gt;=0,"VENCIDA",IF(Tabla1[[#This Row],[|]]&gt;=-14,"POR VENCER","OK"))</f>
        <v>VENCIDA</v>
      </c>
      <c r="P420" s="90" t="s">
        <v>1369</v>
      </c>
      <c r="Q420" s="90" t="s">
        <v>312</v>
      </c>
      <c r="R420" s="88" t="s">
        <v>317</v>
      </c>
      <c r="S420" s="88"/>
      <c r="T420" s="88"/>
      <c r="U420" s="88"/>
      <c r="V420" s="88" t="s">
        <v>1016</v>
      </c>
      <c r="W420" s="92" t="s">
        <v>1017</v>
      </c>
      <c r="X420" s="88"/>
    </row>
    <row r="421" spans="1:24" s="63" customFormat="1" ht="32.25" customHeight="1" x14ac:dyDescent="0.2">
      <c r="A421" s="202">
        <v>460</v>
      </c>
      <c r="B421" s="88" t="s">
        <v>279</v>
      </c>
      <c r="C421" s="89">
        <v>460</v>
      </c>
      <c r="D421" s="88" t="str">
        <f t="shared" si="16"/>
        <v>SUPERMIX460</v>
      </c>
      <c r="E421" s="58" t="s">
        <v>1375</v>
      </c>
      <c r="F421" s="58" t="s">
        <v>31</v>
      </c>
      <c r="G421" s="88" t="s">
        <v>25</v>
      </c>
      <c r="H421" s="90">
        <v>23994248</v>
      </c>
      <c r="I421" s="90" t="s">
        <v>3787</v>
      </c>
      <c r="J421" s="88" t="s">
        <v>1376</v>
      </c>
      <c r="K421" s="88" t="s">
        <v>281</v>
      </c>
      <c r="L421" s="91">
        <v>41530</v>
      </c>
      <c r="M421" s="91">
        <v>43709</v>
      </c>
      <c r="N421" s="88">
        <f t="shared" ca="1" si="15"/>
        <v>2478</v>
      </c>
      <c r="O421" s="84" t="str">
        <f ca="1">IF(Tabla1[[#This Row],[|]]&gt;=0,"VENCIDA",IF(Tabla1[[#This Row],[|]]&gt;=-14,"POR VENCER","OK"))</f>
        <v>VENCIDA</v>
      </c>
      <c r="P421" s="90" t="s">
        <v>1544</v>
      </c>
      <c r="Q421" s="90" t="s">
        <v>312</v>
      </c>
      <c r="R421" s="88" t="s">
        <v>317</v>
      </c>
      <c r="S421" s="88"/>
      <c r="T421" s="88"/>
      <c r="U421" s="88"/>
      <c r="V421" s="88" t="s">
        <v>1016</v>
      </c>
      <c r="W421" s="92" t="s">
        <v>1017</v>
      </c>
      <c r="X421" s="88"/>
    </row>
    <row r="422" spans="1:24" s="43" customFormat="1" ht="32.25" customHeight="1" x14ac:dyDescent="0.2">
      <c r="A422" s="42">
        <v>461</v>
      </c>
      <c r="B422" s="93" t="s">
        <v>279</v>
      </c>
      <c r="C422" s="94">
        <v>461</v>
      </c>
      <c r="D422" s="93" t="str">
        <f t="shared" si="16"/>
        <v>SUPERMIX461</v>
      </c>
      <c r="E422" s="115" t="s">
        <v>1378</v>
      </c>
      <c r="F422" s="115" t="s">
        <v>1377</v>
      </c>
      <c r="G422" s="93" t="s">
        <v>25</v>
      </c>
      <c r="H422" s="95">
        <v>43643783</v>
      </c>
      <c r="I422" s="95" t="s">
        <v>3788</v>
      </c>
      <c r="J422" s="93" t="s">
        <v>1380</v>
      </c>
      <c r="K422" s="93" t="s">
        <v>368</v>
      </c>
      <c r="L422" s="96">
        <v>41281</v>
      </c>
      <c r="M422" s="96">
        <v>46593</v>
      </c>
      <c r="N422" s="93">
        <f t="shared" ca="1" si="15"/>
        <v>-406</v>
      </c>
      <c r="O422" s="84" t="str">
        <f ca="1">IF(Tabla1[[#This Row],[|]]&gt;=0,"VENCIDA",IF(Tabla1[[#This Row],[|]]&gt;=-14,"POR VENCER","OK"))</f>
        <v>OK</v>
      </c>
      <c r="P422" s="95" t="s">
        <v>1059</v>
      </c>
      <c r="Q422" s="95" t="s">
        <v>312</v>
      </c>
      <c r="R422" s="93" t="s">
        <v>317</v>
      </c>
      <c r="S422" s="93"/>
      <c r="T422" s="93"/>
      <c r="U422" s="93"/>
      <c r="V422" s="93" t="s">
        <v>1016</v>
      </c>
      <c r="W422" s="97" t="s">
        <v>1379</v>
      </c>
      <c r="X422" s="93"/>
    </row>
    <row r="423" spans="1:24" s="63" customFormat="1" ht="32.25" customHeight="1" x14ac:dyDescent="0.2">
      <c r="A423" s="202">
        <v>462</v>
      </c>
      <c r="B423" s="88" t="s">
        <v>279</v>
      </c>
      <c r="C423" s="89">
        <v>462</v>
      </c>
      <c r="D423" s="88" t="str">
        <f t="shared" si="16"/>
        <v>SUPERMIX462</v>
      </c>
      <c r="E423" s="58" t="s">
        <v>1381</v>
      </c>
      <c r="F423" s="58" t="s">
        <v>1382</v>
      </c>
      <c r="G423" s="88" t="s">
        <v>25</v>
      </c>
      <c r="H423" s="90">
        <v>44233991</v>
      </c>
      <c r="I423" s="90" t="s">
        <v>3787</v>
      </c>
      <c r="J423" s="88" t="s">
        <v>1383</v>
      </c>
      <c r="K423" s="88" t="s">
        <v>281</v>
      </c>
      <c r="L423" s="91">
        <v>42039</v>
      </c>
      <c r="M423" s="91">
        <v>44303</v>
      </c>
      <c r="N423" s="88">
        <f t="shared" ca="1" si="15"/>
        <v>1884</v>
      </c>
      <c r="O423" s="84" t="str">
        <f ca="1">IF(Tabla1[[#This Row],[|]]&gt;=0,"VENCIDA",IF(Tabla1[[#This Row],[|]]&gt;=-14,"POR VENCER","OK"))</f>
        <v>VENCIDA</v>
      </c>
      <c r="P423" s="90" t="s">
        <v>2838</v>
      </c>
      <c r="Q423" s="90" t="s">
        <v>312</v>
      </c>
      <c r="R423" s="88" t="s">
        <v>317</v>
      </c>
      <c r="S423" s="88"/>
      <c r="T423" s="88"/>
      <c r="U423" s="88"/>
      <c r="V423" s="88" t="s">
        <v>1016</v>
      </c>
      <c r="W423" s="92" t="s">
        <v>2776</v>
      </c>
      <c r="X423" s="88" t="s">
        <v>597</v>
      </c>
    </row>
    <row r="424" spans="1:24" s="63" customFormat="1" ht="32.25" customHeight="1" x14ac:dyDescent="0.2">
      <c r="A424" s="202">
        <v>463</v>
      </c>
      <c r="B424" s="88" t="s">
        <v>279</v>
      </c>
      <c r="C424" s="89">
        <v>463</v>
      </c>
      <c r="D424" s="88" t="str">
        <f t="shared" si="16"/>
        <v>SUPERMIX463</v>
      </c>
      <c r="E424" s="58" t="s">
        <v>1385</v>
      </c>
      <c r="F424" s="58" t="s">
        <v>1384</v>
      </c>
      <c r="G424" s="88" t="s">
        <v>25</v>
      </c>
      <c r="H424" s="90">
        <v>24467947</v>
      </c>
      <c r="I424" s="90" t="s">
        <v>3787</v>
      </c>
      <c r="J424" s="88" t="s">
        <v>1386</v>
      </c>
      <c r="K424" s="88" t="s">
        <v>281</v>
      </c>
      <c r="L424" s="91">
        <v>38233</v>
      </c>
      <c r="M424" s="91">
        <v>42547</v>
      </c>
      <c r="N424" s="88">
        <f t="shared" ca="1" si="15"/>
        <v>3640</v>
      </c>
      <c r="O424" s="84" t="str">
        <f ca="1">IF(Tabla1[[#This Row],[|]]&gt;=0,"VENCIDA",IF(Tabla1[[#This Row],[|]]&gt;=-14,"POR VENCER","OK"))</f>
        <v>VENCIDA</v>
      </c>
      <c r="P424" s="90" t="s">
        <v>624</v>
      </c>
      <c r="Q424" s="90" t="s">
        <v>312</v>
      </c>
      <c r="R424" s="88" t="s">
        <v>317</v>
      </c>
      <c r="S424" s="88"/>
      <c r="T424" s="88"/>
      <c r="U424" s="88"/>
      <c r="V424" s="88" t="s">
        <v>1016</v>
      </c>
      <c r="W424" s="92" t="s">
        <v>1017</v>
      </c>
      <c r="X424" s="88"/>
    </row>
    <row r="425" spans="1:24" s="63" customFormat="1" ht="32.25" customHeight="1" x14ac:dyDescent="0.2">
      <c r="A425" s="202">
        <v>464</v>
      </c>
      <c r="B425" s="88" t="s">
        <v>279</v>
      </c>
      <c r="C425" s="89">
        <v>464</v>
      </c>
      <c r="D425" s="88" t="str">
        <f t="shared" si="16"/>
        <v>SUPERMIX464</v>
      </c>
      <c r="E425" s="58" t="s">
        <v>1391</v>
      </c>
      <c r="F425" s="58" t="s">
        <v>1398</v>
      </c>
      <c r="G425" s="88" t="s">
        <v>25</v>
      </c>
      <c r="H425" s="90">
        <v>29585128</v>
      </c>
      <c r="I425" s="90" t="s">
        <v>3787</v>
      </c>
      <c r="J425" s="88" t="s">
        <v>1397</v>
      </c>
      <c r="K425" s="88" t="s">
        <v>281</v>
      </c>
      <c r="L425" s="91">
        <v>37035</v>
      </c>
      <c r="M425" s="91">
        <v>45677</v>
      </c>
      <c r="N425" s="88">
        <f t="shared" ca="1" si="15"/>
        <v>510</v>
      </c>
      <c r="O425" s="84" t="str">
        <f ca="1">IF(Tabla1[[#This Row],[|]]&gt;=0,"VENCIDA",IF(Tabla1[[#This Row],[|]]&gt;=-14,"POR VENCER","OK"))</f>
        <v>VENCIDA</v>
      </c>
      <c r="P425" s="90" t="s">
        <v>3206</v>
      </c>
      <c r="Q425" s="90" t="s">
        <v>312</v>
      </c>
      <c r="R425" s="88" t="s">
        <v>317</v>
      </c>
      <c r="S425" s="88"/>
      <c r="T425" s="88"/>
      <c r="U425" s="88"/>
      <c r="V425" s="88" t="s">
        <v>3030</v>
      </c>
      <c r="W425" s="92" t="s">
        <v>2772</v>
      </c>
      <c r="X425" s="88" t="s">
        <v>3207</v>
      </c>
    </row>
    <row r="426" spans="1:24" s="43" customFormat="1" ht="32.25" customHeight="1" x14ac:dyDescent="0.2">
      <c r="A426" s="202">
        <v>465</v>
      </c>
      <c r="B426" s="88" t="s">
        <v>279</v>
      </c>
      <c r="C426" s="89">
        <v>465</v>
      </c>
      <c r="D426" s="88" t="str">
        <f t="shared" si="16"/>
        <v>SUPERMIX465</v>
      </c>
      <c r="E426" s="58" t="s">
        <v>1389</v>
      </c>
      <c r="F426" s="58" t="s">
        <v>1390</v>
      </c>
      <c r="G426" s="88" t="s">
        <v>2825</v>
      </c>
      <c r="H426" s="90">
        <v>44690804</v>
      </c>
      <c r="I426" s="90" t="s">
        <v>3788</v>
      </c>
      <c r="J426" s="88" t="s">
        <v>1396</v>
      </c>
      <c r="K426" s="88" t="s">
        <v>3660</v>
      </c>
      <c r="L426" s="91">
        <v>41976</v>
      </c>
      <c r="M426" s="91">
        <v>46539</v>
      </c>
      <c r="N426" s="88">
        <f t="shared" ca="1" si="15"/>
        <v>-352</v>
      </c>
      <c r="O426" s="84" t="str">
        <f ca="1">IF(Tabla1[[#This Row],[|]]&gt;=0,"VENCIDA",IF(Tabla1[[#This Row],[|]]&gt;=-14,"POR VENCER","OK"))</f>
        <v>OK</v>
      </c>
      <c r="P426" s="90" t="s">
        <v>1059</v>
      </c>
      <c r="Q426" s="90" t="s">
        <v>312</v>
      </c>
      <c r="R426" s="88" t="s">
        <v>17</v>
      </c>
      <c r="S426" s="93"/>
      <c r="T426" s="93"/>
      <c r="U426" s="93"/>
      <c r="V426" s="88" t="s">
        <v>1981</v>
      </c>
      <c r="W426" s="92" t="s">
        <v>3345</v>
      </c>
      <c r="X426" s="88" t="s">
        <v>2866</v>
      </c>
    </row>
    <row r="427" spans="1:24" s="43" customFormat="1" ht="32.25" customHeight="1" x14ac:dyDescent="0.2">
      <c r="A427" s="42">
        <v>466</v>
      </c>
      <c r="B427" s="93" t="s">
        <v>279</v>
      </c>
      <c r="C427" s="94">
        <v>466</v>
      </c>
      <c r="D427" s="93" t="str">
        <f t="shared" si="16"/>
        <v>SUPERMIX466</v>
      </c>
      <c r="E427" s="115" t="s">
        <v>1392</v>
      </c>
      <c r="F427" s="115" t="s">
        <v>1393</v>
      </c>
      <c r="G427" s="93" t="s">
        <v>25</v>
      </c>
      <c r="H427" s="95">
        <v>41413767</v>
      </c>
      <c r="I427" s="95" t="s">
        <v>3788</v>
      </c>
      <c r="J427" s="93" t="s">
        <v>1395</v>
      </c>
      <c r="K427" s="93" t="s">
        <v>343</v>
      </c>
      <c r="L427" s="96">
        <v>41177</v>
      </c>
      <c r="M427" s="117">
        <v>43389</v>
      </c>
      <c r="N427" s="93">
        <f t="shared" ca="1" si="15"/>
        <v>2798</v>
      </c>
      <c r="O427" s="84" t="str">
        <f ca="1">IF(Tabla1[[#This Row],[|]]&gt;=0,"VENCIDA",IF(Tabla1[[#This Row],[|]]&gt;=-14,"POR VENCER","OK"))</f>
        <v>VENCIDA</v>
      </c>
      <c r="P427" s="95" t="s">
        <v>640</v>
      </c>
      <c r="Q427" s="95" t="s">
        <v>312</v>
      </c>
      <c r="R427" s="93" t="s">
        <v>317</v>
      </c>
      <c r="S427" s="93"/>
      <c r="T427" s="93"/>
      <c r="U427" s="93"/>
      <c r="V427" s="93" t="s">
        <v>763</v>
      </c>
      <c r="W427" s="97" t="s">
        <v>1394</v>
      </c>
      <c r="X427" s="93"/>
    </row>
    <row r="428" spans="1:24" s="43" customFormat="1" ht="32.25" customHeight="1" x14ac:dyDescent="0.2">
      <c r="A428" s="42">
        <v>467</v>
      </c>
      <c r="B428" s="93" t="s">
        <v>279</v>
      </c>
      <c r="C428" s="94">
        <v>467</v>
      </c>
      <c r="D428" s="93" t="str">
        <f t="shared" si="16"/>
        <v>SUPERMIX467</v>
      </c>
      <c r="E428" s="115" t="s">
        <v>1399</v>
      </c>
      <c r="F428" s="115" t="s">
        <v>1400</v>
      </c>
      <c r="G428" s="93" t="s">
        <v>2825</v>
      </c>
      <c r="H428" s="95">
        <v>30653450</v>
      </c>
      <c r="I428" s="95" t="s">
        <v>3788</v>
      </c>
      <c r="J428" s="93" t="s">
        <v>1401</v>
      </c>
      <c r="K428" s="93" t="s">
        <v>3443</v>
      </c>
      <c r="L428" s="96">
        <v>38931</v>
      </c>
      <c r="M428" s="96">
        <v>46562</v>
      </c>
      <c r="N428" s="93">
        <f t="shared" ca="1" si="15"/>
        <v>-375</v>
      </c>
      <c r="O428" s="84" t="str">
        <f ca="1">IF(Tabla1[[#This Row],[|]]&gt;=0,"VENCIDA",IF(Tabla1[[#This Row],[|]]&gt;=-14,"POR VENCER","OK"))</f>
        <v>OK</v>
      </c>
      <c r="P428" s="95" t="s">
        <v>3673</v>
      </c>
      <c r="Q428" s="95" t="s">
        <v>312</v>
      </c>
      <c r="R428" s="93" t="s">
        <v>17</v>
      </c>
      <c r="S428" s="93"/>
      <c r="T428" s="93"/>
      <c r="U428" s="93"/>
      <c r="V428" s="93" t="s">
        <v>1755</v>
      </c>
      <c r="W428" s="97" t="s">
        <v>2776</v>
      </c>
      <c r="X428" s="204" t="s">
        <v>597</v>
      </c>
    </row>
    <row r="429" spans="1:24" s="43" customFormat="1" ht="32.25" customHeight="1" x14ac:dyDescent="0.2">
      <c r="A429" s="42">
        <v>468</v>
      </c>
      <c r="B429" s="93" t="s">
        <v>279</v>
      </c>
      <c r="C429" s="94">
        <v>468</v>
      </c>
      <c r="D429" s="93" t="str">
        <f t="shared" si="16"/>
        <v>SUPERMIX468</v>
      </c>
      <c r="E429" s="115" t="s">
        <v>1402</v>
      </c>
      <c r="F429" s="115" t="s">
        <v>1403</v>
      </c>
      <c r="G429" s="93" t="s">
        <v>25</v>
      </c>
      <c r="H429" s="95">
        <v>29690789</v>
      </c>
      <c r="I429" s="95" t="s">
        <v>3788</v>
      </c>
      <c r="J429" s="93" t="s">
        <v>1404</v>
      </c>
      <c r="K429" s="93" t="s">
        <v>281</v>
      </c>
      <c r="L429" s="96">
        <v>36829</v>
      </c>
      <c r="M429" s="96">
        <v>46224</v>
      </c>
      <c r="N429" s="93">
        <f t="shared" ca="1" si="15"/>
        <v>-37</v>
      </c>
      <c r="O429" s="84" t="str">
        <f ca="1">IF(Tabla1[[#This Row],[|]]&gt;=0,"VENCIDA",IF(Tabla1[[#This Row],[|]]&gt;=-14,"POR VENCER","OK"))</f>
        <v>OK</v>
      </c>
      <c r="P429" s="95" t="s">
        <v>3381</v>
      </c>
      <c r="Q429" s="95" t="s">
        <v>312</v>
      </c>
      <c r="R429" s="93" t="s">
        <v>317</v>
      </c>
      <c r="S429" s="93"/>
      <c r="T429" s="93"/>
      <c r="U429" s="93"/>
      <c r="V429" s="93" t="s">
        <v>282</v>
      </c>
      <c r="W429" s="97" t="s">
        <v>850</v>
      </c>
      <c r="X429" s="93" t="s">
        <v>3382</v>
      </c>
    </row>
    <row r="430" spans="1:24" s="43" customFormat="1" ht="32.25" customHeight="1" x14ac:dyDescent="0.2">
      <c r="A430" s="42">
        <v>469</v>
      </c>
      <c r="B430" s="93" t="s">
        <v>279</v>
      </c>
      <c r="C430" s="94">
        <v>469</v>
      </c>
      <c r="D430" s="93" t="str">
        <f t="shared" si="16"/>
        <v>SUPERMIX469</v>
      </c>
      <c r="E430" s="115" t="s">
        <v>1405</v>
      </c>
      <c r="F430" s="115" t="s">
        <v>1406</v>
      </c>
      <c r="G430" s="93" t="s">
        <v>25</v>
      </c>
      <c r="H430" s="95">
        <v>24494496</v>
      </c>
      <c r="I430" s="95" t="s">
        <v>3788</v>
      </c>
      <c r="J430" s="93" t="s">
        <v>1407</v>
      </c>
      <c r="K430" s="93" t="s">
        <v>281</v>
      </c>
      <c r="L430" s="96">
        <v>38038</v>
      </c>
      <c r="M430" s="96">
        <v>46106</v>
      </c>
      <c r="N430" s="93">
        <f t="shared" ca="1" si="15"/>
        <v>81</v>
      </c>
      <c r="O430" s="84" t="str">
        <f ca="1">IF(Tabla1[[#This Row],[|]]&gt;=0,"VENCIDA",IF(Tabla1[[#This Row],[|]]&gt;=-14,"POR VENCER","OK"))</f>
        <v>VENCIDA</v>
      </c>
      <c r="P430" s="95" t="s">
        <v>3270</v>
      </c>
      <c r="Q430" s="95" t="s">
        <v>312</v>
      </c>
      <c r="R430" s="93" t="s">
        <v>317</v>
      </c>
      <c r="S430" s="93"/>
      <c r="T430" s="93"/>
      <c r="U430" s="93"/>
      <c r="V430" s="93" t="s">
        <v>282</v>
      </c>
      <c r="W430" s="97" t="s">
        <v>2776</v>
      </c>
      <c r="X430" s="204" t="s">
        <v>597</v>
      </c>
    </row>
    <row r="431" spans="1:24" s="63" customFormat="1" ht="32.25" customHeight="1" x14ac:dyDescent="0.2">
      <c r="A431" s="202">
        <v>470</v>
      </c>
      <c r="B431" s="88" t="s">
        <v>279</v>
      </c>
      <c r="C431" s="89">
        <v>470</v>
      </c>
      <c r="D431" s="88" t="str">
        <f t="shared" si="16"/>
        <v>SUPERMIX470</v>
      </c>
      <c r="E431" s="58" t="s">
        <v>1408</v>
      </c>
      <c r="F431" s="58" t="s">
        <v>1409</v>
      </c>
      <c r="G431" s="88" t="s">
        <v>25</v>
      </c>
      <c r="H431" s="90">
        <v>42347821</v>
      </c>
      <c r="I431" s="90" t="s">
        <v>3787</v>
      </c>
      <c r="J431" s="88" t="s">
        <v>1410</v>
      </c>
      <c r="K431" s="88" t="s">
        <v>281</v>
      </c>
      <c r="L431" s="91">
        <v>41982</v>
      </c>
      <c r="M431" s="91">
        <v>43078</v>
      </c>
      <c r="N431" s="88">
        <f t="shared" ca="1" si="15"/>
        <v>3109</v>
      </c>
      <c r="O431" s="84" t="str">
        <f ca="1">IF(Tabla1[[#This Row],[|]]&gt;=0,"VENCIDA",IF(Tabla1[[#This Row],[|]]&gt;=-14,"POR VENCER","OK"))</f>
        <v>VENCIDA</v>
      </c>
      <c r="P431" s="90" t="s">
        <v>1388</v>
      </c>
      <c r="Q431" s="90" t="s">
        <v>312</v>
      </c>
      <c r="R431" s="88" t="s">
        <v>317</v>
      </c>
      <c r="S431" s="88"/>
      <c r="T431" s="88"/>
      <c r="U431" s="88"/>
      <c r="V431" s="88" t="s">
        <v>1281</v>
      </c>
      <c r="W431" s="92" t="s">
        <v>1411</v>
      </c>
      <c r="X431" s="88"/>
    </row>
    <row r="432" spans="1:24" s="63" customFormat="1" ht="32.25" customHeight="1" x14ac:dyDescent="0.2">
      <c r="A432" s="202">
        <v>471</v>
      </c>
      <c r="B432" s="88" t="s">
        <v>279</v>
      </c>
      <c r="C432" s="89">
        <v>471</v>
      </c>
      <c r="D432" s="88" t="str">
        <f t="shared" si="16"/>
        <v>SUPERMIX471</v>
      </c>
      <c r="E432" s="58" t="s">
        <v>1412</v>
      </c>
      <c r="F432" s="58" t="s">
        <v>1413</v>
      </c>
      <c r="G432" s="88" t="s">
        <v>25</v>
      </c>
      <c r="H432" s="90">
        <v>44362764</v>
      </c>
      <c r="I432" s="90" t="s">
        <v>3787</v>
      </c>
      <c r="J432" s="88" t="s">
        <v>1414</v>
      </c>
      <c r="K432" s="88" t="s">
        <v>281</v>
      </c>
      <c r="L432" s="91">
        <v>41982</v>
      </c>
      <c r="M432" s="91">
        <v>43078</v>
      </c>
      <c r="N432" s="136">
        <f t="shared" ca="1" si="15"/>
        <v>3109</v>
      </c>
      <c r="O432" s="84" t="str">
        <f ca="1">IF(Tabla1[[#This Row],[|]]&gt;=0,"VENCIDA",IF(Tabla1[[#This Row],[|]]&gt;=-14,"POR VENCER","OK"))</f>
        <v>VENCIDA</v>
      </c>
      <c r="P432" s="90" t="s">
        <v>624</v>
      </c>
      <c r="Q432" s="90" t="s">
        <v>312</v>
      </c>
      <c r="R432" s="88" t="s">
        <v>317</v>
      </c>
      <c r="S432" s="88"/>
      <c r="T432" s="88"/>
      <c r="U432" s="88"/>
      <c r="V432" s="88" t="s">
        <v>1281</v>
      </c>
      <c r="W432" s="92" t="s">
        <v>1411</v>
      </c>
      <c r="X432" s="88"/>
    </row>
    <row r="433" spans="1:24" s="63" customFormat="1" ht="32.25" customHeight="1" x14ac:dyDescent="0.2">
      <c r="A433" s="202">
        <v>472</v>
      </c>
      <c r="B433" s="88" t="s">
        <v>279</v>
      </c>
      <c r="C433" s="89">
        <v>472</v>
      </c>
      <c r="D433" s="88" t="str">
        <f t="shared" si="16"/>
        <v>SUPERMIX472</v>
      </c>
      <c r="E433" s="58" t="s">
        <v>1415</v>
      </c>
      <c r="F433" s="58" t="s">
        <v>1416</v>
      </c>
      <c r="G433" s="88" t="s">
        <v>25</v>
      </c>
      <c r="H433" s="90">
        <v>44865796</v>
      </c>
      <c r="I433" s="90" t="s">
        <v>3787</v>
      </c>
      <c r="J433" s="88" t="s">
        <v>1417</v>
      </c>
      <c r="K433" s="88" t="s">
        <v>293</v>
      </c>
      <c r="L433" s="91">
        <v>41982</v>
      </c>
      <c r="M433" s="91">
        <v>43078</v>
      </c>
      <c r="N433" s="88">
        <f t="shared" ca="1" si="15"/>
        <v>3109</v>
      </c>
      <c r="O433" s="84" t="str">
        <f ca="1">IF(Tabla1[[#This Row],[|]]&gt;=0,"VENCIDA",IF(Tabla1[[#This Row],[|]]&gt;=-14,"POR VENCER","OK"))</f>
        <v>VENCIDA</v>
      </c>
      <c r="P433" s="90" t="s">
        <v>640</v>
      </c>
      <c r="Q433" s="90" t="s">
        <v>312</v>
      </c>
      <c r="R433" s="88" t="s">
        <v>317</v>
      </c>
      <c r="S433" s="88"/>
      <c r="T433" s="88"/>
      <c r="U433" s="88"/>
      <c r="V433" s="88" t="s">
        <v>1281</v>
      </c>
      <c r="W433" s="92" t="s">
        <v>1411</v>
      </c>
      <c r="X433" s="88"/>
    </row>
    <row r="434" spans="1:24" s="43" customFormat="1" ht="32.25" customHeight="1" x14ac:dyDescent="0.2">
      <c r="A434" s="42">
        <v>473</v>
      </c>
      <c r="B434" s="93" t="s">
        <v>279</v>
      </c>
      <c r="C434" s="94">
        <v>473</v>
      </c>
      <c r="D434" s="93" t="str">
        <f t="shared" si="16"/>
        <v>SUPERMIX473</v>
      </c>
      <c r="E434" s="115" t="s">
        <v>1418</v>
      </c>
      <c r="F434" s="115" t="s">
        <v>592</v>
      </c>
      <c r="G434" s="93" t="s">
        <v>25</v>
      </c>
      <c r="H434" s="95">
        <v>25816803</v>
      </c>
      <c r="I434" s="95" t="s">
        <v>3788</v>
      </c>
      <c r="J434" s="93" t="s">
        <v>1419</v>
      </c>
      <c r="K434" s="93" t="s">
        <v>3142</v>
      </c>
      <c r="L434" s="96">
        <v>40392</v>
      </c>
      <c r="M434" s="117">
        <v>43314</v>
      </c>
      <c r="N434" s="93">
        <f t="shared" ca="1" si="15"/>
        <v>2873</v>
      </c>
      <c r="O434" s="84" t="str">
        <f ca="1">IF(Tabla1[[#This Row],[|]]&gt;=0,"VENCIDA",IF(Tabla1[[#This Row],[|]]&gt;=-14,"POR VENCER","OK"))</f>
        <v>VENCIDA</v>
      </c>
      <c r="P434" s="95" t="s">
        <v>823</v>
      </c>
      <c r="Q434" s="95" t="s">
        <v>312</v>
      </c>
      <c r="R434" s="93" t="s">
        <v>17</v>
      </c>
      <c r="S434" s="93"/>
      <c r="T434" s="93"/>
      <c r="U434" s="93"/>
      <c r="V434" s="93" t="s">
        <v>811</v>
      </c>
      <c r="W434" s="97" t="s">
        <v>1420</v>
      </c>
      <c r="X434" s="93"/>
    </row>
    <row r="435" spans="1:24" s="63" customFormat="1" ht="32.25" customHeight="1" x14ac:dyDescent="0.2">
      <c r="A435" s="202">
        <v>474</v>
      </c>
      <c r="B435" s="88" t="s">
        <v>279</v>
      </c>
      <c r="C435" s="89">
        <v>474</v>
      </c>
      <c r="D435" s="88" t="str">
        <f t="shared" si="16"/>
        <v>SUPERMIX474</v>
      </c>
      <c r="E435" s="58" t="s">
        <v>1421</v>
      </c>
      <c r="F435" s="58" t="s">
        <v>1422</v>
      </c>
      <c r="G435" s="88" t="s">
        <v>25</v>
      </c>
      <c r="H435" s="90">
        <v>45026619</v>
      </c>
      <c r="I435" s="90" t="s">
        <v>3787</v>
      </c>
      <c r="J435" s="88" t="s">
        <v>1423</v>
      </c>
      <c r="K435" s="88" t="s">
        <v>3142</v>
      </c>
      <c r="L435" s="91">
        <v>41131</v>
      </c>
      <c r="M435" s="91">
        <v>44053</v>
      </c>
      <c r="N435" s="88">
        <f t="shared" ca="1" si="15"/>
        <v>2134</v>
      </c>
      <c r="O435" s="84" t="str">
        <f ca="1">IF(Tabla1[[#This Row],[|]]&gt;=0,"VENCIDA",IF(Tabla1[[#This Row],[|]]&gt;=-14,"POR VENCER","OK"))</f>
        <v>VENCIDA</v>
      </c>
      <c r="P435" s="90" t="s">
        <v>1059</v>
      </c>
      <c r="Q435" s="90" t="s">
        <v>312</v>
      </c>
      <c r="R435" s="88" t="s">
        <v>17</v>
      </c>
      <c r="S435" s="88"/>
      <c r="T435" s="88"/>
      <c r="U435" s="88"/>
      <c r="V435" s="88" t="s">
        <v>811</v>
      </c>
      <c r="W435" s="92" t="s">
        <v>1420</v>
      </c>
      <c r="X435" s="88"/>
    </row>
    <row r="436" spans="1:24" s="43" customFormat="1" ht="32.25" customHeight="1" x14ac:dyDescent="0.2">
      <c r="A436" s="42">
        <v>475</v>
      </c>
      <c r="B436" s="93" t="s">
        <v>279</v>
      </c>
      <c r="C436" s="94">
        <v>475</v>
      </c>
      <c r="D436" s="93" t="str">
        <f t="shared" si="16"/>
        <v>SUPERMIX475</v>
      </c>
      <c r="E436" s="115" t="s">
        <v>1424</v>
      </c>
      <c r="F436" s="115" t="s">
        <v>1425</v>
      </c>
      <c r="G436" s="93" t="s">
        <v>25</v>
      </c>
      <c r="H436" s="95">
        <v>45600366</v>
      </c>
      <c r="I436" s="95" t="s">
        <v>3788</v>
      </c>
      <c r="J436" s="93" t="s">
        <v>1426</v>
      </c>
      <c r="K436" s="93" t="s">
        <v>281</v>
      </c>
      <c r="L436" s="96">
        <v>42208</v>
      </c>
      <c r="M436" s="117">
        <v>46440</v>
      </c>
      <c r="N436" s="93">
        <f t="shared" ca="1" si="15"/>
        <v>-253</v>
      </c>
      <c r="O436" s="84" t="str">
        <f ca="1">IF(Tabla1[[#This Row],[|]]&gt;=0,"VENCIDA",IF(Tabla1[[#This Row],[|]]&gt;=-14,"POR VENCER","OK"))</f>
        <v>OK</v>
      </c>
      <c r="P436" s="95" t="s">
        <v>2827</v>
      </c>
      <c r="Q436" s="95" t="s">
        <v>312</v>
      </c>
      <c r="R436" s="93" t="s">
        <v>17</v>
      </c>
      <c r="S436" s="93"/>
      <c r="T436" s="93"/>
      <c r="U436" s="93"/>
      <c r="V436" s="93" t="s">
        <v>282</v>
      </c>
      <c r="W436" s="97" t="s">
        <v>2776</v>
      </c>
      <c r="X436" s="93" t="s">
        <v>2893</v>
      </c>
    </row>
    <row r="437" spans="1:24" s="63" customFormat="1" ht="32.25" customHeight="1" x14ac:dyDescent="0.2">
      <c r="A437" s="202">
        <v>476</v>
      </c>
      <c r="B437" s="88" t="s">
        <v>279</v>
      </c>
      <c r="C437" s="89">
        <v>476</v>
      </c>
      <c r="D437" s="88" t="str">
        <f t="shared" si="16"/>
        <v>SUPERMIX476</v>
      </c>
      <c r="E437" s="58" t="s">
        <v>1427</v>
      </c>
      <c r="F437" s="58" t="s">
        <v>1211</v>
      </c>
      <c r="G437" s="88" t="s">
        <v>25</v>
      </c>
      <c r="H437" s="90">
        <v>29334824</v>
      </c>
      <c r="I437" s="90" t="s">
        <v>3787</v>
      </c>
      <c r="J437" s="88" t="s">
        <v>1429</v>
      </c>
      <c r="K437" s="88" t="s">
        <v>1428</v>
      </c>
      <c r="L437" s="91">
        <v>39209</v>
      </c>
      <c r="M437" s="91">
        <v>42861</v>
      </c>
      <c r="N437" s="88">
        <f t="shared" ca="1" si="15"/>
        <v>3326</v>
      </c>
      <c r="O437" s="84" t="str">
        <f ca="1">IF(Tabla1[[#This Row],[|]]&gt;=0,"VENCIDA",IF(Tabla1[[#This Row],[|]]&gt;=-14,"POR VENCER","OK"))</f>
        <v>VENCIDA</v>
      </c>
      <c r="P437" s="90" t="s">
        <v>1430</v>
      </c>
      <c r="Q437" s="90" t="s">
        <v>312</v>
      </c>
      <c r="R437" s="88" t="s">
        <v>317</v>
      </c>
      <c r="S437" s="88"/>
      <c r="T437" s="88"/>
      <c r="U437" s="88"/>
      <c r="V437" s="88" t="s">
        <v>1431</v>
      </c>
      <c r="W437" s="92" t="s">
        <v>902</v>
      </c>
      <c r="X437" s="88"/>
    </row>
    <row r="438" spans="1:24" s="63" customFormat="1" ht="32.25" customHeight="1" x14ac:dyDescent="0.2">
      <c r="A438" s="202">
        <v>477</v>
      </c>
      <c r="B438" s="88" t="s">
        <v>279</v>
      </c>
      <c r="C438" s="89">
        <v>477</v>
      </c>
      <c r="D438" s="88" t="str">
        <f t="shared" si="16"/>
        <v>SUPERMIX477</v>
      </c>
      <c r="E438" s="58" t="s">
        <v>1432</v>
      </c>
      <c r="F438" s="58" t="s">
        <v>1433</v>
      </c>
      <c r="G438" s="88" t="s">
        <v>25</v>
      </c>
      <c r="H438" s="90">
        <v>44621080</v>
      </c>
      <c r="I438" s="90" t="s">
        <v>3787</v>
      </c>
      <c r="J438" s="88" t="s">
        <v>1434</v>
      </c>
      <c r="K438" s="88" t="s">
        <v>3142</v>
      </c>
      <c r="L438" s="91">
        <v>39777</v>
      </c>
      <c r="M438" s="91">
        <v>45565</v>
      </c>
      <c r="N438" s="88">
        <f t="shared" ca="1" si="15"/>
        <v>622</v>
      </c>
      <c r="O438" s="84" t="str">
        <f ca="1">IF(Tabla1[[#This Row],[|]]&gt;=0,"VENCIDA",IF(Tabla1[[#This Row],[|]]&gt;=-14,"POR VENCER","OK"))</f>
        <v>VENCIDA</v>
      </c>
      <c r="P438" s="90" t="s">
        <v>1435</v>
      </c>
      <c r="Q438" s="90" t="s">
        <v>312</v>
      </c>
      <c r="R438" s="88" t="s">
        <v>17</v>
      </c>
      <c r="S438" s="88"/>
      <c r="T438" s="88"/>
      <c r="U438" s="88"/>
      <c r="V438" s="88" t="s">
        <v>668</v>
      </c>
      <c r="W438" s="92" t="s">
        <v>1354</v>
      </c>
      <c r="X438" s="88"/>
    </row>
    <row r="439" spans="1:24" s="63" customFormat="1" ht="32.25" customHeight="1" x14ac:dyDescent="0.2">
      <c r="A439" s="202">
        <v>478</v>
      </c>
      <c r="B439" s="88" t="s">
        <v>279</v>
      </c>
      <c r="C439" s="89">
        <v>478</v>
      </c>
      <c r="D439" s="88" t="str">
        <f t="shared" si="16"/>
        <v>SUPERMIX478</v>
      </c>
      <c r="E439" s="58" t="s">
        <v>1438</v>
      </c>
      <c r="F439" s="58" t="s">
        <v>1439</v>
      </c>
      <c r="G439" s="88" t="s">
        <v>25</v>
      </c>
      <c r="H439" s="90">
        <v>44387609</v>
      </c>
      <c r="I439" s="90" t="s">
        <v>3787</v>
      </c>
      <c r="J439" s="88" t="s">
        <v>1440</v>
      </c>
      <c r="K439" s="88" t="s">
        <v>3142</v>
      </c>
      <c r="L439" s="91">
        <v>40973</v>
      </c>
      <c r="M439" s="91">
        <v>43895</v>
      </c>
      <c r="N439" s="88">
        <f t="shared" ca="1" si="15"/>
        <v>2292</v>
      </c>
      <c r="O439" s="84" t="str">
        <f ca="1">IF(Tabla1[[#This Row],[|]]&gt;=0,"VENCIDA",IF(Tabla1[[#This Row],[|]]&gt;=-14,"POR VENCER","OK"))</f>
        <v>VENCIDA</v>
      </c>
      <c r="P439" s="90" t="s">
        <v>1441</v>
      </c>
      <c r="Q439" s="90" t="s">
        <v>312</v>
      </c>
      <c r="R439" s="88" t="s">
        <v>17</v>
      </c>
      <c r="S439" s="88"/>
      <c r="T439" s="88"/>
      <c r="U439" s="88"/>
      <c r="V439" s="88" t="s">
        <v>668</v>
      </c>
      <c r="W439" s="92" t="s">
        <v>1442</v>
      </c>
      <c r="X439" s="88"/>
    </row>
    <row r="440" spans="1:24" s="63" customFormat="1" ht="32.25" customHeight="1" x14ac:dyDescent="0.2">
      <c r="A440" s="202">
        <v>479</v>
      </c>
      <c r="B440" s="88" t="s">
        <v>279</v>
      </c>
      <c r="C440" s="89">
        <v>479</v>
      </c>
      <c r="D440" s="88" t="str">
        <f t="shared" si="16"/>
        <v>SUPERMIX479</v>
      </c>
      <c r="E440" s="58" t="s">
        <v>558</v>
      </c>
      <c r="F440" s="58" t="s">
        <v>27</v>
      </c>
      <c r="G440" s="88" t="s">
        <v>25</v>
      </c>
      <c r="H440" s="90">
        <v>45600127</v>
      </c>
      <c r="I440" s="90" t="s">
        <v>3787</v>
      </c>
      <c r="J440" s="88" t="s">
        <v>1444</v>
      </c>
      <c r="K440" s="88" t="s">
        <v>343</v>
      </c>
      <c r="L440" s="91">
        <v>41313</v>
      </c>
      <c r="M440" s="91">
        <v>43500</v>
      </c>
      <c r="N440" s="88">
        <f t="shared" ca="1" si="15"/>
        <v>2687</v>
      </c>
      <c r="O440" s="84" t="str">
        <f ca="1">IF(Tabla1[[#This Row],[|]]&gt;=0,"VENCIDA",IF(Tabla1[[#This Row],[|]]&gt;=-14,"POR VENCER","OK"))</f>
        <v>VENCIDA</v>
      </c>
      <c r="P440" s="90" t="s">
        <v>1445</v>
      </c>
      <c r="Q440" s="90" t="s">
        <v>312</v>
      </c>
      <c r="R440" s="88" t="s">
        <v>317</v>
      </c>
      <c r="S440" s="88"/>
      <c r="T440" s="88"/>
      <c r="U440" s="88"/>
      <c r="V440" s="88" t="s">
        <v>1025</v>
      </c>
      <c r="W440" s="92" t="s">
        <v>1082</v>
      </c>
      <c r="X440" s="88"/>
    </row>
    <row r="441" spans="1:24" s="63" customFormat="1" ht="32.25" customHeight="1" x14ac:dyDescent="0.2">
      <c r="A441" s="202">
        <v>480</v>
      </c>
      <c r="B441" s="88" t="s">
        <v>279</v>
      </c>
      <c r="C441" s="89">
        <v>480</v>
      </c>
      <c r="D441" s="88" t="str">
        <f t="shared" si="16"/>
        <v>SUPERMIX480</v>
      </c>
      <c r="E441" s="58" t="s">
        <v>1446</v>
      </c>
      <c r="F441" s="58" t="s">
        <v>1046</v>
      </c>
      <c r="G441" s="88" t="s">
        <v>25</v>
      </c>
      <c r="H441" s="90">
        <v>45683547</v>
      </c>
      <c r="I441" s="90" t="s">
        <v>3787</v>
      </c>
      <c r="J441" s="88" t="s">
        <v>1451</v>
      </c>
      <c r="K441" s="88" t="s">
        <v>343</v>
      </c>
      <c r="L441" s="91">
        <v>41851</v>
      </c>
      <c r="M441" s="91">
        <v>42947</v>
      </c>
      <c r="N441" s="88">
        <f t="shared" ca="1" si="15"/>
        <v>3240</v>
      </c>
      <c r="O441" s="84" t="str">
        <f ca="1">IF(Tabla1[[#This Row],[|]]&gt;=0,"VENCIDA",IF(Tabla1[[#This Row],[|]]&gt;=-14,"POR VENCER","OK"))</f>
        <v>VENCIDA</v>
      </c>
      <c r="P441" s="90" t="s">
        <v>1445</v>
      </c>
      <c r="Q441" s="90" t="s">
        <v>312</v>
      </c>
      <c r="R441" s="88" t="s">
        <v>317</v>
      </c>
      <c r="S441" s="88"/>
      <c r="T441" s="88"/>
      <c r="U441" s="88"/>
      <c r="V441" s="88" t="s">
        <v>1025</v>
      </c>
      <c r="W441" s="92" t="s">
        <v>1082</v>
      </c>
      <c r="X441" s="88"/>
    </row>
    <row r="442" spans="1:24" s="43" customFormat="1" ht="32.25" customHeight="1" x14ac:dyDescent="0.2">
      <c r="A442" s="42">
        <v>481</v>
      </c>
      <c r="B442" s="93" t="s">
        <v>279</v>
      </c>
      <c r="C442" s="94">
        <v>481</v>
      </c>
      <c r="D442" s="93" t="str">
        <f t="shared" si="16"/>
        <v>SUPERMIX481</v>
      </c>
      <c r="E442" s="115" t="s">
        <v>1448</v>
      </c>
      <c r="F442" s="115" t="s">
        <v>1449</v>
      </c>
      <c r="G442" s="93" t="s">
        <v>25</v>
      </c>
      <c r="H442" s="95">
        <v>29531442</v>
      </c>
      <c r="I442" s="95" t="s">
        <v>3788</v>
      </c>
      <c r="J442" s="93" t="s">
        <v>1450</v>
      </c>
      <c r="K442" s="93" t="s">
        <v>1834</v>
      </c>
      <c r="L442" s="96">
        <v>38513</v>
      </c>
      <c r="M442" s="96">
        <v>47713</v>
      </c>
      <c r="N442" s="93">
        <f t="shared" ca="1" si="15"/>
        <v>-1526</v>
      </c>
      <c r="O442" s="84" t="str">
        <f ca="1">IF(Tabla1[[#This Row],[|]]&gt;=0,"VENCIDA",IF(Tabla1[[#This Row],[|]]&gt;=-14,"POR VENCER","OK"))</f>
        <v>OK</v>
      </c>
      <c r="P442" s="95" t="s">
        <v>4218</v>
      </c>
      <c r="Q442" s="95" t="s">
        <v>312</v>
      </c>
      <c r="R442" s="93" t="s">
        <v>317</v>
      </c>
      <c r="S442" s="93"/>
      <c r="T442" s="93"/>
      <c r="U442" s="93"/>
      <c r="V442" s="93" t="s">
        <v>668</v>
      </c>
      <c r="W442" s="97" t="s">
        <v>1350</v>
      </c>
      <c r="X442" s="204" t="s">
        <v>597</v>
      </c>
    </row>
    <row r="443" spans="1:24" s="43" customFormat="1" ht="32.25" customHeight="1" x14ac:dyDescent="0.2">
      <c r="A443" s="42">
        <v>482</v>
      </c>
      <c r="B443" s="93" t="s">
        <v>279</v>
      </c>
      <c r="C443" s="94">
        <v>482</v>
      </c>
      <c r="D443" s="93" t="str">
        <f t="shared" si="16"/>
        <v>SUPERMIX482</v>
      </c>
      <c r="E443" s="115" t="s">
        <v>1452</v>
      </c>
      <c r="F443" s="115" t="s">
        <v>1453</v>
      </c>
      <c r="G443" s="93" t="s">
        <v>25</v>
      </c>
      <c r="H443" s="128" t="s">
        <v>2114</v>
      </c>
      <c r="I443" s="128" t="s">
        <v>3788</v>
      </c>
      <c r="J443" s="93" t="s">
        <v>2115</v>
      </c>
      <c r="K443" s="93" t="s">
        <v>281</v>
      </c>
      <c r="L443" s="96">
        <v>42446</v>
      </c>
      <c r="M443" s="96">
        <v>46712</v>
      </c>
      <c r="N443" s="93">
        <f t="shared" ca="1" si="15"/>
        <v>-525</v>
      </c>
      <c r="O443" s="84" t="str">
        <f ca="1">IF(Tabla1[[#This Row],[|]]&gt;=0,"VENCIDA",IF(Tabla1[[#This Row],[|]]&gt;=-14,"POR VENCER","OK"))</f>
        <v>OK</v>
      </c>
      <c r="P443" s="95" t="s">
        <v>2028</v>
      </c>
      <c r="Q443" s="95" t="s">
        <v>312</v>
      </c>
      <c r="R443" s="93" t="s">
        <v>17</v>
      </c>
      <c r="S443" s="93"/>
      <c r="T443" s="93"/>
      <c r="U443" s="93"/>
      <c r="V443" s="93" t="s">
        <v>2116</v>
      </c>
      <c r="W443" s="97" t="s">
        <v>1112</v>
      </c>
      <c r="X443" s="93" t="s">
        <v>2957</v>
      </c>
    </row>
    <row r="444" spans="1:24" s="63" customFormat="1" ht="32.25" customHeight="1" x14ac:dyDescent="0.2">
      <c r="A444" s="202">
        <v>483</v>
      </c>
      <c r="B444" s="88" t="s">
        <v>279</v>
      </c>
      <c r="C444" s="89">
        <v>483</v>
      </c>
      <c r="D444" s="88" t="str">
        <f t="shared" si="16"/>
        <v>SUPERMIX483</v>
      </c>
      <c r="E444" s="58" t="s">
        <v>1454</v>
      </c>
      <c r="F444" s="58" t="s">
        <v>1455</v>
      </c>
      <c r="G444" s="88" t="s">
        <v>310</v>
      </c>
      <c r="H444" s="90">
        <v>43632491</v>
      </c>
      <c r="I444" s="90" t="s">
        <v>3787</v>
      </c>
      <c r="J444" s="88" t="s">
        <v>1456</v>
      </c>
      <c r="K444" s="88" t="s">
        <v>1961</v>
      </c>
      <c r="L444" s="91">
        <v>43630</v>
      </c>
      <c r="M444" s="91">
        <v>44726</v>
      </c>
      <c r="N444" s="88">
        <f t="shared" ca="1" si="15"/>
        <v>1461</v>
      </c>
      <c r="O444" s="84" t="str">
        <f ca="1">IF(Tabla1[[#This Row],[|]]&gt;=0,"VENCIDA",IF(Tabla1[[#This Row],[|]]&gt;=-14,"POR VENCER","OK"))</f>
        <v>VENCIDA</v>
      </c>
      <c r="P444" s="90" t="s">
        <v>824</v>
      </c>
      <c r="Q444" s="90" t="s">
        <v>312</v>
      </c>
      <c r="R444" s="88" t="s">
        <v>317</v>
      </c>
      <c r="S444" s="88"/>
      <c r="T444" s="88"/>
      <c r="U444" s="88"/>
      <c r="V444" s="88" t="s">
        <v>750</v>
      </c>
      <c r="W444" s="92" t="s">
        <v>511</v>
      </c>
      <c r="X444" s="88" t="s">
        <v>3168</v>
      </c>
    </row>
    <row r="445" spans="1:24" s="63" customFormat="1" ht="32.25" customHeight="1" x14ac:dyDescent="0.2">
      <c r="A445" s="202">
        <v>484</v>
      </c>
      <c r="B445" s="88" t="s">
        <v>279</v>
      </c>
      <c r="C445" s="89">
        <v>484</v>
      </c>
      <c r="D445" s="88" t="str">
        <f t="shared" si="16"/>
        <v>SUPERMIX484</v>
      </c>
      <c r="E445" s="58" t="s">
        <v>1465</v>
      </c>
      <c r="F445" s="58" t="s">
        <v>1466</v>
      </c>
      <c r="G445" s="88" t="s">
        <v>25</v>
      </c>
      <c r="H445" s="90">
        <v>29674974</v>
      </c>
      <c r="I445" s="90" t="s">
        <v>3787</v>
      </c>
      <c r="J445" s="88" t="s">
        <v>1467</v>
      </c>
      <c r="K445" s="88" t="s">
        <v>368</v>
      </c>
      <c r="L445" s="91">
        <v>42443</v>
      </c>
      <c r="M445" s="91">
        <v>43538</v>
      </c>
      <c r="N445" s="88">
        <f t="shared" ca="1" si="15"/>
        <v>2649</v>
      </c>
      <c r="O445" s="84" t="str">
        <f ca="1">IF(Tabla1[[#This Row],[|]]&gt;=0,"VENCIDA",IF(Tabla1[[#This Row],[|]]&gt;=-14,"POR VENCER","OK"))</f>
        <v>VENCIDA</v>
      </c>
      <c r="P445" s="90" t="s">
        <v>1059</v>
      </c>
      <c r="Q445" s="90" t="s">
        <v>312</v>
      </c>
      <c r="R445" s="88" t="s">
        <v>17</v>
      </c>
      <c r="S445" s="88"/>
      <c r="T445" s="88"/>
      <c r="U445" s="88"/>
      <c r="V445" s="88" t="s">
        <v>831</v>
      </c>
      <c r="W445" s="92" t="s">
        <v>832</v>
      </c>
      <c r="X445" s="88"/>
    </row>
    <row r="446" spans="1:24" s="63" customFormat="1" ht="32.25" customHeight="1" x14ac:dyDescent="0.2">
      <c r="A446" s="202">
        <v>485</v>
      </c>
      <c r="B446" s="88" t="s">
        <v>279</v>
      </c>
      <c r="C446" s="89">
        <v>485</v>
      </c>
      <c r="D446" s="88" t="str">
        <f t="shared" si="16"/>
        <v>SUPERMIX485</v>
      </c>
      <c r="E446" s="58" t="s">
        <v>1468</v>
      </c>
      <c r="F446" s="58" t="s">
        <v>609</v>
      </c>
      <c r="G446" s="88" t="s">
        <v>310</v>
      </c>
      <c r="H446" s="90">
        <v>40867363</v>
      </c>
      <c r="I446" s="90" t="s">
        <v>3787</v>
      </c>
      <c r="J446" s="88" t="s">
        <v>1469</v>
      </c>
      <c r="K446" s="88" t="s">
        <v>3142</v>
      </c>
      <c r="L446" s="91">
        <v>40816</v>
      </c>
      <c r="M446" s="91">
        <v>44917</v>
      </c>
      <c r="N446" s="88">
        <f t="shared" ca="1" si="15"/>
        <v>1270</v>
      </c>
      <c r="O446" s="84" t="str">
        <f ca="1">IF(Tabla1[[#This Row],[|]]&gt;=0,"VENCIDA",IF(Tabla1[[#This Row],[|]]&gt;=-14,"POR VENCER","OK"))</f>
        <v>VENCIDA</v>
      </c>
      <c r="P446" s="90" t="s">
        <v>1059</v>
      </c>
      <c r="Q446" s="90" t="s">
        <v>312</v>
      </c>
      <c r="R446" s="88" t="s">
        <v>317</v>
      </c>
      <c r="S446" s="88"/>
      <c r="T446" s="88"/>
      <c r="U446" s="88"/>
      <c r="V446" s="88" t="s">
        <v>849</v>
      </c>
      <c r="W446" s="92" t="s">
        <v>1112</v>
      </c>
      <c r="X446" s="88"/>
    </row>
    <row r="447" spans="1:24" s="43" customFormat="1" ht="32.25" customHeight="1" x14ac:dyDescent="0.2">
      <c r="A447" s="42">
        <v>486</v>
      </c>
      <c r="B447" s="93" t="s">
        <v>279</v>
      </c>
      <c r="C447" s="94">
        <v>486</v>
      </c>
      <c r="D447" s="93" t="str">
        <f t="shared" si="16"/>
        <v>SUPERMIX486</v>
      </c>
      <c r="E447" s="115" t="s">
        <v>1470</v>
      </c>
      <c r="F447" s="115" t="s">
        <v>1471</v>
      </c>
      <c r="G447" s="93" t="s">
        <v>2825</v>
      </c>
      <c r="H447" s="95">
        <v>45088903</v>
      </c>
      <c r="I447" s="95" t="s">
        <v>3788</v>
      </c>
      <c r="J447" s="93" t="s">
        <v>1472</v>
      </c>
      <c r="K447" s="93" t="s">
        <v>3623</v>
      </c>
      <c r="L447" s="96">
        <v>41488</v>
      </c>
      <c r="M447" s="96">
        <v>46607</v>
      </c>
      <c r="N447" s="93">
        <f t="shared" ca="1" si="15"/>
        <v>-420</v>
      </c>
      <c r="O447" s="84" t="str">
        <f ca="1">IF(Tabla1[[#This Row],[|]]&gt;=0,"VENCIDA",IF(Tabla1[[#This Row],[|]]&gt;=-14,"POR VENCER","OK"))</f>
        <v>OK</v>
      </c>
      <c r="P447" s="95" t="s">
        <v>3598</v>
      </c>
      <c r="Q447" s="95" t="s">
        <v>312</v>
      </c>
      <c r="R447" s="93" t="s">
        <v>317</v>
      </c>
      <c r="S447" s="93"/>
      <c r="T447" s="93"/>
      <c r="U447" s="93"/>
      <c r="V447" s="93" t="s">
        <v>306</v>
      </c>
      <c r="W447" s="97" t="s">
        <v>1017</v>
      </c>
      <c r="X447" s="93" t="s">
        <v>2819</v>
      </c>
    </row>
    <row r="448" spans="1:24" s="63" customFormat="1" ht="32.25" customHeight="1" x14ac:dyDescent="0.2">
      <c r="A448" s="202">
        <v>487</v>
      </c>
      <c r="B448" s="88" t="s">
        <v>279</v>
      </c>
      <c r="C448" s="89">
        <v>487</v>
      </c>
      <c r="D448" s="88" t="str">
        <f t="shared" si="16"/>
        <v>SUPERMIX487</v>
      </c>
      <c r="E448" s="58" t="s">
        <v>1473</v>
      </c>
      <c r="F448" s="58" t="s">
        <v>1474</v>
      </c>
      <c r="G448" s="88" t="s">
        <v>25</v>
      </c>
      <c r="H448" s="90">
        <v>41772660</v>
      </c>
      <c r="I448" s="90" t="s">
        <v>3787</v>
      </c>
      <c r="J448" s="88" t="s">
        <v>1475</v>
      </c>
      <c r="K448" s="88" t="s">
        <v>281</v>
      </c>
      <c r="L448" s="91">
        <v>40697</v>
      </c>
      <c r="M448" s="91">
        <v>46118</v>
      </c>
      <c r="N448" s="88">
        <f t="shared" ca="1" si="15"/>
        <v>69</v>
      </c>
      <c r="O448" s="84" t="str">
        <f ca="1">IF(Tabla1[[#This Row],[|]]&gt;=0,"VENCIDA",IF(Tabla1[[#This Row],[|]]&gt;=-14,"POR VENCER","OK"))</f>
        <v>VENCIDA</v>
      </c>
      <c r="P448" s="90" t="s">
        <v>1388</v>
      </c>
      <c r="Q448" s="90" t="s">
        <v>312</v>
      </c>
      <c r="R448" s="88" t="s">
        <v>317</v>
      </c>
      <c r="S448" s="88"/>
      <c r="T448" s="88"/>
      <c r="U448" s="88"/>
      <c r="V448" s="88" t="s">
        <v>763</v>
      </c>
      <c r="W448" s="92" t="s">
        <v>1476</v>
      </c>
      <c r="X448" s="88"/>
    </row>
    <row r="449" spans="1:24" s="63" customFormat="1" ht="32.25" customHeight="1" x14ac:dyDescent="0.2">
      <c r="A449" s="202">
        <v>488</v>
      </c>
      <c r="B449" s="88" t="s">
        <v>279</v>
      </c>
      <c r="C449" s="89">
        <v>488</v>
      </c>
      <c r="D449" s="88" t="str">
        <f t="shared" si="16"/>
        <v>SUPERMIX488</v>
      </c>
      <c r="E449" s="58" t="s">
        <v>1477</v>
      </c>
      <c r="F449" s="58" t="s">
        <v>1478</v>
      </c>
      <c r="G449" s="88" t="s">
        <v>310</v>
      </c>
      <c r="H449" s="90">
        <v>29364535</v>
      </c>
      <c r="I449" s="90" t="s">
        <v>3787</v>
      </c>
      <c r="J449" s="88" t="s">
        <v>1479</v>
      </c>
      <c r="K449" s="88" t="s">
        <v>343</v>
      </c>
      <c r="L449" s="91">
        <v>33620</v>
      </c>
      <c r="M449" s="91">
        <v>44638</v>
      </c>
      <c r="N449" s="88">
        <f t="shared" ca="1" si="15"/>
        <v>1549</v>
      </c>
      <c r="O449" s="84" t="str">
        <f ca="1">IF(Tabla1[[#This Row],[|]]&gt;=0,"VENCIDA",IF(Tabla1[[#This Row],[|]]&gt;=-14,"POR VENCER","OK"))</f>
        <v>VENCIDA</v>
      </c>
      <c r="P449" s="90" t="s">
        <v>2787</v>
      </c>
      <c r="Q449" s="90" t="s">
        <v>312</v>
      </c>
      <c r="R449" s="88" t="s">
        <v>17</v>
      </c>
      <c r="S449" s="88"/>
      <c r="T449" s="88"/>
      <c r="U449" s="88"/>
      <c r="V449" s="88" t="s">
        <v>763</v>
      </c>
      <c r="W449" s="92" t="s">
        <v>2772</v>
      </c>
      <c r="X449" s="88" t="s">
        <v>2865</v>
      </c>
    </row>
    <row r="450" spans="1:24" s="63" customFormat="1" ht="32.25" customHeight="1" x14ac:dyDescent="0.2">
      <c r="A450" s="202">
        <v>489</v>
      </c>
      <c r="B450" s="88" t="s">
        <v>279</v>
      </c>
      <c r="C450" s="89">
        <v>489</v>
      </c>
      <c r="D450" s="88" t="str">
        <f t="shared" si="16"/>
        <v>SUPERMIX489</v>
      </c>
      <c r="E450" s="58" t="s">
        <v>1481</v>
      </c>
      <c r="F450" s="58" t="s">
        <v>22</v>
      </c>
      <c r="G450" s="88" t="s">
        <v>25</v>
      </c>
      <c r="H450" s="90">
        <v>45294150</v>
      </c>
      <c r="I450" s="90" t="s">
        <v>3787</v>
      </c>
      <c r="J450" s="88" t="s">
        <v>1483</v>
      </c>
      <c r="K450" s="88" t="s">
        <v>281</v>
      </c>
      <c r="L450" s="91">
        <v>42486</v>
      </c>
      <c r="M450" s="91">
        <v>43581</v>
      </c>
      <c r="N450" s="88">
        <f t="shared" ref="N450:N513" ca="1" si="17">TODAY()-M450</f>
        <v>2606</v>
      </c>
      <c r="O450" s="84" t="str">
        <f ca="1">IF(Tabla1[[#This Row],[|]]&gt;=0,"VENCIDA",IF(Tabla1[[#This Row],[|]]&gt;=-14,"POR VENCER","OK"))</f>
        <v>VENCIDA</v>
      </c>
      <c r="P450" s="90" t="s">
        <v>1482</v>
      </c>
      <c r="Q450" s="90" t="s">
        <v>312</v>
      </c>
      <c r="R450" s="88" t="s">
        <v>317</v>
      </c>
      <c r="S450" s="88"/>
      <c r="T450" s="88"/>
      <c r="U450" s="88"/>
      <c r="V450" s="88" t="s">
        <v>763</v>
      </c>
      <c r="W450" s="92" t="s">
        <v>1480</v>
      </c>
      <c r="X450" s="88"/>
    </row>
    <row r="451" spans="1:24" s="63" customFormat="1" ht="32.25" customHeight="1" x14ac:dyDescent="0.2">
      <c r="A451" s="202">
        <v>490</v>
      </c>
      <c r="B451" s="88" t="s">
        <v>279</v>
      </c>
      <c r="C451" s="89" t="s">
        <v>1436</v>
      </c>
      <c r="D451" s="88" t="str">
        <f t="shared" si="16"/>
        <v xml:space="preserve">SUPERMIX </v>
      </c>
      <c r="E451" s="58" t="s">
        <v>789</v>
      </c>
      <c r="F451" s="58" t="s">
        <v>790</v>
      </c>
      <c r="G451" s="88" t="s">
        <v>25</v>
      </c>
      <c r="H451" s="90">
        <v>29447907</v>
      </c>
      <c r="I451" s="90" t="s">
        <v>3787</v>
      </c>
      <c r="J451" s="88" t="s">
        <v>791</v>
      </c>
      <c r="K451" s="88" t="s">
        <v>281</v>
      </c>
      <c r="L451" s="91">
        <v>28963</v>
      </c>
      <c r="M451" s="91">
        <v>44589</v>
      </c>
      <c r="N451" s="88">
        <f t="shared" ca="1" si="17"/>
        <v>1598</v>
      </c>
      <c r="O451" s="84" t="str">
        <f ca="1">IF(Tabla1[[#This Row],[|]]&gt;=0,"VENCIDA",IF(Tabla1[[#This Row],[|]]&gt;=-14,"POR VENCER","OK"))</f>
        <v>VENCIDA</v>
      </c>
      <c r="P451" s="90" t="s">
        <v>2884</v>
      </c>
      <c r="Q451" s="90" t="s">
        <v>312</v>
      </c>
      <c r="R451" s="88" t="s">
        <v>17</v>
      </c>
      <c r="S451" s="88"/>
      <c r="T451" s="88"/>
      <c r="U451" s="88"/>
      <c r="V451" s="88" t="s">
        <v>763</v>
      </c>
      <c r="W451" s="92" t="s">
        <v>1480</v>
      </c>
      <c r="X451" s="88" t="s">
        <v>624</v>
      </c>
    </row>
    <row r="452" spans="1:24" s="63" customFormat="1" ht="32.25" customHeight="1" x14ac:dyDescent="0.2">
      <c r="A452" s="202">
        <v>491</v>
      </c>
      <c r="B452" s="88" t="s">
        <v>279</v>
      </c>
      <c r="C452" s="89">
        <v>491</v>
      </c>
      <c r="D452" s="88" t="str">
        <f t="shared" si="16"/>
        <v>SUPERMIX491</v>
      </c>
      <c r="E452" s="172" t="s">
        <v>1815</v>
      </c>
      <c r="F452" s="58" t="s">
        <v>1484</v>
      </c>
      <c r="G452" s="88" t="s">
        <v>25</v>
      </c>
      <c r="H452" s="90">
        <v>45214873</v>
      </c>
      <c r="I452" s="90" t="s">
        <v>3787</v>
      </c>
      <c r="J452" s="88" t="s">
        <v>1485</v>
      </c>
      <c r="K452" s="88" t="s">
        <v>281</v>
      </c>
      <c r="L452" s="91">
        <v>42156</v>
      </c>
      <c r="M452" s="91">
        <v>43252</v>
      </c>
      <c r="N452" s="88">
        <f t="shared" ca="1" si="17"/>
        <v>2935</v>
      </c>
      <c r="O452" s="84" t="str">
        <f ca="1">IF(Tabla1[[#This Row],[|]]&gt;=0,"VENCIDA",IF(Tabla1[[#This Row],[|]]&gt;=-14,"POR VENCER","OK"))</f>
        <v>VENCIDA</v>
      </c>
      <c r="P452" s="90" t="s">
        <v>1388</v>
      </c>
      <c r="Q452" s="90" t="s">
        <v>312</v>
      </c>
      <c r="R452" s="88" t="s">
        <v>317</v>
      </c>
      <c r="S452" s="88"/>
      <c r="T452" s="88"/>
      <c r="U452" s="88"/>
      <c r="V452" s="88" t="s">
        <v>763</v>
      </c>
      <c r="W452" s="92" t="s">
        <v>1480</v>
      </c>
      <c r="X452" s="88"/>
    </row>
    <row r="453" spans="1:24" s="43" customFormat="1" ht="32.25" customHeight="1" x14ac:dyDescent="0.2">
      <c r="A453" s="42">
        <v>492</v>
      </c>
      <c r="B453" s="93" t="s">
        <v>279</v>
      </c>
      <c r="C453" s="94">
        <v>492</v>
      </c>
      <c r="D453" s="93" t="str">
        <f t="shared" si="16"/>
        <v>SUPERMIX492</v>
      </c>
      <c r="E453" s="115" t="s">
        <v>1487</v>
      </c>
      <c r="F453" s="115" t="s">
        <v>23</v>
      </c>
      <c r="G453" s="93" t="s">
        <v>25</v>
      </c>
      <c r="H453" s="95">
        <v>29541491</v>
      </c>
      <c r="I453" s="95" t="s">
        <v>3788</v>
      </c>
      <c r="J453" s="93" t="s">
        <v>1488</v>
      </c>
      <c r="K453" s="93" t="s">
        <v>281</v>
      </c>
      <c r="L453" s="96">
        <v>35239</v>
      </c>
      <c r="M453" s="96">
        <v>46611</v>
      </c>
      <c r="N453" s="93">
        <f t="shared" ca="1" si="17"/>
        <v>-424</v>
      </c>
      <c r="O453" s="84" t="str">
        <f ca="1">IF(Tabla1[[#This Row],[|]]&gt;=0,"VENCIDA",IF(Tabla1[[#This Row],[|]]&gt;=-14,"POR VENCER","OK"))</f>
        <v>OK</v>
      </c>
      <c r="P453" s="95" t="s">
        <v>3599</v>
      </c>
      <c r="Q453" s="95" t="s">
        <v>312</v>
      </c>
      <c r="R453" s="93" t="s">
        <v>17</v>
      </c>
      <c r="S453" s="93"/>
      <c r="T453" s="93"/>
      <c r="U453" s="93"/>
      <c r="V453" s="93" t="s">
        <v>763</v>
      </c>
      <c r="W453" s="97" t="s">
        <v>1411</v>
      </c>
      <c r="X453" s="93" t="s">
        <v>624</v>
      </c>
    </row>
    <row r="454" spans="1:24" s="43" customFormat="1" ht="32.25" customHeight="1" x14ac:dyDescent="0.2">
      <c r="A454" s="42">
        <v>493</v>
      </c>
      <c r="B454" s="93" t="s">
        <v>279</v>
      </c>
      <c r="C454" s="94">
        <v>493</v>
      </c>
      <c r="D454" s="93" t="str">
        <f t="shared" si="16"/>
        <v>SUPERMIX493</v>
      </c>
      <c r="E454" s="115" t="s">
        <v>1490</v>
      </c>
      <c r="F454" s="115" t="s">
        <v>1491</v>
      </c>
      <c r="G454" s="93" t="s">
        <v>25</v>
      </c>
      <c r="H454" s="95">
        <v>43020039</v>
      </c>
      <c r="I454" s="95" t="s">
        <v>3788</v>
      </c>
      <c r="J454" s="93" t="s">
        <v>1492</v>
      </c>
      <c r="K454" s="93" t="s">
        <v>3142</v>
      </c>
      <c r="L454" s="96">
        <v>40403</v>
      </c>
      <c r="M454" s="96">
        <v>46989</v>
      </c>
      <c r="N454" s="93">
        <f t="shared" ca="1" si="17"/>
        <v>-802</v>
      </c>
      <c r="O454" s="84" t="str">
        <f ca="1">IF(Tabla1[[#This Row],[|]]&gt;=0,"VENCIDA",IF(Tabla1[[#This Row],[|]]&gt;=-14,"POR VENCER","OK"))</f>
        <v>OK</v>
      </c>
      <c r="P454" s="95" t="s">
        <v>2827</v>
      </c>
      <c r="Q454" s="95" t="s">
        <v>312</v>
      </c>
      <c r="R454" s="93" t="s">
        <v>317</v>
      </c>
      <c r="S454" s="93"/>
      <c r="T454" s="93"/>
      <c r="U454" s="93"/>
      <c r="V454" s="93" t="s">
        <v>763</v>
      </c>
      <c r="W454" s="97" t="s">
        <v>2772</v>
      </c>
      <c r="X454" s="93" t="s">
        <v>3102</v>
      </c>
    </row>
    <row r="455" spans="1:24" s="63" customFormat="1" ht="32.25" customHeight="1" x14ac:dyDescent="0.2">
      <c r="A455" s="202">
        <v>494</v>
      </c>
      <c r="B455" s="88" t="s">
        <v>279</v>
      </c>
      <c r="C455" s="89">
        <v>494</v>
      </c>
      <c r="D455" s="88" t="str">
        <f t="shared" si="16"/>
        <v>SUPERMIX494</v>
      </c>
      <c r="E455" s="58" t="s">
        <v>1245</v>
      </c>
      <c r="F455" s="58" t="s">
        <v>1246</v>
      </c>
      <c r="G455" s="88" t="s">
        <v>25</v>
      </c>
      <c r="H455" s="90">
        <v>44230275</v>
      </c>
      <c r="I455" s="90" t="s">
        <v>3787</v>
      </c>
      <c r="J455" s="88" t="s">
        <v>1493</v>
      </c>
      <c r="K455" s="88" t="s">
        <v>1954</v>
      </c>
      <c r="L455" s="91">
        <v>41788</v>
      </c>
      <c r="M455" s="91">
        <v>43948</v>
      </c>
      <c r="N455" s="88">
        <f t="shared" ca="1" si="17"/>
        <v>2239</v>
      </c>
      <c r="O455" s="84" t="str">
        <f ca="1">IF(Tabla1[[#This Row],[|]]&gt;=0,"VENCIDA",IF(Tabla1[[#This Row],[|]]&gt;=-14,"POR VENCER","OK"))</f>
        <v>VENCIDA</v>
      </c>
      <c r="P455" s="90" t="s">
        <v>2225</v>
      </c>
      <c r="Q455" s="90" t="s">
        <v>312</v>
      </c>
      <c r="R455" s="88" t="s">
        <v>317</v>
      </c>
      <c r="S455" s="88"/>
      <c r="T455" s="88"/>
      <c r="U455" s="88"/>
      <c r="V455" s="88" t="s">
        <v>763</v>
      </c>
      <c r="W455" s="92" t="s">
        <v>1480</v>
      </c>
      <c r="X455" s="88"/>
    </row>
    <row r="456" spans="1:24" s="63" customFormat="1" ht="32.25" customHeight="1" x14ac:dyDescent="0.2">
      <c r="A456" s="202">
        <v>495</v>
      </c>
      <c r="B456" s="88" t="s">
        <v>279</v>
      </c>
      <c r="C456" s="89">
        <v>495</v>
      </c>
      <c r="D456" s="88" t="str">
        <f t="shared" ref="D456:D519" si="18">CONCATENATE(B456,C456)</f>
        <v>SUPERMIX495</v>
      </c>
      <c r="E456" s="58" t="s">
        <v>1495</v>
      </c>
      <c r="F456" s="58" t="s">
        <v>1496</v>
      </c>
      <c r="G456" s="88" t="s">
        <v>25</v>
      </c>
      <c r="H456" s="90">
        <v>42359993</v>
      </c>
      <c r="I456" s="90" t="s">
        <v>3787</v>
      </c>
      <c r="J456" s="88" t="s">
        <v>1497</v>
      </c>
      <c r="K456" s="88" t="s">
        <v>1961</v>
      </c>
      <c r="L456" s="91">
        <v>43360</v>
      </c>
      <c r="M456" s="91">
        <v>46281</v>
      </c>
      <c r="N456" s="88">
        <f t="shared" ca="1" si="17"/>
        <v>-94</v>
      </c>
      <c r="O456" s="84" t="str">
        <f ca="1">IF(Tabla1[[#This Row],[|]]&gt;=0,"VENCIDA",IF(Tabla1[[#This Row],[|]]&gt;=-14,"POR VENCER","OK"))</f>
        <v>OK</v>
      </c>
      <c r="P456" s="90" t="s">
        <v>3246</v>
      </c>
      <c r="Q456" s="90" t="s">
        <v>312</v>
      </c>
      <c r="R456" s="88" t="s">
        <v>317</v>
      </c>
      <c r="S456" s="88"/>
      <c r="T456" s="88"/>
      <c r="U456" s="88"/>
      <c r="V456" s="88" t="s">
        <v>750</v>
      </c>
      <c r="W456" s="92" t="s">
        <v>700</v>
      </c>
      <c r="X456" s="88" t="s">
        <v>3375</v>
      </c>
    </row>
    <row r="457" spans="1:24" s="63" customFormat="1" ht="32.25" customHeight="1" x14ac:dyDescent="0.2">
      <c r="A457" s="202">
        <v>496</v>
      </c>
      <c r="B457" s="88" t="s">
        <v>279</v>
      </c>
      <c r="C457" s="89">
        <v>496</v>
      </c>
      <c r="D457" s="88" t="str">
        <f t="shared" si="18"/>
        <v>SUPERMIX496</v>
      </c>
      <c r="E457" s="58" t="s">
        <v>1526</v>
      </c>
      <c r="F457" s="58" t="s">
        <v>1527</v>
      </c>
      <c r="G457" s="88" t="s">
        <v>25</v>
      </c>
      <c r="H457" s="90">
        <v>45016886</v>
      </c>
      <c r="I457" s="90" t="s">
        <v>3787</v>
      </c>
      <c r="J457" s="88" t="s">
        <v>1528</v>
      </c>
      <c r="K457" s="88" t="s">
        <v>281</v>
      </c>
      <c r="L457" s="91">
        <v>42481</v>
      </c>
      <c r="M457" s="91">
        <v>43576</v>
      </c>
      <c r="N457" s="88">
        <f t="shared" ca="1" si="17"/>
        <v>2611</v>
      </c>
      <c r="O457" s="84" t="str">
        <f ca="1">IF(Tabla1[[#This Row],[|]]&gt;=0,"VENCIDA",IF(Tabla1[[#This Row],[|]]&gt;=-14,"POR VENCER","OK"))</f>
        <v>VENCIDA</v>
      </c>
      <c r="P457" s="90" t="s">
        <v>597</v>
      </c>
      <c r="Q457" s="90" t="s">
        <v>312</v>
      </c>
      <c r="R457" s="88" t="s">
        <v>17</v>
      </c>
      <c r="S457" s="88"/>
      <c r="T457" s="88"/>
      <c r="U457" s="88"/>
      <c r="V457" s="88" t="s">
        <v>668</v>
      </c>
      <c r="W457" s="92" t="s">
        <v>1350</v>
      </c>
      <c r="X457" s="88"/>
    </row>
    <row r="458" spans="1:24" s="63" customFormat="1" ht="32.25" customHeight="1" x14ac:dyDescent="0.2">
      <c r="A458" s="202">
        <v>497</v>
      </c>
      <c r="B458" s="88" t="s">
        <v>279</v>
      </c>
      <c r="C458" s="89">
        <v>497</v>
      </c>
      <c r="D458" s="88" t="str">
        <f t="shared" si="18"/>
        <v>SUPERMIX497</v>
      </c>
      <c r="E458" s="58" t="s">
        <v>1529</v>
      </c>
      <c r="F458" s="58" t="s">
        <v>637</v>
      </c>
      <c r="G458" s="88" t="s">
        <v>25</v>
      </c>
      <c r="H458" s="90">
        <v>43927259</v>
      </c>
      <c r="I458" s="90" t="s">
        <v>3787</v>
      </c>
      <c r="J458" s="88" t="s">
        <v>1530</v>
      </c>
      <c r="K458" s="88" t="s">
        <v>281</v>
      </c>
      <c r="L458" s="91">
        <v>41892</v>
      </c>
      <c r="M458" s="91">
        <v>45958</v>
      </c>
      <c r="N458" s="88">
        <f t="shared" ca="1" si="17"/>
        <v>229</v>
      </c>
      <c r="O458" s="84" t="str">
        <f ca="1">IF(Tabla1[[#This Row],[|]]&gt;=0,"VENCIDA",IF(Tabla1[[#This Row],[|]]&gt;=-14,"POR VENCER","OK"))</f>
        <v>VENCIDA</v>
      </c>
      <c r="P458" s="90" t="s">
        <v>3017</v>
      </c>
      <c r="Q458" s="90" t="s">
        <v>312</v>
      </c>
      <c r="R458" s="88" t="s">
        <v>17</v>
      </c>
      <c r="S458" s="88"/>
      <c r="T458" s="88"/>
      <c r="U458" s="88"/>
      <c r="V458" s="88" t="s">
        <v>668</v>
      </c>
      <c r="W458" s="92" t="s">
        <v>850</v>
      </c>
      <c r="X458" s="88" t="s">
        <v>597</v>
      </c>
    </row>
    <row r="459" spans="1:24" s="63" customFormat="1" ht="32.25" customHeight="1" x14ac:dyDescent="0.2">
      <c r="A459" s="202">
        <v>498</v>
      </c>
      <c r="B459" s="88" t="s">
        <v>279</v>
      </c>
      <c r="C459" s="89">
        <v>498</v>
      </c>
      <c r="D459" s="88" t="str">
        <f t="shared" si="18"/>
        <v>SUPERMIX498</v>
      </c>
      <c r="E459" s="58" t="s">
        <v>1517</v>
      </c>
      <c r="F459" s="58" t="s">
        <v>1518</v>
      </c>
      <c r="G459" s="88" t="s">
        <v>25</v>
      </c>
      <c r="H459" s="90">
        <v>41638880</v>
      </c>
      <c r="I459" s="90" t="s">
        <v>3787</v>
      </c>
      <c r="J459" s="88" t="s">
        <v>1519</v>
      </c>
      <c r="K459" s="88" t="s">
        <v>281</v>
      </c>
      <c r="L459" s="91">
        <v>41325</v>
      </c>
      <c r="M459" s="91">
        <v>43511</v>
      </c>
      <c r="N459" s="88">
        <f t="shared" ca="1" si="17"/>
        <v>2676</v>
      </c>
      <c r="O459" s="84" t="str">
        <f ca="1">IF(Tabla1[[#This Row],[|]]&gt;=0,"VENCIDA",IF(Tabla1[[#This Row],[|]]&gt;=-14,"POR VENCER","OK"))</f>
        <v>VENCIDA</v>
      </c>
      <c r="P459" s="90" t="s">
        <v>1387</v>
      </c>
      <c r="Q459" s="90" t="s">
        <v>312</v>
      </c>
      <c r="R459" s="88" t="s">
        <v>17</v>
      </c>
      <c r="S459" s="88"/>
      <c r="T459" s="88"/>
      <c r="U459" s="88"/>
      <c r="V459" s="88" t="s">
        <v>668</v>
      </c>
      <c r="W459" s="92" t="s">
        <v>1350</v>
      </c>
      <c r="X459" s="88"/>
    </row>
    <row r="460" spans="1:24" s="63" customFormat="1" ht="32.25" customHeight="1" x14ac:dyDescent="0.2">
      <c r="A460" s="202">
        <v>499</v>
      </c>
      <c r="B460" s="88" t="s">
        <v>279</v>
      </c>
      <c r="C460" s="89">
        <v>499</v>
      </c>
      <c r="D460" s="88" t="str">
        <f t="shared" si="18"/>
        <v>SUPERMIX499</v>
      </c>
      <c r="E460" s="58" t="s">
        <v>1501</v>
      </c>
      <c r="F460" s="58" t="s">
        <v>1502</v>
      </c>
      <c r="G460" s="88" t="s">
        <v>25</v>
      </c>
      <c r="H460" s="90">
        <v>29221983</v>
      </c>
      <c r="I460" s="90" t="s">
        <v>3787</v>
      </c>
      <c r="J460" s="88" t="s">
        <v>1504</v>
      </c>
      <c r="K460" s="88" t="s">
        <v>281</v>
      </c>
      <c r="L460" s="91">
        <v>30616</v>
      </c>
      <c r="M460" s="91">
        <v>43654</v>
      </c>
      <c r="N460" s="88">
        <f t="shared" ca="1" si="17"/>
        <v>2533</v>
      </c>
      <c r="O460" s="84" t="str">
        <f ca="1">IF(Tabla1[[#This Row],[|]]&gt;=0,"VENCIDA",IF(Tabla1[[#This Row],[|]]&gt;=-14,"POR VENCER","OK"))</f>
        <v>VENCIDA</v>
      </c>
      <c r="P460" s="90" t="s">
        <v>2959</v>
      </c>
      <c r="Q460" s="90" t="s">
        <v>312</v>
      </c>
      <c r="R460" s="88" t="s">
        <v>317</v>
      </c>
      <c r="S460" s="88"/>
      <c r="T460" s="88"/>
      <c r="U460" s="88"/>
      <c r="V460" s="88" t="s">
        <v>763</v>
      </c>
      <c r="W460" s="92" t="s">
        <v>1480</v>
      </c>
      <c r="X460" s="88" t="s">
        <v>2960</v>
      </c>
    </row>
    <row r="461" spans="1:24" s="43" customFormat="1" ht="32.25" customHeight="1" x14ac:dyDescent="0.2">
      <c r="A461" s="42">
        <v>500</v>
      </c>
      <c r="B461" s="93" t="s">
        <v>279</v>
      </c>
      <c r="C461" s="94">
        <v>500</v>
      </c>
      <c r="D461" s="93" t="str">
        <f t="shared" si="18"/>
        <v>SUPERMIX500</v>
      </c>
      <c r="E461" s="115" t="s">
        <v>1514</v>
      </c>
      <c r="F461" s="115" t="s">
        <v>1515</v>
      </c>
      <c r="G461" s="93" t="s">
        <v>25</v>
      </c>
      <c r="H461" s="95">
        <v>42225388</v>
      </c>
      <c r="I461" s="95" t="s">
        <v>3788</v>
      </c>
      <c r="J461" s="93" t="s">
        <v>1516</v>
      </c>
      <c r="K461" s="93" t="s">
        <v>3142</v>
      </c>
      <c r="L461" s="96">
        <v>40445</v>
      </c>
      <c r="M461" s="96">
        <v>47087</v>
      </c>
      <c r="N461" s="93">
        <f t="shared" ca="1" si="17"/>
        <v>-900</v>
      </c>
      <c r="O461" s="84" t="str">
        <f ca="1">IF(Tabla1[[#This Row],[|]]&gt;=0,"VENCIDA",IF(Tabla1[[#This Row],[|]]&gt;=-14,"POR VENCER","OK"))</f>
        <v>OK</v>
      </c>
      <c r="P461" s="95" t="s">
        <v>1059</v>
      </c>
      <c r="Q461" s="95" t="s">
        <v>312</v>
      </c>
      <c r="R461" s="93" t="s">
        <v>17</v>
      </c>
      <c r="S461" s="93"/>
      <c r="T461" s="93"/>
      <c r="U461" s="93"/>
      <c r="V461" s="93" t="s">
        <v>668</v>
      </c>
      <c r="W461" s="97" t="s">
        <v>971</v>
      </c>
      <c r="X461" s="93" t="s">
        <v>2894</v>
      </c>
    </row>
    <row r="462" spans="1:24" s="63" customFormat="1" ht="32.25" customHeight="1" x14ac:dyDescent="0.2">
      <c r="A462" s="202">
        <v>501</v>
      </c>
      <c r="B462" s="88" t="s">
        <v>279</v>
      </c>
      <c r="C462" s="89">
        <v>501</v>
      </c>
      <c r="D462" s="88" t="str">
        <f t="shared" si="18"/>
        <v>SUPERMIX501</v>
      </c>
      <c r="E462" s="58" t="s">
        <v>1499</v>
      </c>
      <c r="F462" s="58" t="s">
        <v>1023</v>
      </c>
      <c r="G462" s="88" t="s">
        <v>25</v>
      </c>
      <c r="H462" s="90">
        <v>70106601</v>
      </c>
      <c r="I462" s="90" t="s">
        <v>3787</v>
      </c>
      <c r="J462" s="88" t="s">
        <v>1500</v>
      </c>
      <c r="K462" s="88" t="s">
        <v>1834</v>
      </c>
      <c r="L462" s="91">
        <v>43385</v>
      </c>
      <c r="M462" s="91">
        <v>44481</v>
      </c>
      <c r="N462" s="88">
        <f t="shared" ca="1" si="17"/>
        <v>1706</v>
      </c>
      <c r="O462" s="84" t="str">
        <f ca="1">IF(Tabla1[[#This Row],[|]]&gt;=0,"VENCIDA",IF(Tabla1[[#This Row],[|]]&gt;=-14,"POR VENCER","OK"))</f>
        <v>VENCIDA</v>
      </c>
      <c r="P462" s="90" t="s">
        <v>3121</v>
      </c>
      <c r="Q462" s="90" t="s">
        <v>312</v>
      </c>
      <c r="R462" s="88" t="s">
        <v>317</v>
      </c>
      <c r="S462" s="88"/>
      <c r="T462" s="88"/>
      <c r="U462" s="88"/>
      <c r="V462" s="88" t="s">
        <v>2701</v>
      </c>
      <c r="W462" s="88" t="s">
        <v>2772</v>
      </c>
      <c r="X462" s="88" t="s">
        <v>760</v>
      </c>
    </row>
    <row r="463" spans="1:24" s="63" customFormat="1" ht="32.25" customHeight="1" x14ac:dyDescent="0.2">
      <c r="A463" s="202">
        <v>502</v>
      </c>
      <c r="B463" s="88" t="s">
        <v>279</v>
      </c>
      <c r="C463" s="89">
        <v>502</v>
      </c>
      <c r="D463" s="88" t="str">
        <f t="shared" si="18"/>
        <v>SUPERMIX502</v>
      </c>
      <c r="E463" s="58" t="s">
        <v>1520</v>
      </c>
      <c r="F463" s="58" t="s">
        <v>1521</v>
      </c>
      <c r="G463" s="88" t="s">
        <v>310</v>
      </c>
      <c r="H463" s="90">
        <v>43129245</v>
      </c>
      <c r="I463" s="90" t="s">
        <v>3787</v>
      </c>
      <c r="J463" s="88" t="s">
        <v>1522</v>
      </c>
      <c r="K463" s="88" t="s">
        <v>281</v>
      </c>
      <c r="L463" s="91">
        <v>41856</v>
      </c>
      <c r="M463" s="91">
        <v>44022</v>
      </c>
      <c r="N463" s="88">
        <f t="shared" ca="1" si="17"/>
        <v>2165</v>
      </c>
      <c r="O463" s="84" t="str">
        <f ca="1">IF(Tabla1[[#This Row],[|]]&gt;=0,"VENCIDA",IF(Tabla1[[#This Row],[|]]&gt;=-14,"POR VENCER","OK"))</f>
        <v>VENCIDA</v>
      </c>
      <c r="P463" s="90" t="s">
        <v>2797</v>
      </c>
      <c r="Q463" s="90" t="s">
        <v>312</v>
      </c>
      <c r="R463" s="88" t="s">
        <v>17</v>
      </c>
      <c r="S463" s="88"/>
      <c r="T463" s="88"/>
      <c r="U463" s="88"/>
      <c r="V463" s="88" t="s">
        <v>1702</v>
      </c>
      <c r="W463" s="92" t="s">
        <v>1112</v>
      </c>
      <c r="X463" s="88" t="s">
        <v>597</v>
      </c>
    </row>
    <row r="464" spans="1:24" s="63" customFormat="1" ht="32.25" customHeight="1" x14ac:dyDescent="0.2">
      <c r="A464" s="202">
        <v>503</v>
      </c>
      <c r="B464" s="88" t="s">
        <v>279</v>
      </c>
      <c r="C464" s="89">
        <v>503</v>
      </c>
      <c r="D464" s="88" t="str">
        <f t="shared" si="18"/>
        <v>SUPERMIX503</v>
      </c>
      <c r="E464" s="58" t="s">
        <v>1524</v>
      </c>
      <c r="F464" s="58" t="s">
        <v>1523</v>
      </c>
      <c r="G464" s="88" t="s">
        <v>25</v>
      </c>
      <c r="H464" s="90">
        <v>29648831</v>
      </c>
      <c r="I464" s="90" t="s">
        <v>3787</v>
      </c>
      <c r="J464" s="88" t="s">
        <v>1525</v>
      </c>
      <c r="K464" s="88" t="s">
        <v>281</v>
      </c>
      <c r="L464" s="91">
        <v>41437</v>
      </c>
      <c r="M464" s="91">
        <v>46168</v>
      </c>
      <c r="N464" s="88">
        <f t="shared" ca="1" si="17"/>
        <v>19</v>
      </c>
      <c r="O464" s="84" t="str">
        <f ca="1">IF(Tabla1[[#This Row],[|]]&gt;=0,"VENCIDA",IF(Tabla1[[#This Row],[|]]&gt;=-14,"POR VENCER","OK"))</f>
        <v>VENCIDA</v>
      </c>
      <c r="P464" s="90" t="s">
        <v>2847</v>
      </c>
      <c r="Q464" s="90" t="s">
        <v>312</v>
      </c>
      <c r="R464" s="88" t="s">
        <v>17</v>
      </c>
      <c r="S464" s="88"/>
      <c r="T464" s="88"/>
      <c r="U464" s="88"/>
      <c r="V464" s="88" t="s">
        <v>282</v>
      </c>
      <c r="W464" s="92" t="s">
        <v>1017</v>
      </c>
      <c r="X464" s="88" t="s">
        <v>597</v>
      </c>
    </row>
    <row r="465" spans="1:24" s="63" customFormat="1" ht="32.25" customHeight="1" x14ac:dyDescent="0.2">
      <c r="A465" s="202">
        <v>504</v>
      </c>
      <c r="B465" s="88" t="s">
        <v>279</v>
      </c>
      <c r="C465" s="89">
        <v>504</v>
      </c>
      <c r="D465" s="88" t="str">
        <f t="shared" si="18"/>
        <v>SUPERMIX504</v>
      </c>
      <c r="E465" s="58" t="s">
        <v>912</v>
      </c>
      <c r="F465" s="58" t="s">
        <v>913</v>
      </c>
      <c r="G465" s="88" t="s">
        <v>25</v>
      </c>
      <c r="H465" s="90">
        <v>41406346</v>
      </c>
      <c r="I465" s="90" t="s">
        <v>3787</v>
      </c>
      <c r="J465" s="88" t="s">
        <v>915</v>
      </c>
      <c r="K465" s="88" t="s">
        <v>281</v>
      </c>
      <c r="L465" s="91">
        <v>42415</v>
      </c>
      <c r="M465" s="91">
        <v>43511</v>
      </c>
      <c r="N465" s="88">
        <f t="shared" ca="1" si="17"/>
        <v>2676</v>
      </c>
      <c r="O465" s="84" t="str">
        <f ca="1">IF(Tabla1[[#This Row],[|]]&gt;=0,"VENCIDA",IF(Tabla1[[#This Row],[|]]&gt;=-14,"POR VENCER","OK"))</f>
        <v>VENCIDA</v>
      </c>
      <c r="P465" s="90" t="s">
        <v>2718</v>
      </c>
      <c r="Q465" s="90" t="s">
        <v>312</v>
      </c>
      <c r="R465" s="88" t="s">
        <v>317</v>
      </c>
      <c r="S465" s="88"/>
      <c r="T465" s="88"/>
      <c r="U465" s="88"/>
      <c r="V465" s="88" t="s">
        <v>715</v>
      </c>
      <c r="W465" s="92" t="s">
        <v>702</v>
      </c>
      <c r="X465" s="88"/>
    </row>
    <row r="466" spans="1:24" s="63" customFormat="1" ht="32.25" customHeight="1" x14ac:dyDescent="0.2">
      <c r="A466" s="202">
        <v>505</v>
      </c>
      <c r="B466" s="88" t="s">
        <v>279</v>
      </c>
      <c r="C466" s="89">
        <v>505</v>
      </c>
      <c r="D466" s="88" t="str">
        <f t="shared" si="18"/>
        <v>SUPERMIX505</v>
      </c>
      <c r="E466" s="58" t="s">
        <v>171</v>
      </c>
      <c r="F466" s="58" t="s">
        <v>1535</v>
      </c>
      <c r="G466" s="88" t="s">
        <v>25</v>
      </c>
      <c r="H466" s="90">
        <v>42803980</v>
      </c>
      <c r="I466" s="90" t="s">
        <v>3787</v>
      </c>
      <c r="J466" s="88" t="s">
        <v>1536</v>
      </c>
      <c r="K466" s="88" t="s">
        <v>281</v>
      </c>
      <c r="L466" s="91">
        <v>40941</v>
      </c>
      <c r="M466" s="91">
        <v>43123</v>
      </c>
      <c r="N466" s="88">
        <f t="shared" ca="1" si="17"/>
        <v>3064</v>
      </c>
      <c r="O466" s="84" t="str">
        <f ca="1">IF(Tabla1[[#This Row],[|]]&gt;=0,"VENCIDA",IF(Tabla1[[#This Row],[|]]&gt;=-14,"POR VENCER","OK"))</f>
        <v>VENCIDA</v>
      </c>
      <c r="P466" s="90" t="s">
        <v>597</v>
      </c>
      <c r="Q466" s="90" t="s">
        <v>312</v>
      </c>
      <c r="R466" s="88" t="s">
        <v>17</v>
      </c>
      <c r="S466" s="88"/>
      <c r="T466" s="88"/>
      <c r="U466" s="88"/>
      <c r="V466" s="88" t="s">
        <v>1537</v>
      </c>
      <c r="W466" s="92" t="s">
        <v>1350</v>
      </c>
      <c r="X466" s="88"/>
    </row>
    <row r="467" spans="1:24" s="63" customFormat="1" ht="32.25" customHeight="1" x14ac:dyDescent="0.2">
      <c r="A467" s="202">
        <v>506</v>
      </c>
      <c r="B467" s="88" t="s">
        <v>279</v>
      </c>
      <c r="C467" s="89">
        <v>506</v>
      </c>
      <c r="D467" s="88" t="str">
        <f t="shared" si="18"/>
        <v>SUPERMIX506</v>
      </c>
      <c r="E467" s="58" t="s">
        <v>1539</v>
      </c>
      <c r="F467" s="58" t="s">
        <v>1540</v>
      </c>
      <c r="G467" s="88" t="s">
        <v>356</v>
      </c>
      <c r="H467" s="90">
        <v>44259057</v>
      </c>
      <c r="I467" s="90" t="s">
        <v>3787</v>
      </c>
      <c r="J467" s="88" t="s">
        <v>1541</v>
      </c>
      <c r="K467" s="88" t="s">
        <v>281</v>
      </c>
      <c r="L467" s="91">
        <v>41943</v>
      </c>
      <c r="M467" s="91">
        <v>43039</v>
      </c>
      <c r="N467" s="88">
        <f t="shared" ca="1" si="17"/>
        <v>3148</v>
      </c>
      <c r="O467" s="84" t="str">
        <f ca="1">IF(Tabla1[[#This Row],[|]]&gt;=0,"VENCIDA",IF(Tabla1[[#This Row],[|]]&gt;=-14,"POR VENCER","OK"))</f>
        <v>VENCIDA</v>
      </c>
      <c r="P467" s="90" t="s">
        <v>624</v>
      </c>
      <c r="Q467" s="90" t="s">
        <v>312</v>
      </c>
      <c r="R467" s="88" t="s">
        <v>17</v>
      </c>
      <c r="S467" s="88"/>
      <c r="T467" s="88"/>
      <c r="U467" s="88"/>
      <c r="V467" s="88" t="s">
        <v>635</v>
      </c>
      <c r="W467" s="92" t="s">
        <v>1411</v>
      </c>
      <c r="X467" s="88"/>
    </row>
    <row r="468" spans="1:24" s="63" customFormat="1" ht="32.25" customHeight="1" x14ac:dyDescent="0.2">
      <c r="A468" s="202">
        <v>507</v>
      </c>
      <c r="B468" s="88" t="s">
        <v>279</v>
      </c>
      <c r="C468" s="89">
        <v>507</v>
      </c>
      <c r="D468" s="88" t="str">
        <f t="shared" si="18"/>
        <v>SUPERMIX507</v>
      </c>
      <c r="E468" s="58" t="s">
        <v>1542</v>
      </c>
      <c r="F468" s="58" t="s">
        <v>1543</v>
      </c>
      <c r="G468" s="88" t="s">
        <v>25</v>
      </c>
      <c r="H468" s="107" t="s">
        <v>1546</v>
      </c>
      <c r="I468" s="107" t="s">
        <v>3787</v>
      </c>
      <c r="J468" s="88" t="s">
        <v>1547</v>
      </c>
      <c r="K468" s="88" t="s">
        <v>281</v>
      </c>
      <c r="L468" s="91">
        <v>40192</v>
      </c>
      <c r="M468" s="91">
        <v>43592</v>
      </c>
      <c r="N468" s="88">
        <f t="shared" ca="1" si="17"/>
        <v>2595</v>
      </c>
      <c r="O468" s="84" t="str">
        <f ca="1">IF(Tabla1[[#This Row],[|]]&gt;=0,"VENCIDA",IF(Tabla1[[#This Row],[|]]&gt;=-14,"POR VENCER","OK"))</f>
        <v>VENCIDA</v>
      </c>
      <c r="P468" s="90" t="s">
        <v>597</v>
      </c>
      <c r="Q468" s="90" t="s">
        <v>312</v>
      </c>
      <c r="R468" s="88" t="s">
        <v>317</v>
      </c>
      <c r="S468" s="88"/>
      <c r="T468" s="88"/>
      <c r="U468" s="88"/>
      <c r="V468" s="88" t="s">
        <v>1281</v>
      </c>
      <c r="W468" s="92" t="s">
        <v>1282</v>
      </c>
      <c r="X468" s="88"/>
    </row>
    <row r="469" spans="1:24" s="63" customFormat="1" ht="32.25" customHeight="1" x14ac:dyDescent="0.2">
      <c r="A469" s="202">
        <v>508</v>
      </c>
      <c r="B469" s="88" t="s">
        <v>279</v>
      </c>
      <c r="C469" s="89">
        <v>508</v>
      </c>
      <c r="D469" s="88" t="str">
        <f t="shared" si="18"/>
        <v>SUPERMIX508</v>
      </c>
      <c r="E469" s="58" t="s">
        <v>1548</v>
      </c>
      <c r="F469" s="58" t="s">
        <v>2113</v>
      </c>
      <c r="G469" s="88" t="s">
        <v>25</v>
      </c>
      <c r="H469" s="107" t="s">
        <v>1549</v>
      </c>
      <c r="I469" s="107" t="s">
        <v>3787</v>
      </c>
      <c r="J469" s="88" t="s">
        <v>1550</v>
      </c>
      <c r="K469" s="88" t="s">
        <v>281</v>
      </c>
      <c r="L469" s="91">
        <v>36951</v>
      </c>
      <c r="M469" s="91">
        <v>43650</v>
      </c>
      <c r="N469" s="88">
        <f t="shared" ca="1" si="17"/>
        <v>2537</v>
      </c>
      <c r="O469" s="84" t="str">
        <f ca="1">IF(Tabla1[[#This Row],[|]]&gt;=0,"VENCIDA",IF(Tabla1[[#This Row],[|]]&gt;=-14,"POR VENCER","OK"))</f>
        <v>VENCIDA</v>
      </c>
      <c r="P469" s="90" t="s">
        <v>640</v>
      </c>
      <c r="Q469" s="90" t="s">
        <v>312</v>
      </c>
      <c r="R469" s="88" t="s">
        <v>317</v>
      </c>
      <c r="S469" s="88"/>
      <c r="T469" s="88"/>
      <c r="U469" s="88"/>
      <c r="V469" s="88" t="s">
        <v>2104</v>
      </c>
      <c r="W469" s="92" t="s">
        <v>299</v>
      </c>
      <c r="X469" s="88"/>
    </row>
    <row r="470" spans="1:24" s="63" customFormat="1" ht="32.25" customHeight="1" x14ac:dyDescent="0.2">
      <c r="A470" s="202">
        <v>509</v>
      </c>
      <c r="B470" s="88" t="s">
        <v>279</v>
      </c>
      <c r="C470" s="89">
        <v>509</v>
      </c>
      <c r="D470" s="88" t="str">
        <f t="shared" si="18"/>
        <v>SUPERMIX509</v>
      </c>
      <c r="E470" s="58" t="s">
        <v>1552</v>
      </c>
      <c r="F470" s="58" t="s">
        <v>1553</v>
      </c>
      <c r="G470" s="88" t="s">
        <v>25</v>
      </c>
      <c r="H470" s="90">
        <v>45015250</v>
      </c>
      <c r="I470" s="90" t="s">
        <v>3787</v>
      </c>
      <c r="J470" s="88" t="s">
        <v>1554</v>
      </c>
      <c r="K470" s="88" t="s">
        <v>281</v>
      </c>
      <c r="L470" s="91">
        <v>42528</v>
      </c>
      <c r="M470" s="91">
        <v>43623</v>
      </c>
      <c r="N470" s="88">
        <f t="shared" ca="1" si="17"/>
        <v>2564</v>
      </c>
      <c r="O470" s="84" t="str">
        <f ca="1">IF(Tabla1[[#This Row],[|]]&gt;=0,"VENCIDA",IF(Tabla1[[#This Row],[|]]&gt;=-14,"POR VENCER","OK"))</f>
        <v>VENCIDA</v>
      </c>
      <c r="P470" s="90" t="s">
        <v>1059</v>
      </c>
      <c r="Q470" s="90" t="s">
        <v>312</v>
      </c>
      <c r="R470" s="88" t="s">
        <v>317</v>
      </c>
      <c r="S470" s="88"/>
      <c r="T470" s="88"/>
      <c r="U470" s="88"/>
      <c r="V470" s="88" t="s">
        <v>763</v>
      </c>
      <c r="W470" s="88" t="s">
        <v>1095</v>
      </c>
      <c r="X470" s="88"/>
    </row>
    <row r="471" spans="1:24" s="63" customFormat="1" ht="32.25" customHeight="1" x14ac:dyDescent="0.2">
      <c r="A471" s="202">
        <v>510</v>
      </c>
      <c r="B471" s="88" t="s">
        <v>279</v>
      </c>
      <c r="C471" s="89">
        <v>510</v>
      </c>
      <c r="D471" s="88" t="str">
        <f t="shared" si="18"/>
        <v>SUPERMIX510</v>
      </c>
      <c r="E471" s="58" t="s">
        <v>1555</v>
      </c>
      <c r="F471" s="58" t="s">
        <v>26</v>
      </c>
      <c r="G471" s="88" t="s">
        <v>25</v>
      </c>
      <c r="H471" s="90">
        <v>29679896</v>
      </c>
      <c r="I471" s="90" t="s">
        <v>3787</v>
      </c>
      <c r="J471" s="88" t="s">
        <v>1556</v>
      </c>
      <c r="K471" s="88" t="s">
        <v>281</v>
      </c>
      <c r="L471" s="91">
        <v>38651</v>
      </c>
      <c r="M471" s="91">
        <v>43989</v>
      </c>
      <c r="N471" s="88">
        <f t="shared" ca="1" si="17"/>
        <v>2198</v>
      </c>
      <c r="O471" s="84" t="str">
        <f ca="1">IF(Tabla1[[#This Row],[|]]&gt;=0,"VENCIDA",IF(Tabla1[[#This Row],[|]]&gt;=-14,"POR VENCER","OK"))</f>
        <v>VENCIDA</v>
      </c>
      <c r="P471" s="90" t="s">
        <v>624</v>
      </c>
      <c r="Q471" s="90" t="s">
        <v>312</v>
      </c>
      <c r="R471" s="88" t="s">
        <v>317</v>
      </c>
      <c r="S471" s="88"/>
      <c r="T471" s="88"/>
      <c r="U471" s="88"/>
      <c r="V471" s="88" t="s">
        <v>763</v>
      </c>
      <c r="W471" s="92" t="s">
        <v>1480</v>
      </c>
      <c r="X471" s="88"/>
    </row>
    <row r="472" spans="1:24" s="43" customFormat="1" ht="32.25" customHeight="1" x14ac:dyDescent="0.2">
      <c r="A472" s="42">
        <v>511</v>
      </c>
      <c r="B472" s="93" t="s">
        <v>279</v>
      </c>
      <c r="C472" s="94">
        <v>511</v>
      </c>
      <c r="D472" s="93" t="str">
        <f t="shared" si="18"/>
        <v>SUPERMIX511</v>
      </c>
      <c r="E472" s="115" t="s">
        <v>1559</v>
      </c>
      <c r="F472" s="115" t="s">
        <v>1560</v>
      </c>
      <c r="G472" s="93" t="s">
        <v>25</v>
      </c>
      <c r="H472" s="95">
        <v>30862277</v>
      </c>
      <c r="I472" s="95" t="s">
        <v>3788</v>
      </c>
      <c r="J472" s="93" t="s">
        <v>1561</v>
      </c>
      <c r="K472" s="93" t="s">
        <v>281</v>
      </c>
      <c r="L472" s="96">
        <v>38405</v>
      </c>
      <c r="M472" s="117">
        <v>46134</v>
      </c>
      <c r="N472" s="93">
        <f t="shared" ca="1" si="17"/>
        <v>53</v>
      </c>
      <c r="O472" s="84" t="str">
        <f ca="1">IF(Tabla1[[#This Row],[|]]&gt;=0,"VENCIDA",IF(Tabla1[[#This Row],[|]]&gt;=-14,"POR VENCER","OK"))</f>
        <v>VENCIDA</v>
      </c>
      <c r="P472" s="95" t="s">
        <v>2838</v>
      </c>
      <c r="Q472" s="95" t="s">
        <v>312</v>
      </c>
      <c r="R472" s="93" t="s">
        <v>17</v>
      </c>
      <c r="S472" s="93"/>
      <c r="T472" s="93"/>
      <c r="U472" s="93"/>
      <c r="V472" s="93" t="s">
        <v>986</v>
      </c>
      <c r="W472" s="93" t="s">
        <v>1017</v>
      </c>
      <c r="X472" s="204" t="s">
        <v>597</v>
      </c>
    </row>
    <row r="473" spans="1:24" s="43" customFormat="1" ht="32.25" customHeight="1" x14ac:dyDescent="0.2">
      <c r="A473" s="42">
        <v>512</v>
      </c>
      <c r="B473" s="93" t="s">
        <v>279</v>
      </c>
      <c r="C473" s="94">
        <v>512</v>
      </c>
      <c r="D473" s="93" t="str">
        <f t="shared" si="18"/>
        <v>SUPERMIX512</v>
      </c>
      <c r="E473" s="115" t="s">
        <v>1566</v>
      </c>
      <c r="F473" s="115" t="s">
        <v>1567</v>
      </c>
      <c r="G473" s="93" t="s">
        <v>25</v>
      </c>
      <c r="H473" s="95">
        <v>42331831</v>
      </c>
      <c r="I473" s="95" t="s">
        <v>3788</v>
      </c>
      <c r="J473" s="93" t="s">
        <v>1568</v>
      </c>
      <c r="K473" s="93" t="s">
        <v>2092</v>
      </c>
      <c r="L473" s="96">
        <v>41736</v>
      </c>
      <c r="M473" s="96">
        <v>47321</v>
      </c>
      <c r="N473" s="93">
        <f t="shared" ca="1" si="17"/>
        <v>-1134</v>
      </c>
      <c r="O473" s="84" t="str">
        <f ca="1">IF(Tabla1[[#This Row],[|]]&gt;=0,"VENCIDA",IF(Tabla1[[#This Row],[|]]&gt;=-14,"POR VENCER","OK"))</f>
        <v>OK</v>
      </c>
      <c r="P473" s="95" t="s">
        <v>2907</v>
      </c>
      <c r="Q473" s="95" t="s">
        <v>312</v>
      </c>
      <c r="R473" s="93" t="s">
        <v>17</v>
      </c>
      <c r="S473" s="93"/>
      <c r="T473" s="93"/>
      <c r="U473" s="93"/>
      <c r="V473" s="93" t="s">
        <v>1565</v>
      </c>
      <c r="W473" s="97" t="s">
        <v>1222</v>
      </c>
      <c r="X473" s="93" t="s">
        <v>321</v>
      </c>
    </row>
    <row r="474" spans="1:24" s="43" customFormat="1" ht="32.25" customHeight="1" x14ac:dyDescent="0.2">
      <c r="A474" s="42">
        <v>513</v>
      </c>
      <c r="B474" s="93" t="s">
        <v>279</v>
      </c>
      <c r="C474" s="94">
        <v>513</v>
      </c>
      <c r="D474" s="93" t="str">
        <f t="shared" si="18"/>
        <v>SUPERMIX513</v>
      </c>
      <c r="E474" s="115" t="s">
        <v>1569</v>
      </c>
      <c r="F474" s="115" t="s">
        <v>1570</v>
      </c>
      <c r="G474" s="93" t="s">
        <v>25</v>
      </c>
      <c r="H474" s="95">
        <v>46178634</v>
      </c>
      <c r="I474" s="95" t="s">
        <v>3788</v>
      </c>
      <c r="J474" s="93" t="s">
        <v>1571</v>
      </c>
      <c r="K474" s="93" t="s">
        <v>3142</v>
      </c>
      <c r="L474" s="96">
        <v>42041</v>
      </c>
      <c r="M474" s="117">
        <v>44962</v>
      </c>
      <c r="N474" s="93">
        <f t="shared" ca="1" si="17"/>
        <v>1225</v>
      </c>
      <c r="O474" s="84" t="str">
        <f ca="1">IF(Tabla1[[#This Row],[|]]&gt;=0,"VENCIDA",IF(Tabla1[[#This Row],[|]]&gt;=-14,"POR VENCER","OK"))</f>
        <v>VENCIDA</v>
      </c>
      <c r="P474" s="95" t="s">
        <v>1059</v>
      </c>
      <c r="Q474" s="95" t="s">
        <v>312</v>
      </c>
      <c r="R474" s="93" t="s">
        <v>17</v>
      </c>
      <c r="S474" s="93"/>
      <c r="T474" s="93"/>
      <c r="U474" s="93"/>
      <c r="V474" s="93" t="s">
        <v>1572</v>
      </c>
      <c r="W474" s="97" t="s">
        <v>1282</v>
      </c>
      <c r="X474" s="93"/>
    </row>
    <row r="475" spans="1:24" s="43" customFormat="1" ht="32.25" customHeight="1" x14ac:dyDescent="0.2">
      <c r="A475" s="42">
        <v>514</v>
      </c>
      <c r="B475" s="93" t="s">
        <v>279</v>
      </c>
      <c r="C475" s="94">
        <v>514</v>
      </c>
      <c r="D475" s="93" t="str">
        <f t="shared" si="18"/>
        <v>SUPERMIX514</v>
      </c>
      <c r="E475" s="115" t="s">
        <v>1573</v>
      </c>
      <c r="F475" s="115" t="s">
        <v>1574</v>
      </c>
      <c r="G475" s="93" t="s">
        <v>25</v>
      </c>
      <c r="H475" s="95">
        <v>29382951</v>
      </c>
      <c r="I475" s="95" t="s">
        <v>3788</v>
      </c>
      <c r="J475" s="93" t="s">
        <v>1575</v>
      </c>
      <c r="K475" s="93" t="s">
        <v>1834</v>
      </c>
      <c r="L475" s="96">
        <v>32911</v>
      </c>
      <c r="M475" s="96">
        <v>46653</v>
      </c>
      <c r="N475" s="93">
        <f t="shared" ca="1" si="17"/>
        <v>-466</v>
      </c>
      <c r="O475" s="84" t="str">
        <f ca="1">IF(Tabla1[[#This Row],[|]]&gt;=0,"VENCIDA",IF(Tabla1[[#This Row],[|]]&gt;=-14,"POR VENCER","OK"))</f>
        <v>OK</v>
      </c>
      <c r="P475" s="95" t="s">
        <v>3399</v>
      </c>
      <c r="Q475" s="95" t="s">
        <v>312</v>
      </c>
      <c r="R475" s="93" t="s">
        <v>317</v>
      </c>
      <c r="S475" s="93"/>
      <c r="T475" s="93"/>
      <c r="U475" s="93"/>
      <c r="V475" s="93" t="s">
        <v>2922</v>
      </c>
      <c r="W475" s="97" t="s">
        <v>2772</v>
      </c>
      <c r="X475" s="93" t="s">
        <v>624</v>
      </c>
    </row>
    <row r="476" spans="1:24" s="63" customFormat="1" ht="32.25" customHeight="1" x14ac:dyDescent="0.2">
      <c r="A476" s="202">
        <v>515</v>
      </c>
      <c r="B476" s="88" t="s">
        <v>279</v>
      </c>
      <c r="C476" s="89">
        <v>515</v>
      </c>
      <c r="D476" s="88" t="str">
        <f t="shared" si="18"/>
        <v>SUPERMIX515</v>
      </c>
      <c r="E476" s="58" t="s">
        <v>1578</v>
      </c>
      <c r="F476" s="58" t="s">
        <v>1579</v>
      </c>
      <c r="G476" s="88" t="s">
        <v>25</v>
      </c>
      <c r="H476" s="90">
        <v>41409004</v>
      </c>
      <c r="I476" s="90" t="s">
        <v>3787</v>
      </c>
      <c r="J476" s="88" t="s">
        <v>1580</v>
      </c>
      <c r="K476" s="88" t="s">
        <v>281</v>
      </c>
      <c r="L476" s="91">
        <v>41109</v>
      </c>
      <c r="M476" s="91">
        <v>43287</v>
      </c>
      <c r="N476" s="88">
        <f t="shared" ca="1" si="17"/>
        <v>2900</v>
      </c>
      <c r="O476" s="84" t="str">
        <f ca="1">IF(Tabla1[[#This Row],[|]]&gt;=0,"VENCIDA",IF(Tabla1[[#This Row],[|]]&gt;=-14,"POR VENCER","OK"))</f>
        <v>VENCIDA</v>
      </c>
      <c r="P476" s="90" t="s">
        <v>1387</v>
      </c>
      <c r="Q476" s="90" t="s">
        <v>312</v>
      </c>
      <c r="R476" s="88" t="s">
        <v>317</v>
      </c>
      <c r="S476" s="88"/>
      <c r="T476" s="88"/>
      <c r="U476" s="88"/>
      <c r="V476" s="88" t="s">
        <v>1572</v>
      </c>
      <c r="W476" s="92" t="s">
        <v>1282</v>
      </c>
      <c r="X476" s="88"/>
    </row>
    <row r="477" spans="1:24" s="43" customFormat="1" ht="32.25" customHeight="1" x14ac:dyDescent="0.2">
      <c r="A477" s="42">
        <v>516</v>
      </c>
      <c r="B477" s="93" t="s">
        <v>279</v>
      </c>
      <c r="C477" s="94">
        <v>516</v>
      </c>
      <c r="D477" s="93" t="str">
        <f t="shared" si="18"/>
        <v>SUPERMIX516</v>
      </c>
      <c r="E477" s="115" t="s">
        <v>1581</v>
      </c>
      <c r="F477" s="115" t="s">
        <v>1582</v>
      </c>
      <c r="G477" s="93" t="s">
        <v>25</v>
      </c>
      <c r="H477" s="95">
        <v>29327072</v>
      </c>
      <c r="I477" s="95" t="s">
        <v>3788</v>
      </c>
      <c r="J477" s="93" t="s">
        <v>1583</v>
      </c>
      <c r="K477" s="93" t="s">
        <v>281</v>
      </c>
      <c r="L477" s="96">
        <v>37834</v>
      </c>
      <c r="M477" s="96">
        <v>46135</v>
      </c>
      <c r="N477" s="93">
        <f t="shared" ca="1" si="17"/>
        <v>52</v>
      </c>
      <c r="O477" s="84" t="str">
        <f ca="1">IF(Tabla1[[#This Row],[|]]&gt;=0,"VENCIDA",IF(Tabla1[[#This Row],[|]]&gt;=-14,"POR VENCER","OK"))</f>
        <v>VENCIDA</v>
      </c>
      <c r="P477" s="95" t="s">
        <v>2847</v>
      </c>
      <c r="Q477" s="95" t="s">
        <v>312</v>
      </c>
      <c r="R477" s="93" t="s">
        <v>317</v>
      </c>
      <c r="S477" s="93"/>
      <c r="T477" s="93"/>
      <c r="U477" s="93"/>
      <c r="V477" s="93" t="s">
        <v>1755</v>
      </c>
      <c r="W477" s="97" t="s">
        <v>1282</v>
      </c>
      <c r="X477" s="204" t="s">
        <v>597</v>
      </c>
    </row>
    <row r="478" spans="1:24" s="63" customFormat="1" ht="32.25" customHeight="1" x14ac:dyDescent="0.2">
      <c r="A478" s="202">
        <v>517</v>
      </c>
      <c r="B478" s="88" t="s">
        <v>279</v>
      </c>
      <c r="C478" s="89">
        <v>517</v>
      </c>
      <c r="D478" s="88" t="str">
        <f t="shared" si="18"/>
        <v>SUPERMIX517</v>
      </c>
      <c r="E478" s="58" t="s">
        <v>1584</v>
      </c>
      <c r="F478" s="58" t="s">
        <v>1585</v>
      </c>
      <c r="G478" s="88" t="s">
        <v>25</v>
      </c>
      <c r="H478" s="90">
        <v>41635107</v>
      </c>
      <c r="I478" s="90" t="s">
        <v>3787</v>
      </c>
      <c r="J478" s="88" t="s">
        <v>1586</v>
      </c>
      <c r="K478" s="88" t="s">
        <v>281</v>
      </c>
      <c r="L478" s="91">
        <v>42146</v>
      </c>
      <c r="M478" s="91">
        <v>43242</v>
      </c>
      <c r="N478" s="88">
        <f t="shared" ca="1" si="17"/>
        <v>2945</v>
      </c>
      <c r="O478" s="84" t="str">
        <f ca="1">IF(Tabla1[[#This Row],[|]]&gt;=0,"VENCIDA",IF(Tabla1[[#This Row],[|]]&gt;=-14,"POR VENCER","OK"))</f>
        <v>VENCIDA</v>
      </c>
      <c r="P478" s="90" t="s">
        <v>1387</v>
      </c>
      <c r="Q478" s="90" t="s">
        <v>312</v>
      </c>
      <c r="R478" s="88" t="s">
        <v>317</v>
      </c>
      <c r="S478" s="88"/>
      <c r="T478" s="88"/>
      <c r="U478" s="88"/>
      <c r="V478" s="88" t="s">
        <v>1275</v>
      </c>
      <c r="W478" s="92" t="s">
        <v>1276</v>
      </c>
      <c r="X478" s="88"/>
    </row>
    <row r="479" spans="1:24" s="63" customFormat="1" ht="32.25" customHeight="1" x14ac:dyDescent="0.2">
      <c r="A479" s="202">
        <v>518</v>
      </c>
      <c r="B479" s="88" t="s">
        <v>279</v>
      </c>
      <c r="C479" s="89">
        <v>518</v>
      </c>
      <c r="D479" s="88" t="str">
        <f t="shared" si="18"/>
        <v>SUPERMIX518</v>
      </c>
      <c r="E479" s="58" t="s">
        <v>1587</v>
      </c>
      <c r="F479" s="58" t="s">
        <v>1588</v>
      </c>
      <c r="G479" s="88" t="s">
        <v>310</v>
      </c>
      <c r="H479" s="107" t="s">
        <v>1589</v>
      </c>
      <c r="I479" s="107" t="s">
        <v>3787</v>
      </c>
      <c r="J479" s="88" t="s">
        <v>1590</v>
      </c>
      <c r="K479" s="88" t="s">
        <v>281</v>
      </c>
      <c r="L479" s="91">
        <v>36689</v>
      </c>
      <c r="M479" s="91">
        <v>44491</v>
      </c>
      <c r="N479" s="88">
        <f t="shared" ca="1" si="17"/>
        <v>1696</v>
      </c>
      <c r="O479" s="84" t="str">
        <f ca="1">IF(Tabla1[[#This Row],[|]]&gt;=0,"VENCIDA",IF(Tabla1[[#This Row],[|]]&gt;=-14,"POR VENCER","OK"))</f>
        <v>VENCIDA</v>
      </c>
      <c r="P479" s="90" t="s">
        <v>2830</v>
      </c>
      <c r="Q479" s="90" t="s">
        <v>312</v>
      </c>
      <c r="R479" s="88" t="s">
        <v>317</v>
      </c>
      <c r="S479" s="88"/>
      <c r="T479" s="88"/>
      <c r="U479" s="88"/>
      <c r="V479" s="88" t="s">
        <v>1275</v>
      </c>
      <c r="W479" s="92" t="s">
        <v>1276</v>
      </c>
      <c r="X479" s="88" t="s">
        <v>597</v>
      </c>
    </row>
    <row r="480" spans="1:24" s="43" customFormat="1" ht="32.25" customHeight="1" x14ac:dyDescent="0.2">
      <c r="A480" s="42">
        <v>519</v>
      </c>
      <c r="B480" s="93" t="s">
        <v>279</v>
      </c>
      <c r="C480" s="94">
        <v>519</v>
      </c>
      <c r="D480" s="93" t="str">
        <f t="shared" si="18"/>
        <v>SUPERMIX519</v>
      </c>
      <c r="E480" s="115" t="s">
        <v>1591</v>
      </c>
      <c r="F480" s="115" t="s">
        <v>83</v>
      </c>
      <c r="G480" s="93" t="s">
        <v>25</v>
      </c>
      <c r="H480" s="128" t="s">
        <v>1592</v>
      </c>
      <c r="I480" s="128" t="s">
        <v>3788</v>
      </c>
      <c r="J480" s="93" t="s">
        <v>1593</v>
      </c>
      <c r="K480" s="93" t="s">
        <v>281</v>
      </c>
      <c r="L480" s="96">
        <v>34415</v>
      </c>
      <c r="M480" s="96">
        <v>45981</v>
      </c>
      <c r="N480" s="93">
        <f t="shared" ca="1" si="17"/>
        <v>206</v>
      </c>
      <c r="O480" s="84" t="str">
        <f ca="1">IF(Tabla1[[#This Row],[|]]&gt;=0,"VENCIDA",IF(Tabla1[[#This Row],[|]]&gt;=-14,"POR VENCER","OK"))</f>
        <v>VENCIDA</v>
      </c>
      <c r="P480" s="95" t="s">
        <v>3294</v>
      </c>
      <c r="Q480" s="95" t="s">
        <v>312</v>
      </c>
      <c r="R480" s="93" t="s">
        <v>17</v>
      </c>
      <c r="S480" s="93"/>
      <c r="T480" s="93"/>
      <c r="U480" s="93"/>
      <c r="V480" s="93" t="s">
        <v>1275</v>
      </c>
      <c r="W480" s="97" t="s">
        <v>1276</v>
      </c>
      <c r="X480" s="93" t="s">
        <v>2819</v>
      </c>
    </row>
    <row r="481" spans="1:24" s="63" customFormat="1" ht="32.25" customHeight="1" x14ac:dyDescent="0.2">
      <c r="A481" s="202">
        <v>520</v>
      </c>
      <c r="B481" s="88" t="s">
        <v>279</v>
      </c>
      <c r="C481" s="89">
        <v>520</v>
      </c>
      <c r="D481" s="88" t="str">
        <f t="shared" si="18"/>
        <v>SUPERMIX520</v>
      </c>
      <c r="E481" s="58" t="s">
        <v>1598</v>
      </c>
      <c r="F481" s="58" t="s">
        <v>1599</v>
      </c>
      <c r="G481" s="88" t="s">
        <v>25</v>
      </c>
      <c r="H481" s="90">
        <v>43081179</v>
      </c>
      <c r="I481" s="90" t="s">
        <v>3787</v>
      </c>
      <c r="J481" s="88" t="s">
        <v>1600</v>
      </c>
      <c r="K481" s="88" t="s">
        <v>281</v>
      </c>
      <c r="L481" s="91">
        <v>41366</v>
      </c>
      <c r="M481" s="91">
        <v>43556</v>
      </c>
      <c r="N481" s="88">
        <f t="shared" ca="1" si="17"/>
        <v>2631</v>
      </c>
      <c r="O481" s="84" t="str">
        <f ca="1">IF(Tabla1[[#This Row],[|]]&gt;=0,"VENCIDA",IF(Tabla1[[#This Row],[|]]&gt;=-14,"POR VENCER","OK"))</f>
        <v>VENCIDA</v>
      </c>
      <c r="P481" s="90" t="s">
        <v>1594</v>
      </c>
      <c r="Q481" s="90" t="s">
        <v>312</v>
      </c>
      <c r="R481" s="88" t="s">
        <v>317</v>
      </c>
      <c r="S481" s="88"/>
      <c r="T481" s="88"/>
      <c r="U481" s="88"/>
      <c r="V481" s="88" t="s">
        <v>1595</v>
      </c>
      <c r="W481" s="92" t="s">
        <v>732</v>
      </c>
      <c r="X481" s="88"/>
    </row>
    <row r="482" spans="1:24" s="43" customFormat="1" ht="32.25" customHeight="1" x14ac:dyDescent="0.2">
      <c r="A482" s="42">
        <v>521</v>
      </c>
      <c r="B482" s="93" t="s">
        <v>279</v>
      </c>
      <c r="C482" s="94">
        <v>521</v>
      </c>
      <c r="D482" s="93" t="str">
        <f t="shared" si="18"/>
        <v>SUPERMIX521</v>
      </c>
      <c r="E482" s="115" t="s">
        <v>1602</v>
      </c>
      <c r="F482" s="115" t="s">
        <v>1603</v>
      </c>
      <c r="G482" s="93" t="s">
        <v>25</v>
      </c>
      <c r="H482" s="95">
        <v>42626503</v>
      </c>
      <c r="I482" s="95" t="s">
        <v>3788</v>
      </c>
      <c r="J482" s="93" t="s">
        <v>1604</v>
      </c>
      <c r="K482" s="93" t="s">
        <v>281</v>
      </c>
      <c r="L482" s="96">
        <v>41935</v>
      </c>
      <c r="M482" s="96">
        <v>46259</v>
      </c>
      <c r="N482" s="93">
        <f t="shared" ca="1" si="17"/>
        <v>-72</v>
      </c>
      <c r="O482" s="84" t="str">
        <f ca="1">IF(Tabla1[[#This Row],[|]]&gt;=0,"VENCIDA",IF(Tabla1[[#This Row],[|]]&gt;=-14,"POR VENCER","OK"))</f>
        <v>OK</v>
      </c>
      <c r="P482" s="95" t="s">
        <v>3043</v>
      </c>
      <c r="Q482" s="95" t="s">
        <v>312</v>
      </c>
      <c r="R482" s="93" t="s">
        <v>317</v>
      </c>
      <c r="S482" s="93"/>
      <c r="T482" s="93"/>
      <c r="U482" s="93"/>
      <c r="V482" s="93" t="s">
        <v>282</v>
      </c>
      <c r="W482" s="97" t="s">
        <v>1601</v>
      </c>
      <c r="X482" s="204" t="s">
        <v>597</v>
      </c>
    </row>
    <row r="483" spans="1:24" s="43" customFormat="1" ht="32.25" customHeight="1" x14ac:dyDescent="0.2">
      <c r="A483" s="42">
        <v>522</v>
      </c>
      <c r="B483" s="93" t="s">
        <v>279</v>
      </c>
      <c r="C483" s="94">
        <v>522</v>
      </c>
      <c r="D483" s="93" t="str">
        <f t="shared" si="18"/>
        <v>SUPERMIX522</v>
      </c>
      <c r="E483" s="115" t="s">
        <v>1605</v>
      </c>
      <c r="F483" s="115" t="s">
        <v>1606</v>
      </c>
      <c r="G483" s="93" t="s">
        <v>25</v>
      </c>
      <c r="H483" s="128" t="s">
        <v>1607</v>
      </c>
      <c r="I483" s="128" t="s">
        <v>3788</v>
      </c>
      <c r="J483" s="93" t="s">
        <v>1608</v>
      </c>
      <c r="K483" s="93" t="s">
        <v>343</v>
      </c>
      <c r="L483" s="96">
        <v>37393</v>
      </c>
      <c r="M483" s="117">
        <v>46139</v>
      </c>
      <c r="N483" s="93">
        <f t="shared" ca="1" si="17"/>
        <v>48</v>
      </c>
      <c r="O483" s="84" t="str">
        <f ca="1">IF(Tabla1[[#This Row],[|]]&gt;=0,"VENCIDA",IF(Tabla1[[#This Row],[|]]&gt;=-14,"POR VENCER","OK"))</f>
        <v>VENCIDA</v>
      </c>
      <c r="P483" s="95" t="s">
        <v>2827</v>
      </c>
      <c r="Q483" s="95" t="s">
        <v>312</v>
      </c>
      <c r="R483" s="93" t="s">
        <v>317</v>
      </c>
      <c r="S483" s="93"/>
      <c r="T483" s="93"/>
      <c r="U483" s="93"/>
      <c r="V483" s="93" t="s">
        <v>928</v>
      </c>
      <c r="W483" s="97" t="s">
        <v>2947</v>
      </c>
      <c r="X483" s="93" t="s">
        <v>2894</v>
      </c>
    </row>
    <row r="484" spans="1:24" s="63" customFormat="1" ht="32.25" customHeight="1" x14ac:dyDescent="0.2">
      <c r="A484" s="202">
        <v>523</v>
      </c>
      <c r="B484" s="88" t="s">
        <v>279</v>
      </c>
      <c r="C484" s="89">
        <v>523</v>
      </c>
      <c r="D484" s="88" t="str">
        <f t="shared" si="18"/>
        <v>SUPERMIX523</v>
      </c>
      <c r="E484" s="58" t="s">
        <v>1611</v>
      </c>
      <c r="F484" s="58" t="s">
        <v>1612</v>
      </c>
      <c r="G484" s="88" t="s">
        <v>25</v>
      </c>
      <c r="H484" s="90">
        <v>40450408</v>
      </c>
      <c r="I484" s="90" t="s">
        <v>3787</v>
      </c>
      <c r="J484" s="88" t="s">
        <v>1613</v>
      </c>
      <c r="K484" s="88" t="s">
        <v>368</v>
      </c>
      <c r="L484" s="91">
        <v>42488</v>
      </c>
      <c r="M484" s="91">
        <v>44834</v>
      </c>
      <c r="N484" s="88">
        <f t="shared" ca="1" si="17"/>
        <v>1353</v>
      </c>
      <c r="O484" s="84" t="str">
        <f ca="1">IF(Tabla1[[#This Row],[|]]&gt;=0,"VENCIDA",IF(Tabla1[[#This Row],[|]]&gt;=-14,"POR VENCER","OK"))</f>
        <v>VENCIDA</v>
      </c>
      <c r="P484" s="90" t="s">
        <v>2827</v>
      </c>
      <c r="Q484" s="90" t="s">
        <v>312</v>
      </c>
      <c r="R484" s="88" t="s">
        <v>17</v>
      </c>
      <c r="S484" s="88"/>
      <c r="T484" s="88"/>
      <c r="U484" s="88"/>
      <c r="V484" s="88" t="s">
        <v>282</v>
      </c>
      <c r="W484" s="92" t="s">
        <v>3418</v>
      </c>
      <c r="X484" s="88" t="s">
        <v>3419</v>
      </c>
    </row>
    <row r="485" spans="1:24" s="63" customFormat="1" ht="32.25" customHeight="1" x14ac:dyDescent="0.2">
      <c r="A485" s="202">
        <v>524</v>
      </c>
      <c r="B485" s="88" t="s">
        <v>279</v>
      </c>
      <c r="C485" s="89">
        <v>524</v>
      </c>
      <c r="D485" s="88" t="str">
        <f t="shared" si="18"/>
        <v>SUPERMIX524</v>
      </c>
      <c r="E485" s="58" t="s">
        <v>1614</v>
      </c>
      <c r="F485" s="58" t="s">
        <v>609</v>
      </c>
      <c r="G485" s="88" t="s">
        <v>25</v>
      </c>
      <c r="H485" s="90">
        <v>44558027</v>
      </c>
      <c r="I485" s="90" t="s">
        <v>3787</v>
      </c>
      <c r="J485" s="88" t="s">
        <v>1615</v>
      </c>
      <c r="K485" s="88" t="s">
        <v>281</v>
      </c>
      <c r="L485" s="91">
        <v>41809</v>
      </c>
      <c r="M485" s="91">
        <v>42905</v>
      </c>
      <c r="N485" s="88">
        <f t="shared" ca="1" si="17"/>
        <v>3282</v>
      </c>
      <c r="O485" s="84" t="str">
        <f ca="1">IF(Tabla1[[#This Row],[|]]&gt;=0,"VENCIDA",IF(Tabla1[[#This Row],[|]]&gt;=-14,"POR VENCER","OK"))</f>
        <v>VENCIDA</v>
      </c>
      <c r="P485" s="90" t="s">
        <v>624</v>
      </c>
      <c r="Q485" s="90" t="s">
        <v>312</v>
      </c>
      <c r="R485" s="88" t="s">
        <v>317</v>
      </c>
      <c r="S485" s="88"/>
      <c r="T485" s="88"/>
      <c r="U485" s="88"/>
      <c r="V485" s="88" t="s">
        <v>763</v>
      </c>
      <c r="W485" s="92" t="s">
        <v>1476</v>
      </c>
      <c r="X485" s="88"/>
    </row>
    <row r="486" spans="1:24" s="63" customFormat="1" ht="32.25" customHeight="1" x14ac:dyDescent="0.2">
      <c r="A486" s="202">
        <v>525</v>
      </c>
      <c r="B486" s="88" t="s">
        <v>279</v>
      </c>
      <c r="C486" s="89">
        <v>525</v>
      </c>
      <c r="D486" s="88" t="str">
        <f t="shared" si="18"/>
        <v>SUPERMIX525</v>
      </c>
      <c r="E486" s="58" t="s">
        <v>1616</v>
      </c>
      <c r="F486" s="58" t="s">
        <v>1617</v>
      </c>
      <c r="G486" s="88" t="s">
        <v>25</v>
      </c>
      <c r="H486" s="90">
        <v>42974776</v>
      </c>
      <c r="I486" s="90" t="s">
        <v>3787</v>
      </c>
      <c r="J486" s="88" t="s">
        <v>1618</v>
      </c>
      <c r="K486" s="88" t="s">
        <v>281</v>
      </c>
      <c r="L486" s="91">
        <v>42227</v>
      </c>
      <c r="M486" s="91">
        <v>43323</v>
      </c>
      <c r="N486" s="88">
        <f t="shared" ca="1" si="17"/>
        <v>2864</v>
      </c>
      <c r="O486" s="84" t="str">
        <f ca="1">IF(Tabla1[[#This Row],[|]]&gt;=0,"VENCIDA",IF(Tabla1[[#This Row],[|]]&gt;=-14,"POR VENCER","OK"))</f>
        <v>VENCIDA</v>
      </c>
      <c r="P486" s="90" t="s">
        <v>1388</v>
      </c>
      <c r="Q486" s="90" t="s">
        <v>312</v>
      </c>
      <c r="R486" s="88" t="s">
        <v>317</v>
      </c>
      <c r="S486" s="88"/>
      <c r="T486" s="88"/>
      <c r="U486" s="88"/>
      <c r="V486" s="88" t="s">
        <v>763</v>
      </c>
      <c r="W486" s="92" t="s">
        <v>1476</v>
      </c>
      <c r="X486" s="88"/>
    </row>
    <row r="487" spans="1:24" s="63" customFormat="1" ht="32.25" customHeight="1" x14ac:dyDescent="0.2">
      <c r="A487" s="202">
        <v>526</v>
      </c>
      <c r="B487" s="88" t="s">
        <v>279</v>
      </c>
      <c r="C487" s="89">
        <v>526</v>
      </c>
      <c r="D487" s="88" t="str">
        <f t="shared" si="18"/>
        <v>SUPERMIX526</v>
      </c>
      <c r="E487" s="58" t="s">
        <v>1619</v>
      </c>
      <c r="F487" s="58" t="s">
        <v>1620</v>
      </c>
      <c r="G487" s="88" t="s">
        <v>25</v>
      </c>
      <c r="H487" s="90">
        <v>70418323</v>
      </c>
      <c r="I487" s="90" t="s">
        <v>3787</v>
      </c>
      <c r="J487" s="88" t="s">
        <v>1621</v>
      </c>
      <c r="K487" s="88" t="s">
        <v>293</v>
      </c>
      <c r="L487" s="91">
        <v>41806</v>
      </c>
      <c r="M487" s="91">
        <v>42902</v>
      </c>
      <c r="N487" s="88">
        <f t="shared" ca="1" si="17"/>
        <v>3285</v>
      </c>
      <c r="O487" s="84" t="str">
        <f ca="1">IF(Tabla1[[#This Row],[|]]&gt;=0,"VENCIDA",IF(Tabla1[[#This Row],[|]]&gt;=-14,"POR VENCER","OK"))</f>
        <v>VENCIDA</v>
      </c>
      <c r="P487" s="90" t="s">
        <v>624</v>
      </c>
      <c r="Q487" s="90" t="s">
        <v>312</v>
      </c>
      <c r="R487" s="88" t="s">
        <v>317</v>
      </c>
      <c r="S487" s="88"/>
      <c r="T487" s="88"/>
      <c r="U487" s="88"/>
      <c r="V487" s="88" t="s">
        <v>763</v>
      </c>
      <c r="W487" s="92" t="s">
        <v>1476</v>
      </c>
      <c r="X487" s="88"/>
    </row>
    <row r="488" spans="1:24" s="59" customFormat="1" ht="32.25" customHeight="1" x14ac:dyDescent="0.2">
      <c r="A488" s="200">
        <v>527</v>
      </c>
      <c r="B488" s="61" t="s">
        <v>279</v>
      </c>
      <c r="C488" s="87">
        <v>527</v>
      </c>
      <c r="D488" s="61" t="str">
        <f t="shared" si="18"/>
        <v>SUPERMIX527</v>
      </c>
      <c r="E488" s="82" t="s">
        <v>1622</v>
      </c>
      <c r="F488" s="82" t="s">
        <v>1623</v>
      </c>
      <c r="G488" s="61" t="s">
        <v>341</v>
      </c>
      <c r="H488" s="60">
        <v>43177642</v>
      </c>
      <c r="I488" s="60" t="s">
        <v>3787</v>
      </c>
      <c r="J488" s="61" t="s">
        <v>1624</v>
      </c>
      <c r="K488" s="61" t="s">
        <v>1625</v>
      </c>
      <c r="L488" s="62">
        <v>42289</v>
      </c>
      <c r="M488" s="62">
        <v>43385</v>
      </c>
      <c r="N488" s="61">
        <f t="shared" ca="1" si="17"/>
        <v>2802</v>
      </c>
      <c r="O488" s="84" t="str">
        <f ca="1">IF(Tabla1[[#This Row],[|]]&gt;=0,"VENCIDA",IF(Tabla1[[#This Row],[|]]&gt;=-14,"POR VENCER","OK"))</f>
        <v>VENCIDA</v>
      </c>
      <c r="P488" s="60" t="s">
        <v>624</v>
      </c>
      <c r="Q488" s="60" t="s">
        <v>312</v>
      </c>
      <c r="R488" s="61" t="s">
        <v>17</v>
      </c>
      <c r="S488" s="61"/>
      <c r="T488" s="61"/>
      <c r="U488" s="61"/>
      <c r="V488" s="61" t="s">
        <v>763</v>
      </c>
      <c r="W488" s="86" t="s">
        <v>1476</v>
      </c>
      <c r="X488" s="61"/>
    </row>
    <row r="489" spans="1:24" s="63" customFormat="1" ht="32.25" customHeight="1" x14ac:dyDescent="0.2">
      <c r="A489" s="202">
        <v>528</v>
      </c>
      <c r="B489" s="88" t="s">
        <v>279</v>
      </c>
      <c r="C489" s="89">
        <v>528</v>
      </c>
      <c r="D489" s="88" t="str">
        <f t="shared" si="18"/>
        <v>SUPERMIX528</v>
      </c>
      <c r="E489" s="58" t="s">
        <v>1626</v>
      </c>
      <c r="F489" s="58" t="s">
        <v>1627</v>
      </c>
      <c r="G489" s="88" t="s">
        <v>310</v>
      </c>
      <c r="H489" s="90">
        <v>44713134</v>
      </c>
      <c r="I489" s="90" t="s">
        <v>3787</v>
      </c>
      <c r="J489" s="88">
        <v>44713134</v>
      </c>
      <c r="K489" s="88" t="s">
        <v>281</v>
      </c>
      <c r="L489" s="91">
        <v>41913</v>
      </c>
      <c r="M489" s="91">
        <v>43009</v>
      </c>
      <c r="N489" s="88">
        <f t="shared" ca="1" si="17"/>
        <v>3178</v>
      </c>
      <c r="O489" s="84" t="str">
        <f ca="1">IF(Tabla1[[#This Row],[|]]&gt;=0,"VENCIDA",IF(Tabla1[[#This Row],[|]]&gt;=-14,"POR VENCER","OK"))</f>
        <v>VENCIDA</v>
      </c>
      <c r="P489" s="90" t="s">
        <v>1634</v>
      </c>
      <c r="Q489" s="90" t="s">
        <v>312</v>
      </c>
      <c r="R489" s="88" t="s">
        <v>317</v>
      </c>
      <c r="S489" s="88"/>
      <c r="T489" s="88"/>
      <c r="U489" s="88"/>
      <c r="V489" s="88" t="s">
        <v>1016</v>
      </c>
      <c r="W489" s="92" t="s">
        <v>1379</v>
      </c>
      <c r="X489" s="88"/>
    </row>
    <row r="490" spans="1:24" s="63" customFormat="1" ht="32.25" customHeight="1" x14ac:dyDescent="0.2">
      <c r="A490" s="202">
        <v>529</v>
      </c>
      <c r="B490" s="88" t="s">
        <v>279</v>
      </c>
      <c r="C490" s="89">
        <v>529</v>
      </c>
      <c r="D490" s="88" t="str">
        <f t="shared" si="18"/>
        <v>SUPERMIX529</v>
      </c>
      <c r="E490" s="58" t="s">
        <v>1628</v>
      </c>
      <c r="F490" s="58" t="s">
        <v>1629</v>
      </c>
      <c r="G490" s="88" t="s">
        <v>25</v>
      </c>
      <c r="H490" s="90">
        <v>41405073</v>
      </c>
      <c r="I490" s="90" t="s">
        <v>3787</v>
      </c>
      <c r="J490" s="88" t="s">
        <v>1630</v>
      </c>
      <c r="K490" s="88" t="s">
        <v>281</v>
      </c>
      <c r="L490" s="91">
        <v>40722</v>
      </c>
      <c r="M490" s="91">
        <v>42906</v>
      </c>
      <c r="N490" s="88">
        <f t="shared" ca="1" si="17"/>
        <v>3281</v>
      </c>
      <c r="O490" s="84" t="str">
        <f ca="1">IF(Tabla1[[#This Row],[|]]&gt;=0,"VENCIDA",IF(Tabla1[[#This Row],[|]]&gt;=-14,"POR VENCER","OK"))</f>
        <v>VENCIDA</v>
      </c>
      <c r="P490" s="90" t="s">
        <v>624</v>
      </c>
      <c r="Q490" s="90" t="s">
        <v>312</v>
      </c>
      <c r="R490" s="88" t="s">
        <v>317</v>
      </c>
      <c r="S490" s="88"/>
      <c r="T490" s="88"/>
      <c r="U490" s="88"/>
      <c r="V490" s="88" t="s">
        <v>1016</v>
      </c>
      <c r="W490" s="92" t="s">
        <v>1379</v>
      </c>
      <c r="X490" s="88"/>
    </row>
    <row r="491" spans="1:24" s="63" customFormat="1" ht="32.25" customHeight="1" x14ac:dyDescent="0.2">
      <c r="A491" s="202">
        <v>530</v>
      </c>
      <c r="B491" s="88" t="s">
        <v>279</v>
      </c>
      <c r="C491" s="89">
        <v>530</v>
      </c>
      <c r="D491" s="88" t="str">
        <f t="shared" si="18"/>
        <v>SUPERMIX530</v>
      </c>
      <c r="E491" s="58" t="s">
        <v>1631</v>
      </c>
      <c r="F491" s="58" t="s">
        <v>1632</v>
      </c>
      <c r="G491" s="88" t="s">
        <v>25</v>
      </c>
      <c r="H491" s="90">
        <v>42706456</v>
      </c>
      <c r="I491" s="90" t="s">
        <v>3787</v>
      </c>
      <c r="J491" s="88" t="s">
        <v>1633</v>
      </c>
      <c r="K491" s="88" t="s">
        <v>343</v>
      </c>
      <c r="L491" s="91">
        <v>42478</v>
      </c>
      <c r="M491" s="91">
        <v>43573</v>
      </c>
      <c r="N491" s="88">
        <f t="shared" ca="1" si="17"/>
        <v>2614</v>
      </c>
      <c r="O491" s="84" t="str">
        <f ca="1">IF(Tabla1[[#This Row],[|]]&gt;=0,"VENCIDA",IF(Tabla1[[#This Row],[|]]&gt;=-14,"POR VENCER","OK"))</f>
        <v>VENCIDA</v>
      </c>
      <c r="P491" s="90" t="s">
        <v>2827</v>
      </c>
      <c r="Q491" s="90" t="s">
        <v>312</v>
      </c>
      <c r="R491" s="88" t="s">
        <v>317</v>
      </c>
      <c r="S491" s="88"/>
      <c r="T491" s="88"/>
      <c r="U491" s="88"/>
      <c r="V491" s="88" t="s">
        <v>1016</v>
      </c>
      <c r="W491" s="92" t="s">
        <v>2776</v>
      </c>
      <c r="X491" s="88" t="s">
        <v>2894</v>
      </c>
    </row>
    <row r="492" spans="1:24" s="63" customFormat="1" ht="32.25" customHeight="1" x14ac:dyDescent="0.2">
      <c r="A492" s="202">
        <v>531</v>
      </c>
      <c r="B492" s="88" t="s">
        <v>279</v>
      </c>
      <c r="C492" s="89">
        <v>531</v>
      </c>
      <c r="D492" s="88" t="str">
        <f t="shared" si="18"/>
        <v>SUPERMIX531</v>
      </c>
      <c r="E492" s="172" t="s">
        <v>1636</v>
      </c>
      <c r="F492" s="58" t="s">
        <v>1637</v>
      </c>
      <c r="G492" s="88" t="s">
        <v>25</v>
      </c>
      <c r="H492" s="90">
        <v>43428927</v>
      </c>
      <c r="I492" s="90" t="s">
        <v>3787</v>
      </c>
      <c r="J492" s="88" t="s">
        <v>1638</v>
      </c>
      <c r="K492" s="88" t="s">
        <v>281</v>
      </c>
      <c r="L492" s="91">
        <v>41338</v>
      </c>
      <c r="M492" s="91">
        <v>44612</v>
      </c>
      <c r="N492" s="88">
        <f t="shared" ca="1" si="17"/>
        <v>1575</v>
      </c>
      <c r="O492" s="84" t="str">
        <f ca="1">IF(Tabla1[[#This Row],[|]]&gt;=0,"VENCIDA",IF(Tabla1[[#This Row],[|]]&gt;=-14,"POR VENCER","OK"))</f>
        <v>VENCIDA</v>
      </c>
      <c r="P492" s="90" t="s">
        <v>2790</v>
      </c>
      <c r="Q492" s="90" t="s">
        <v>312</v>
      </c>
      <c r="R492" s="88" t="s">
        <v>17</v>
      </c>
      <c r="S492" s="88"/>
      <c r="T492" s="88"/>
      <c r="U492" s="88"/>
      <c r="V492" s="92" t="s">
        <v>763</v>
      </c>
      <c r="W492" s="88" t="s">
        <v>2937</v>
      </c>
      <c r="X492" s="88" t="s">
        <v>624</v>
      </c>
    </row>
    <row r="493" spans="1:24" s="63" customFormat="1" ht="32.25" customHeight="1" x14ac:dyDescent="0.2">
      <c r="A493" s="202">
        <v>532</v>
      </c>
      <c r="B493" s="88" t="s">
        <v>279</v>
      </c>
      <c r="C493" s="89">
        <v>532</v>
      </c>
      <c r="D493" s="88" t="str">
        <f t="shared" si="18"/>
        <v>SUPERMIX532</v>
      </c>
      <c r="E493" s="172" t="s">
        <v>1641</v>
      </c>
      <c r="F493" s="58" t="s">
        <v>1640</v>
      </c>
      <c r="G493" s="88" t="s">
        <v>310</v>
      </c>
      <c r="H493" s="90">
        <v>29661900</v>
      </c>
      <c r="I493" s="90" t="s">
        <v>3787</v>
      </c>
      <c r="J493" s="88" t="s">
        <v>1642</v>
      </c>
      <c r="K493" s="88" t="s">
        <v>281</v>
      </c>
      <c r="L493" s="91">
        <v>41449</v>
      </c>
      <c r="M493" s="91">
        <v>43615</v>
      </c>
      <c r="N493" s="88">
        <f t="shared" ca="1" si="17"/>
        <v>2572</v>
      </c>
      <c r="O493" s="84" t="str">
        <f ca="1">IF(Tabla1[[#This Row],[|]]&gt;=0,"VENCIDA",IF(Tabla1[[#This Row],[|]]&gt;=-14,"POR VENCER","OK"))</f>
        <v>VENCIDA</v>
      </c>
      <c r="P493" s="90" t="s">
        <v>624</v>
      </c>
      <c r="Q493" s="90" t="s">
        <v>312</v>
      </c>
      <c r="R493" s="88" t="s">
        <v>17</v>
      </c>
      <c r="S493" s="88"/>
      <c r="T493" s="88"/>
      <c r="U493" s="88"/>
      <c r="V493" s="92" t="s">
        <v>763</v>
      </c>
      <c r="W493" s="88" t="s">
        <v>1639</v>
      </c>
      <c r="X493" s="88"/>
    </row>
    <row r="494" spans="1:24" s="63" customFormat="1" ht="32.25" customHeight="1" x14ac:dyDescent="0.2">
      <c r="A494" s="202">
        <v>533</v>
      </c>
      <c r="B494" s="88" t="s">
        <v>279</v>
      </c>
      <c r="C494" s="89">
        <v>533</v>
      </c>
      <c r="D494" s="88" t="str">
        <f t="shared" si="18"/>
        <v>SUPERMIX533</v>
      </c>
      <c r="E494" s="172" t="s">
        <v>1643</v>
      </c>
      <c r="F494" s="58" t="s">
        <v>1644</v>
      </c>
      <c r="G494" s="88" t="s">
        <v>25</v>
      </c>
      <c r="H494" s="90">
        <v>42961261</v>
      </c>
      <c r="I494" s="90" t="s">
        <v>3787</v>
      </c>
      <c r="J494" s="88" t="s">
        <v>1645</v>
      </c>
      <c r="K494" s="88" t="s">
        <v>281</v>
      </c>
      <c r="L494" s="91">
        <v>41878</v>
      </c>
      <c r="M494" s="91">
        <v>44038</v>
      </c>
      <c r="N494" s="88">
        <f t="shared" ca="1" si="17"/>
        <v>2149</v>
      </c>
      <c r="O494" s="84" t="str">
        <f ca="1">IF(Tabla1[[#This Row],[|]]&gt;=0,"VENCIDA",IF(Tabla1[[#This Row],[|]]&gt;=-14,"POR VENCER","OK"))</f>
        <v>VENCIDA</v>
      </c>
      <c r="P494" s="90" t="s">
        <v>624</v>
      </c>
      <c r="Q494" s="90" t="s">
        <v>312</v>
      </c>
      <c r="R494" s="88" t="s">
        <v>317</v>
      </c>
      <c r="S494" s="88"/>
      <c r="T494" s="88"/>
      <c r="U494" s="88"/>
      <c r="V494" s="92" t="s">
        <v>763</v>
      </c>
      <c r="W494" s="88" t="s">
        <v>1639</v>
      </c>
      <c r="X494" s="88"/>
    </row>
    <row r="495" spans="1:24" s="63" customFormat="1" ht="32.25" customHeight="1" x14ac:dyDescent="0.2">
      <c r="A495" s="202">
        <v>534</v>
      </c>
      <c r="B495" s="88" t="s">
        <v>279</v>
      </c>
      <c r="C495" s="89">
        <v>534</v>
      </c>
      <c r="D495" s="88" t="str">
        <f t="shared" si="18"/>
        <v>SUPERMIX534</v>
      </c>
      <c r="E495" s="172" t="s">
        <v>1646</v>
      </c>
      <c r="F495" s="58" t="s">
        <v>1647</v>
      </c>
      <c r="G495" s="88" t="s">
        <v>25</v>
      </c>
      <c r="H495" s="90">
        <v>70341262</v>
      </c>
      <c r="I495" s="90" t="s">
        <v>3787</v>
      </c>
      <c r="J495" s="88" t="s">
        <v>1648</v>
      </c>
      <c r="K495" s="88" t="s">
        <v>293</v>
      </c>
      <c r="L495" s="91">
        <v>41682</v>
      </c>
      <c r="M495" s="91">
        <v>43883</v>
      </c>
      <c r="N495" s="88">
        <f t="shared" ca="1" si="17"/>
        <v>2304</v>
      </c>
      <c r="O495" s="84" t="str">
        <f ca="1">IF(Tabla1[[#This Row],[|]]&gt;=0,"VENCIDA",IF(Tabla1[[#This Row],[|]]&gt;=-14,"POR VENCER","OK"))</f>
        <v>VENCIDA</v>
      </c>
      <c r="P495" s="90" t="s">
        <v>624</v>
      </c>
      <c r="Q495" s="90" t="s">
        <v>312</v>
      </c>
      <c r="R495" s="88" t="s">
        <v>317</v>
      </c>
      <c r="S495" s="88"/>
      <c r="T495" s="88"/>
      <c r="U495" s="88"/>
      <c r="V495" s="92" t="s">
        <v>763</v>
      </c>
      <c r="W495" s="88" t="s">
        <v>299</v>
      </c>
      <c r="X495" s="88"/>
    </row>
    <row r="496" spans="1:24" s="63" customFormat="1" ht="32.25" customHeight="1" x14ac:dyDescent="0.2">
      <c r="A496" s="202">
        <v>535</v>
      </c>
      <c r="B496" s="88" t="s">
        <v>279</v>
      </c>
      <c r="C496" s="89">
        <v>535</v>
      </c>
      <c r="D496" s="88" t="str">
        <f t="shared" si="18"/>
        <v>SUPERMIX535</v>
      </c>
      <c r="E496" s="58" t="s">
        <v>1649</v>
      </c>
      <c r="F496" s="58" t="s">
        <v>1650</v>
      </c>
      <c r="G496" s="88" t="s">
        <v>2825</v>
      </c>
      <c r="H496" s="90">
        <v>44057389</v>
      </c>
      <c r="I496" s="90" t="s">
        <v>3787</v>
      </c>
      <c r="J496" s="88" t="s">
        <v>1651</v>
      </c>
      <c r="K496" s="88" t="s">
        <v>3624</v>
      </c>
      <c r="L496" s="91">
        <v>41348</v>
      </c>
      <c r="M496" s="91">
        <v>46439</v>
      </c>
      <c r="N496" s="88">
        <f t="shared" ca="1" si="17"/>
        <v>-252</v>
      </c>
      <c r="O496" s="84" t="str">
        <f ca="1">IF(Tabla1[[#This Row],[|]]&gt;=0,"VENCIDA",IF(Tabla1[[#This Row],[|]]&gt;=-14,"POR VENCER","OK"))</f>
        <v>OK</v>
      </c>
      <c r="P496" s="90" t="s">
        <v>3755</v>
      </c>
      <c r="Q496" s="90" t="s">
        <v>312</v>
      </c>
      <c r="R496" s="88" t="s">
        <v>317</v>
      </c>
      <c r="S496" s="88"/>
      <c r="T496" s="88"/>
      <c r="U496" s="88"/>
      <c r="V496" s="88" t="s">
        <v>763</v>
      </c>
      <c r="W496" s="92" t="s">
        <v>3515</v>
      </c>
      <c r="X496" s="88" t="s">
        <v>624</v>
      </c>
    </row>
    <row r="497" spans="1:24" s="43" customFormat="1" ht="32.25" customHeight="1" x14ac:dyDescent="0.2">
      <c r="A497" s="42">
        <v>536</v>
      </c>
      <c r="B497" s="93" t="s">
        <v>279</v>
      </c>
      <c r="C497" s="94">
        <v>536</v>
      </c>
      <c r="D497" s="93" t="str">
        <f t="shared" si="18"/>
        <v>SUPERMIX536</v>
      </c>
      <c r="E497" s="115" t="s">
        <v>1652</v>
      </c>
      <c r="F497" s="115" t="s">
        <v>1653</v>
      </c>
      <c r="G497" s="93" t="s">
        <v>25</v>
      </c>
      <c r="H497" s="95">
        <v>40876048</v>
      </c>
      <c r="I497" s="95" t="s">
        <v>3788</v>
      </c>
      <c r="J497" s="93" t="s">
        <v>1654</v>
      </c>
      <c r="K497" s="93" t="s">
        <v>3443</v>
      </c>
      <c r="L497" s="96">
        <v>42611</v>
      </c>
      <c r="M497" s="96">
        <v>46684</v>
      </c>
      <c r="N497" s="93">
        <f t="shared" ca="1" si="17"/>
        <v>-497</v>
      </c>
      <c r="O497" s="84" t="str">
        <f ca="1">IF(Tabla1[[#This Row],[|]]&gt;=0,"VENCIDA",IF(Tabla1[[#This Row],[|]]&gt;=-14,"POR VENCER","OK"))</f>
        <v>OK</v>
      </c>
      <c r="P497" s="95" t="s">
        <v>2827</v>
      </c>
      <c r="Q497" s="95" t="s">
        <v>312</v>
      </c>
      <c r="R497" s="93" t="s">
        <v>17</v>
      </c>
      <c r="S497" s="93"/>
      <c r="T497" s="93"/>
      <c r="U497" s="93"/>
      <c r="V497" s="93" t="s">
        <v>2922</v>
      </c>
      <c r="W497" s="97" t="s">
        <v>2772</v>
      </c>
      <c r="X497" s="93" t="s">
        <v>2931</v>
      </c>
    </row>
    <row r="498" spans="1:24" s="63" customFormat="1" ht="32.25" customHeight="1" x14ac:dyDescent="0.2">
      <c r="A498" s="202">
        <v>537</v>
      </c>
      <c r="B498" s="88" t="s">
        <v>279</v>
      </c>
      <c r="C498" s="89">
        <v>537</v>
      </c>
      <c r="D498" s="88" t="str">
        <f t="shared" si="18"/>
        <v>SUPERMIX537</v>
      </c>
      <c r="E498" s="58" t="s">
        <v>1655</v>
      </c>
      <c r="F498" s="58" t="s">
        <v>1656</v>
      </c>
      <c r="G498" s="88" t="s">
        <v>25</v>
      </c>
      <c r="H498" s="90">
        <v>42681185</v>
      </c>
      <c r="I498" s="90" t="s">
        <v>3787</v>
      </c>
      <c r="J498" s="88" t="s">
        <v>1657</v>
      </c>
      <c r="K498" s="88" t="s">
        <v>281</v>
      </c>
      <c r="L498" s="91">
        <v>41617</v>
      </c>
      <c r="M498" s="91">
        <v>43794</v>
      </c>
      <c r="N498" s="88">
        <f t="shared" ca="1" si="17"/>
        <v>2393</v>
      </c>
      <c r="O498" s="84" t="str">
        <f ca="1">IF(Tabla1[[#This Row],[|]]&gt;=0,"VENCIDA",IF(Tabla1[[#This Row],[|]]&gt;=-14,"POR VENCER","OK"))</f>
        <v>VENCIDA</v>
      </c>
      <c r="P498" s="90" t="s">
        <v>624</v>
      </c>
      <c r="Q498" s="90" t="s">
        <v>312</v>
      </c>
      <c r="R498" s="88" t="s">
        <v>17</v>
      </c>
      <c r="S498" s="88"/>
      <c r="T498" s="88"/>
      <c r="U498" s="88"/>
      <c r="V498" s="88" t="s">
        <v>763</v>
      </c>
      <c r="W498" s="92" t="s">
        <v>1476</v>
      </c>
      <c r="X498" s="88"/>
    </row>
    <row r="499" spans="1:24" s="63" customFormat="1" ht="32.25" customHeight="1" x14ac:dyDescent="0.2">
      <c r="A499" s="202">
        <v>538</v>
      </c>
      <c r="B499" s="88" t="s">
        <v>279</v>
      </c>
      <c r="C499" s="89">
        <v>538</v>
      </c>
      <c r="D499" s="88" t="str">
        <f t="shared" si="18"/>
        <v>SUPERMIX538</v>
      </c>
      <c r="E499" s="58" t="s">
        <v>1659</v>
      </c>
      <c r="F499" s="58" t="s">
        <v>1658</v>
      </c>
      <c r="G499" s="88" t="s">
        <v>25</v>
      </c>
      <c r="H499" s="90">
        <v>29582643</v>
      </c>
      <c r="I499" s="90" t="s">
        <v>3787</v>
      </c>
      <c r="J499" s="88" t="s">
        <v>1660</v>
      </c>
      <c r="K499" s="88" t="s">
        <v>281</v>
      </c>
      <c r="L499" s="91">
        <v>38707</v>
      </c>
      <c r="M499" s="91">
        <v>43252</v>
      </c>
      <c r="N499" s="88">
        <f t="shared" ca="1" si="17"/>
        <v>2935</v>
      </c>
      <c r="O499" s="84" t="str">
        <f ca="1">IF(Tabla1[[#This Row],[|]]&gt;=0,"VENCIDA",IF(Tabla1[[#This Row],[|]]&gt;=-14,"POR VENCER","OK"))</f>
        <v>VENCIDA</v>
      </c>
      <c r="P499" s="90" t="s">
        <v>624</v>
      </c>
      <c r="Q499" s="90" t="s">
        <v>312</v>
      </c>
      <c r="R499" s="88" t="s">
        <v>317</v>
      </c>
      <c r="S499" s="88"/>
      <c r="T499" s="88"/>
      <c r="U499" s="88"/>
      <c r="V499" s="88" t="s">
        <v>763</v>
      </c>
      <c r="W499" s="92"/>
      <c r="X499" s="88"/>
    </row>
    <row r="500" spans="1:24" s="63" customFormat="1" ht="32.25" customHeight="1" x14ac:dyDescent="0.2">
      <c r="A500" s="202">
        <v>539</v>
      </c>
      <c r="B500" s="88" t="s">
        <v>279</v>
      </c>
      <c r="C500" s="89">
        <v>539</v>
      </c>
      <c r="D500" s="88" t="str">
        <f t="shared" si="18"/>
        <v>SUPERMIX539</v>
      </c>
      <c r="E500" s="58" t="s">
        <v>1662</v>
      </c>
      <c r="F500" s="58" t="s">
        <v>1661</v>
      </c>
      <c r="G500" s="88" t="s">
        <v>25</v>
      </c>
      <c r="H500" s="90">
        <v>46499914</v>
      </c>
      <c r="I500" s="90" t="s">
        <v>3787</v>
      </c>
      <c r="J500" s="88" t="s">
        <v>1663</v>
      </c>
      <c r="K500" s="88" t="s">
        <v>343</v>
      </c>
      <c r="L500" s="91">
        <v>41178</v>
      </c>
      <c r="M500" s="91">
        <v>44478</v>
      </c>
      <c r="N500" s="88">
        <f t="shared" ca="1" si="17"/>
        <v>1709</v>
      </c>
      <c r="O500" s="84" t="str">
        <f ca="1">IF(Tabla1[[#This Row],[|]]&gt;=0,"VENCIDA",IF(Tabla1[[#This Row],[|]]&gt;=-14,"POR VENCER","OK"))</f>
        <v>VENCIDA</v>
      </c>
      <c r="P500" s="90" t="s">
        <v>2787</v>
      </c>
      <c r="Q500" s="90" t="s">
        <v>2781</v>
      </c>
      <c r="R500" s="88" t="s">
        <v>2786</v>
      </c>
      <c r="S500" s="88"/>
      <c r="T500" s="88"/>
      <c r="U500" s="88"/>
      <c r="V500" s="88" t="s">
        <v>763</v>
      </c>
      <c r="W500" s="92" t="s">
        <v>1095</v>
      </c>
      <c r="X500" s="88" t="s">
        <v>2788</v>
      </c>
    </row>
    <row r="501" spans="1:24" s="63" customFormat="1" ht="32.25" customHeight="1" x14ac:dyDescent="0.2">
      <c r="A501" s="202">
        <v>540</v>
      </c>
      <c r="B501" s="88" t="s">
        <v>279</v>
      </c>
      <c r="C501" s="89">
        <v>540</v>
      </c>
      <c r="D501" s="88" t="str">
        <f t="shared" si="18"/>
        <v>SUPERMIX540</v>
      </c>
      <c r="E501" s="58" t="s">
        <v>1664</v>
      </c>
      <c r="F501" s="58" t="s">
        <v>803</v>
      </c>
      <c r="G501" s="88" t="s">
        <v>25</v>
      </c>
      <c r="H501" s="90">
        <v>40582344</v>
      </c>
      <c r="I501" s="90" t="s">
        <v>3787</v>
      </c>
      <c r="J501" s="88" t="s">
        <v>1665</v>
      </c>
      <c r="K501" s="88" t="s">
        <v>281</v>
      </c>
      <c r="L501" s="91">
        <v>38002</v>
      </c>
      <c r="M501" s="91">
        <v>43723</v>
      </c>
      <c r="N501" s="88">
        <f t="shared" ca="1" si="17"/>
        <v>2464</v>
      </c>
      <c r="O501" s="84" t="str">
        <f ca="1">IF(Tabla1[[#This Row],[|]]&gt;=0,"VENCIDA",IF(Tabla1[[#This Row],[|]]&gt;=-14,"POR VENCER","OK"))</f>
        <v>VENCIDA</v>
      </c>
      <c r="P501" s="90" t="s">
        <v>624</v>
      </c>
      <c r="Q501" s="90" t="s">
        <v>312</v>
      </c>
      <c r="R501" s="88" t="s">
        <v>17</v>
      </c>
      <c r="S501" s="88"/>
      <c r="T501" s="88"/>
      <c r="U501" s="88"/>
      <c r="V501" s="88" t="s">
        <v>763</v>
      </c>
      <c r="W501" s="92"/>
      <c r="X501" s="88"/>
    </row>
    <row r="502" spans="1:24" s="63" customFormat="1" ht="32.25" customHeight="1" x14ac:dyDescent="0.2">
      <c r="A502" s="202">
        <v>541</v>
      </c>
      <c r="B502" s="88" t="s">
        <v>279</v>
      </c>
      <c r="C502" s="89">
        <v>541</v>
      </c>
      <c r="D502" s="88" t="str">
        <f t="shared" si="18"/>
        <v>SUPERMIX541</v>
      </c>
      <c r="E502" s="58" t="s">
        <v>1667</v>
      </c>
      <c r="F502" s="58" t="s">
        <v>1666</v>
      </c>
      <c r="G502" s="88" t="s">
        <v>25</v>
      </c>
      <c r="H502" s="90">
        <v>29548777</v>
      </c>
      <c r="I502" s="90" t="s">
        <v>3787</v>
      </c>
      <c r="J502" s="88" t="s">
        <v>1668</v>
      </c>
      <c r="K502" s="88" t="s">
        <v>281</v>
      </c>
      <c r="L502" s="91">
        <v>42425</v>
      </c>
      <c r="M502" s="91">
        <v>43521</v>
      </c>
      <c r="N502" s="88">
        <f t="shared" ca="1" si="17"/>
        <v>2666</v>
      </c>
      <c r="O502" s="84" t="str">
        <f ca="1">IF(Tabla1[[#This Row],[|]]&gt;=0,"VENCIDA",IF(Tabla1[[#This Row],[|]]&gt;=-14,"POR VENCER","OK"))</f>
        <v>VENCIDA</v>
      </c>
      <c r="P502" s="90" t="s">
        <v>1682</v>
      </c>
      <c r="Q502" s="90" t="s">
        <v>312</v>
      </c>
      <c r="R502" s="88" t="s">
        <v>17</v>
      </c>
      <c r="S502" s="88"/>
      <c r="T502" s="88"/>
      <c r="U502" s="88"/>
      <c r="V502" s="88" t="s">
        <v>763</v>
      </c>
      <c r="W502" s="92"/>
      <c r="X502" s="88"/>
    </row>
    <row r="503" spans="1:24" s="63" customFormat="1" ht="32.25" customHeight="1" x14ac:dyDescent="0.2">
      <c r="A503" s="202">
        <v>542</v>
      </c>
      <c r="B503" s="88" t="s">
        <v>279</v>
      </c>
      <c r="C503" s="89">
        <v>542</v>
      </c>
      <c r="D503" s="88" t="str">
        <f t="shared" si="18"/>
        <v>SUPERMIX542</v>
      </c>
      <c r="E503" s="58" t="s">
        <v>1669</v>
      </c>
      <c r="F503" s="58" t="s">
        <v>1670</v>
      </c>
      <c r="G503" s="88" t="s">
        <v>25</v>
      </c>
      <c r="H503" s="90">
        <v>40188411</v>
      </c>
      <c r="I503" s="90" t="s">
        <v>3788</v>
      </c>
      <c r="J503" s="88" t="s">
        <v>1671</v>
      </c>
      <c r="K503" s="88" t="s">
        <v>281</v>
      </c>
      <c r="L503" s="91">
        <v>41416</v>
      </c>
      <c r="M503" s="91">
        <v>45821</v>
      </c>
      <c r="N503" s="88">
        <f t="shared" ca="1" si="17"/>
        <v>366</v>
      </c>
      <c r="O503" s="84" t="str">
        <f ca="1">IF(Tabla1[[#This Row],[|]]&gt;=0,"VENCIDA",IF(Tabla1[[#This Row],[|]]&gt;=-14,"POR VENCER","OK"))</f>
        <v>VENCIDA</v>
      </c>
      <c r="P503" s="90" t="s">
        <v>2790</v>
      </c>
      <c r="Q503" s="90" t="s">
        <v>312</v>
      </c>
      <c r="R503" s="88" t="s">
        <v>317</v>
      </c>
      <c r="S503" s="88"/>
      <c r="T503" s="88"/>
      <c r="U503" s="88"/>
      <c r="V503" s="88" t="s">
        <v>3030</v>
      </c>
      <c r="W503" s="92" t="s">
        <v>3515</v>
      </c>
      <c r="X503" s="88" t="s">
        <v>624</v>
      </c>
    </row>
    <row r="504" spans="1:24" s="63" customFormat="1" ht="32.25" customHeight="1" x14ac:dyDescent="0.2">
      <c r="A504" s="202">
        <v>543</v>
      </c>
      <c r="B504" s="88" t="s">
        <v>279</v>
      </c>
      <c r="C504" s="89">
        <v>543</v>
      </c>
      <c r="D504" s="88" t="str">
        <f t="shared" si="18"/>
        <v>SUPERMIX543</v>
      </c>
      <c r="E504" s="58" t="s">
        <v>1673</v>
      </c>
      <c r="F504" s="58" t="s">
        <v>1672</v>
      </c>
      <c r="G504" s="88" t="s">
        <v>25</v>
      </c>
      <c r="H504" s="90">
        <v>29562903</v>
      </c>
      <c r="I504" s="90" t="s">
        <v>3787</v>
      </c>
      <c r="J504" s="88" t="s">
        <v>1674</v>
      </c>
      <c r="K504" s="88" t="s">
        <v>281</v>
      </c>
      <c r="L504" s="91">
        <v>33899</v>
      </c>
      <c r="M504" s="91">
        <v>43386</v>
      </c>
      <c r="N504" s="88">
        <f t="shared" ca="1" si="17"/>
        <v>2801</v>
      </c>
      <c r="O504" s="84" t="str">
        <f ca="1">IF(Tabla1[[#This Row],[|]]&gt;=0,"VENCIDA",IF(Tabla1[[#This Row],[|]]&gt;=-14,"POR VENCER","OK"))</f>
        <v>VENCIDA</v>
      </c>
      <c r="P504" s="90" t="s">
        <v>624</v>
      </c>
      <c r="Q504" s="90" t="s">
        <v>312</v>
      </c>
      <c r="R504" s="88" t="s">
        <v>317</v>
      </c>
      <c r="S504" s="88"/>
      <c r="T504" s="88"/>
      <c r="U504" s="88"/>
      <c r="V504" s="88" t="s">
        <v>763</v>
      </c>
      <c r="W504" s="92"/>
      <c r="X504" s="88"/>
    </row>
    <row r="505" spans="1:24" s="63" customFormat="1" ht="32.25" customHeight="1" x14ac:dyDescent="0.2">
      <c r="A505" s="202">
        <v>544</v>
      </c>
      <c r="B505" s="88" t="s">
        <v>279</v>
      </c>
      <c r="C505" s="89">
        <v>544</v>
      </c>
      <c r="D505" s="88" t="str">
        <f t="shared" si="18"/>
        <v>SUPERMIX544</v>
      </c>
      <c r="E505" s="58" t="s">
        <v>1675</v>
      </c>
      <c r="F505" s="58" t="s">
        <v>1676</v>
      </c>
      <c r="G505" s="88" t="s">
        <v>25</v>
      </c>
      <c r="H505" s="90">
        <v>40454441</v>
      </c>
      <c r="I505" s="90" t="s">
        <v>3787</v>
      </c>
      <c r="J505" s="88" t="s">
        <v>1677</v>
      </c>
      <c r="K505" s="88" t="s">
        <v>281</v>
      </c>
      <c r="L505" s="91">
        <v>38576</v>
      </c>
      <c r="M505" s="91">
        <v>47496</v>
      </c>
      <c r="N505" s="88">
        <f t="shared" ca="1" si="17"/>
        <v>-1309</v>
      </c>
      <c r="O505" s="84" t="str">
        <f ca="1">IF(Tabla1[[#This Row],[|]]&gt;=0,"VENCIDA",IF(Tabla1[[#This Row],[|]]&gt;=-14,"POR VENCER","OK"))</f>
        <v>OK</v>
      </c>
      <c r="P505" s="90" t="s">
        <v>2813</v>
      </c>
      <c r="Q505" s="90" t="s">
        <v>312</v>
      </c>
      <c r="R505" s="88" t="s">
        <v>317</v>
      </c>
      <c r="S505" s="88"/>
      <c r="T505" s="88"/>
      <c r="U505" s="88"/>
      <c r="V505" s="88" t="s">
        <v>763</v>
      </c>
      <c r="W505" s="92" t="s">
        <v>299</v>
      </c>
      <c r="X505" s="88" t="s">
        <v>624</v>
      </c>
    </row>
    <row r="506" spans="1:24" s="63" customFormat="1" ht="32.25" customHeight="1" x14ac:dyDescent="0.2">
      <c r="A506" s="202">
        <v>545</v>
      </c>
      <c r="B506" s="88" t="s">
        <v>279</v>
      </c>
      <c r="C506" s="89">
        <v>545</v>
      </c>
      <c r="D506" s="88" t="str">
        <f t="shared" si="18"/>
        <v>SUPERMIX545</v>
      </c>
      <c r="E506" s="58" t="s">
        <v>1680</v>
      </c>
      <c r="F506" s="58" t="s">
        <v>1679</v>
      </c>
      <c r="G506" s="88" t="s">
        <v>25</v>
      </c>
      <c r="H506" s="90">
        <v>43616771</v>
      </c>
      <c r="I506" s="90" t="s">
        <v>3787</v>
      </c>
      <c r="J506" s="88" t="s">
        <v>1681</v>
      </c>
      <c r="K506" s="88" t="s">
        <v>281</v>
      </c>
      <c r="L506" s="91">
        <v>42158</v>
      </c>
      <c r="M506" s="91">
        <v>43254</v>
      </c>
      <c r="N506" s="88">
        <f t="shared" ca="1" si="17"/>
        <v>2933</v>
      </c>
      <c r="O506" s="84" t="str">
        <f ca="1">IF(Tabla1[[#This Row],[|]]&gt;=0,"VENCIDA",IF(Tabla1[[#This Row],[|]]&gt;=-14,"POR VENCER","OK"))</f>
        <v>VENCIDA</v>
      </c>
      <c r="P506" s="90" t="s">
        <v>640</v>
      </c>
      <c r="Q506" s="90" t="s">
        <v>312</v>
      </c>
      <c r="R506" s="88" t="s">
        <v>317</v>
      </c>
      <c r="S506" s="88"/>
      <c r="T506" s="88"/>
      <c r="U506" s="88"/>
      <c r="V506" s="88" t="s">
        <v>763</v>
      </c>
      <c r="W506" s="92"/>
      <c r="X506" s="88"/>
    </row>
    <row r="507" spans="1:24" s="43" customFormat="1" ht="32.25" customHeight="1" x14ac:dyDescent="0.2">
      <c r="A507" s="42">
        <v>546</v>
      </c>
      <c r="B507" s="93" t="s">
        <v>279</v>
      </c>
      <c r="C507" s="94">
        <v>546</v>
      </c>
      <c r="D507" s="93" t="str">
        <f t="shared" si="18"/>
        <v>SUPERMIX546</v>
      </c>
      <c r="E507" s="115" t="s">
        <v>3448</v>
      </c>
      <c r="F507" s="115" t="s">
        <v>1683</v>
      </c>
      <c r="G507" s="93" t="s">
        <v>25</v>
      </c>
      <c r="H507" s="95">
        <v>40547582</v>
      </c>
      <c r="I507" s="95" t="s">
        <v>3788</v>
      </c>
      <c r="J507" s="93" t="s">
        <v>1684</v>
      </c>
      <c r="K507" s="93" t="s">
        <v>1961</v>
      </c>
      <c r="L507" s="96">
        <v>41408</v>
      </c>
      <c r="M507" s="96">
        <v>46307</v>
      </c>
      <c r="N507" s="93">
        <f t="shared" ca="1" si="17"/>
        <v>-120</v>
      </c>
      <c r="O507" s="84" t="str">
        <f ca="1">IF(Tabla1[[#This Row],[|]]&gt;=0,"VENCIDA",IF(Tabla1[[#This Row],[|]]&gt;=-14,"POR VENCER","OK"))</f>
        <v>OK</v>
      </c>
      <c r="P507" s="95" t="s">
        <v>4075</v>
      </c>
      <c r="Q507" s="95" t="s">
        <v>312</v>
      </c>
      <c r="R507" s="93" t="s">
        <v>317</v>
      </c>
      <c r="S507" s="93"/>
      <c r="T507" s="93"/>
      <c r="U507" s="93"/>
      <c r="V507" s="93" t="s">
        <v>329</v>
      </c>
      <c r="W507" s="97" t="s">
        <v>511</v>
      </c>
      <c r="X507" s="93" t="s">
        <v>3055</v>
      </c>
    </row>
    <row r="508" spans="1:24" s="63" customFormat="1" ht="32.25" customHeight="1" x14ac:dyDescent="0.2">
      <c r="A508" s="202">
        <v>547</v>
      </c>
      <c r="B508" s="88" t="s">
        <v>279</v>
      </c>
      <c r="C508" s="89">
        <v>547</v>
      </c>
      <c r="D508" s="88" t="str">
        <f t="shared" si="18"/>
        <v>SUPERMIX547</v>
      </c>
      <c r="E508" s="58" t="s">
        <v>1686</v>
      </c>
      <c r="F508" s="58" t="s">
        <v>1687</v>
      </c>
      <c r="G508" s="88" t="s">
        <v>25</v>
      </c>
      <c r="H508" s="90">
        <v>466549263</v>
      </c>
      <c r="I508" s="90" t="s">
        <v>3787</v>
      </c>
      <c r="J508" s="88" t="s">
        <v>1688</v>
      </c>
      <c r="K508" s="88" t="s">
        <v>343</v>
      </c>
      <c r="L508" s="91">
        <v>42304</v>
      </c>
      <c r="M508" s="91">
        <v>43400</v>
      </c>
      <c r="N508" s="88">
        <f t="shared" ca="1" si="17"/>
        <v>2787</v>
      </c>
      <c r="O508" s="84" t="str">
        <f ca="1">IF(Tabla1[[#This Row],[|]]&gt;=0,"VENCIDA",IF(Tabla1[[#This Row],[|]]&gt;=-14,"POR VENCER","OK"))</f>
        <v>VENCIDA</v>
      </c>
      <c r="P508" s="90" t="s">
        <v>823</v>
      </c>
      <c r="Q508" s="90" t="s">
        <v>312</v>
      </c>
      <c r="R508" s="88" t="s">
        <v>317</v>
      </c>
      <c r="S508" s="88"/>
      <c r="T508" s="88"/>
      <c r="U508" s="88"/>
      <c r="V508" s="88" t="s">
        <v>811</v>
      </c>
      <c r="W508" s="92" t="s">
        <v>1685</v>
      </c>
      <c r="X508" s="88"/>
    </row>
    <row r="509" spans="1:24" s="63" customFormat="1" ht="32.25" customHeight="1" x14ac:dyDescent="0.2">
      <c r="A509" s="202">
        <v>548</v>
      </c>
      <c r="B509" s="88" t="s">
        <v>279</v>
      </c>
      <c r="C509" s="89">
        <v>548</v>
      </c>
      <c r="D509" s="88" t="str">
        <f t="shared" si="18"/>
        <v>SUPERMIX548</v>
      </c>
      <c r="E509" s="58" t="s">
        <v>1336</v>
      </c>
      <c r="F509" s="58" t="s">
        <v>1689</v>
      </c>
      <c r="G509" s="88" t="s">
        <v>25</v>
      </c>
      <c r="H509" s="90">
        <v>45396563</v>
      </c>
      <c r="I509" s="90" t="s">
        <v>3787</v>
      </c>
      <c r="J509" s="88" t="s">
        <v>1690</v>
      </c>
      <c r="K509" s="88" t="s">
        <v>293</v>
      </c>
      <c r="L509" s="91">
        <v>41689</v>
      </c>
      <c r="M509" s="91">
        <v>42785</v>
      </c>
      <c r="N509" s="88">
        <f t="shared" ca="1" si="17"/>
        <v>3402</v>
      </c>
      <c r="O509" s="84" t="str">
        <f ca="1">IF(Tabla1[[#This Row],[|]]&gt;=0,"VENCIDA",IF(Tabla1[[#This Row],[|]]&gt;=-14,"POR VENCER","OK"))</f>
        <v>VENCIDA</v>
      </c>
      <c r="P509" s="90" t="s">
        <v>823</v>
      </c>
      <c r="Q509" s="90" t="s">
        <v>312</v>
      </c>
      <c r="R509" s="88" t="s">
        <v>317</v>
      </c>
      <c r="S509" s="88"/>
      <c r="T509" s="88"/>
      <c r="U509" s="88"/>
      <c r="V509" s="88" t="s">
        <v>811</v>
      </c>
      <c r="W509" s="92" t="s">
        <v>1685</v>
      </c>
      <c r="X509" s="88"/>
    </row>
    <row r="510" spans="1:24" s="63" customFormat="1" ht="32.25" customHeight="1" x14ac:dyDescent="0.2">
      <c r="A510" s="202">
        <v>549</v>
      </c>
      <c r="B510" s="88" t="s">
        <v>279</v>
      </c>
      <c r="C510" s="89">
        <v>549</v>
      </c>
      <c r="D510" s="88" t="str">
        <f t="shared" si="18"/>
        <v>SUPERMIX549</v>
      </c>
      <c r="E510" s="58" t="s">
        <v>1691</v>
      </c>
      <c r="F510" s="58" t="s">
        <v>1249</v>
      </c>
      <c r="G510" s="88" t="s">
        <v>25</v>
      </c>
      <c r="H510" s="90">
        <v>42130357</v>
      </c>
      <c r="I510" s="90" t="s">
        <v>3787</v>
      </c>
      <c r="J510" s="88" t="s">
        <v>1692</v>
      </c>
      <c r="K510" s="88" t="s">
        <v>343</v>
      </c>
      <c r="L510" s="91">
        <v>41333</v>
      </c>
      <c r="M510" s="91">
        <v>43505</v>
      </c>
      <c r="N510" s="88">
        <f t="shared" ca="1" si="17"/>
        <v>2682</v>
      </c>
      <c r="O510" s="84" t="str">
        <f ca="1">IF(Tabla1[[#This Row],[|]]&gt;=0,"VENCIDA",IF(Tabla1[[#This Row],[|]]&gt;=-14,"POR VENCER","OK"))</f>
        <v>VENCIDA</v>
      </c>
      <c r="P510" s="90" t="s">
        <v>640</v>
      </c>
      <c r="Q510" s="90" t="s">
        <v>312</v>
      </c>
      <c r="R510" s="88" t="s">
        <v>317</v>
      </c>
      <c r="S510" s="88"/>
      <c r="T510" s="88"/>
      <c r="U510" s="88"/>
      <c r="V510" s="88" t="s">
        <v>986</v>
      </c>
      <c r="W510" s="92" t="s">
        <v>1562</v>
      </c>
      <c r="X510" s="88"/>
    </row>
    <row r="511" spans="1:24" s="43" customFormat="1" ht="32.25" customHeight="1" x14ac:dyDescent="0.2">
      <c r="A511" s="42">
        <v>550</v>
      </c>
      <c r="B511" s="93" t="s">
        <v>279</v>
      </c>
      <c r="C511" s="94">
        <v>550</v>
      </c>
      <c r="D511" s="137" t="str">
        <f t="shared" si="18"/>
        <v>SUPERMIX550</v>
      </c>
      <c r="E511" s="115" t="s">
        <v>1694</v>
      </c>
      <c r="F511" s="115" t="s">
        <v>1695</v>
      </c>
      <c r="G511" s="93" t="s">
        <v>25</v>
      </c>
      <c r="H511" s="95">
        <v>41112235</v>
      </c>
      <c r="I511" s="95" t="s">
        <v>3788</v>
      </c>
      <c r="J511" s="93" t="s">
        <v>1696</v>
      </c>
      <c r="K511" s="93" t="s">
        <v>343</v>
      </c>
      <c r="L511" s="96">
        <v>43808</v>
      </c>
      <c r="M511" s="96">
        <v>47517</v>
      </c>
      <c r="N511" s="93">
        <f t="shared" ca="1" si="17"/>
        <v>-1330</v>
      </c>
      <c r="O511" s="84" t="str">
        <f ca="1">IF(Tabla1[[#This Row],[|]]&gt;=0,"VENCIDA",IF(Tabla1[[#This Row],[|]]&gt;=-14,"POR VENCER","OK"))</f>
        <v>OK</v>
      </c>
      <c r="P511" s="95" t="s">
        <v>3365</v>
      </c>
      <c r="Q511" s="95" t="s">
        <v>312</v>
      </c>
      <c r="R511" s="93" t="s">
        <v>317</v>
      </c>
      <c r="S511" s="93"/>
      <c r="T511" s="93"/>
      <c r="U511" s="93"/>
      <c r="V511" s="93" t="s">
        <v>329</v>
      </c>
      <c r="W511" s="97" t="s">
        <v>511</v>
      </c>
      <c r="X511" s="93" t="s">
        <v>823</v>
      </c>
    </row>
    <row r="512" spans="1:24" s="63" customFormat="1" ht="32.25" customHeight="1" x14ac:dyDescent="0.2">
      <c r="A512" s="202">
        <v>551</v>
      </c>
      <c r="B512" s="88" t="s">
        <v>279</v>
      </c>
      <c r="C512" s="89">
        <v>551</v>
      </c>
      <c r="D512" s="88" t="str">
        <f t="shared" si="18"/>
        <v>SUPERMIX551</v>
      </c>
      <c r="E512" s="58" t="s">
        <v>1697</v>
      </c>
      <c r="F512" s="58" t="s">
        <v>1698</v>
      </c>
      <c r="G512" s="88" t="s">
        <v>25</v>
      </c>
      <c r="H512" s="90">
        <v>45278673</v>
      </c>
      <c r="I512" s="90" t="s">
        <v>3787</v>
      </c>
      <c r="J512" s="88" t="s">
        <v>1699</v>
      </c>
      <c r="K512" s="88" t="s">
        <v>3142</v>
      </c>
      <c r="L512" s="91">
        <v>42222</v>
      </c>
      <c r="M512" s="91">
        <v>45144</v>
      </c>
      <c r="N512" s="88">
        <f t="shared" ca="1" si="17"/>
        <v>1043</v>
      </c>
      <c r="O512" s="84" t="str">
        <f ca="1">IF(Tabla1[[#This Row],[|]]&gt;=0,"VENCIDA",IF(Tabla1[[#This Row],[|]]&gt;=-14,"POR VENCER","OK"))</f>
        <v>VENCIDA</v>
      </c>
      <c r="P512" s="90" t="s">
        <v>823</v>
      </c>
      <c r="Q512" s="90" t="s">
        <v>312</v>
      </c>
      <c r="R512" s="88" t="s">
        <v>17</v>
      </c>
      <c r="S512" s="88"/>
      <c r="T512" s="88"/>
      <c r="U512" s="88"/>
      <c r="V512" s="88" t="s">
        <v>811</v>
      </c>
      <c r="W512" s="92" t="s">
        <v>1685</v>
      </c>
      <c r="X512" s="88"/>
    </row>
    <row r="513" spans="1:24" s="63" customFormat="1" ht="32.25" customHeight="1" x14ac:dyDescent="0.2">
      <c r="A513" s="202">
        <v>552</v>
      </c>
      <c r="B513" s="88" t="s">
        <v>279</v>
      </c>
      <c r="C513" s="89">
        <v>552</v>
      </c>
      <c r="D513" s="88" t="str">
        <f t="shared" si="18"/>
        <v>SUPERMIX552</v>
      </c>
      <c r="E513" s="58" t="s">
        <v>1700</v>
      </c>
      <c r="F513" s="58" t="s">
        <v>157</v>
      </c>
      <c r="G513" s="88" t="s">
        <v>25</v>
      </c>
      <c r="H513" s="90">
        <v>24704977</v>
      </c>
      <c r="I513" s="90" t="s">
        <v>3787</v>
      </c>
      <c r="J513" s="88" t="s">
        <v>1701</v>
      </c>
      <c r="K513" s="88" t="s">
        <v>1834</v>
      </c>
      <c r="L513" s="91">
        <v>42780</v>
      </c>
      <c r="M513" s="91">
        <v>43875</v>
      </c>
      <c r="N513" s="88">
        <f t="shared" ca="1" si="17"/>
        <v>2312</v>
      </c>
      <c r="O513" s="84" t="str">
        <f ca="1">IF(Tabla1[[#This Row],[|]]&gt;=0,"VENCIDA",IF(Tabla1[[#This Row],[|]]&gt;=-14,"POR VENCER","OK"))</f>
        <v>VENCIDA</v>
      </c>
      <c r="P513" s="90" t="s">
        <v>1369</v>
      </c>
      <c r="Q513" s="90" t="s">
        <v>312</v>
      </c>
      <c r="R513" s="88" t="s">
        <v>317</v>
      </c>
      <c r="S513" s="88"/>
      <c r="T513" s="88"/>
      <c r="U513" s="88"/>
      <c r="V513" s="88" t="s">
        <v>1702</v>
      </c>
      <c r="W513" s="92" t="s">
        <v>1112</v>
      </c>
      <c r="X513" s="88"/>
    </row>
    <row r="514" spans="1:24" s="63" customFormat="1" ht="32.25" customHeight="1" x14ac:dyDescent="0.2">
      <c r="A514" s="202">
        <v>553</v>
      </c>
      <c r="B514" s="88" t="s">
        <v>279</v>
      </c>
      <c r="C514" s="89">
        <v>553</v>
      </c>
      <c r="D514" s="88" t="str">
        <f t="shared" si="18"/>
        <v>SUPERMIX553</v>
      </c>
      <c r="E514" s="58" t="s">
        <v>1707</v>
      </c>
      <c r="F514" s="58" t="s">
        <v>1706</v>
      </c>
      <c r="G514" s="88" t="s">
        <v>25</v>
      </c>
      <c r="H514" s="90">
        <v>43395102</v>
      </c>
      <c r="I514" s="90" t="s">
        <v>3787</v>
      </c>
      <c r="J514" s="88" t="s">
        <v>1708</v>
      </c>
      <c r="K514" s="88" t="s">
        <v>368</v>
      </c>
      <c r="L514" s="91">
        <v>41610</v>
      </c>
      <c r="M514" s="91">
        <v>42706</v>
      </c>
      <c r="N514" s="88">
        <f t="shared" ref="N514:N577" ca="1" si="19">TODAY()-M514</f>
        <v>3481</v>
      </c>
      <c r="O514" s="84" t="str">
        <f ca="1">IF(Tabla1[[#This Row],[|]]&gt;=0,"VENCIDA",IF(Tabla1[[#This Row],[|]]&gt;=-14,"POR VENCER","OK"))</f>
        <v>VENCIDA</v>
      </c>
      <c r="P514" s="90" t="s">
        <v>1059</v>
      </c>
      <c r="Q514" s="90" t="s">
        <v>312</v>
      </c>
      <c r="R514" s="88" t="s">
        <v>317</v>
      </c>
      <c r="S514" s="88"/>
      <c r="T514" s="88"/>
      <c r="U514" s="88"/>
      <c r="V514" s="88" t="s">
        <v>1702</v>
      </c>
      <c r="W514" s="92" t="s">
        <v>1709</v>
      </c>
      <c r="X514" s="88"/>
    </row>
    <row r="515" spans="1:24" s="43" customFormat="1" ht="32.25" customHeight="1" x14ac:dyDescent="0.2">
      <c r="A515" s="42">
        <v>554</v>
      </c>
      <c r="B515" s="93" t="s">
        <v>279</v>
      </c>
      <c r="C515" s="94">
        <v>554</v>
      </c>
      <c r="D515" s="93" t="str">
        <f t="shared" si="18"/>
        <v>SUPERMIX554</v>
      </c>
      <c r="E515" s="115" t="s">
        <v>1710</v>
      </c>
      <c r="F515" s="115" t="s">
        <v>35</v>
      </c>
      <c r="G515" s="93" t="s">
        <v>25</v>
      </c>
      <c r="H515" s="95">
        <v>41242546</v>
      </c>
      <c r="I515" s="95" t="s">
        <v>3788</v>
      </c>
      <c r="J515" s="93" t="s">
        <v>1711</v>
      </c>
      <c r="K515" s="93" t="s">
        <v>3142</v>
      </c>
      <c r="L515" s="96">
        <v>40605</v>
      </c>
      <c r="M515" s="117">
        <v>47185</v>
      </c>
      <c r="N515" s="93">
        <f t="shared" ca="1" si="19"/>
        <v>-998</v>
      </c>
      <c r="O515" s="84" t="str">
        <f ca="1">IF(Tabla1[[#This Row],[|]]&gt;=0,"VENCIDA",IF(Tabla1[[#This Row],[|]]&gt;=-14,"POR VENCER","OK"))</f>
        <v>OK</v>
      </c>
      <c r="P515" s="95" t="s">
        <v>1059</v>
      </c>
      <c r="Q515" s="95" t="s">
        <v>312</v>
      </c>
      <c r="R515" s="93" t="s">
        <v>317</v>
      </c>
      <c r="S515" s="93"/>
      <c r="T515" s="93"/>
      <c r="U515" s="93"/>
      <c r="V515" s="93" t="s">
        <v>1702</v>
      </c>
      <c r="W515" s="97" t="s">
        <v>1709</v>
      </c>
      <c r="X515" s="93" t="s">
        <v>2913</v>
      </c>
    </row>
    <row r="516" spans="1:24" s="63" customFormat="1" ht="32.25" customHeight="1" x14ac:dyDescent="0.2">
      <c r="A516" s="202">
        <v>555</v>
      </c>
      <c r="B516" s="88" t="s">
        <v>279</v>
      </c>
      <c r="C516" s="89">
        <v>555</v>
      </c>
      <c r="D516" s="88" t="str">
        <f t="shared" si="18"/>
        <v>SUPERMIX555</v>
      </c>
      <c r="E516" s="58" t="s">
        <v>1712</v>
      </c>
      <c r="F516" s="58" t="s">
        <v>847</v>
      </c>
      <c r="G516" s="88" t="s">
        <v>25</v>
      </c>
      <c r="H516" s="90">
        <v>80031581</v>
      </c>
      <c r="I516" s="90" t="s">
        <v>3787</v>
      </c>
      <c r="J516" s="88" t="s">
        <v>1713</v>
      </c>
      <c r="K516" s="88" t="s">
        <v>281</v>
      </c>
      <c r="L516" s="91">
        <v>41914</v>
      </c>
      <c r="M516" s="91">
        <v>43010</v>
      </c>
      <c r="N516" s="88">
        <f t="shared" ca="1" si="19"/>
        <v>3177</v>
      </c>
      <c r="O516" s="84" t="str">
        <f ca="1">IF(Tabla1[[#This Row],[|]]&gt;=0,"VENCIDA",IF(Tabla1[[#This Row],[|]]&gt;=-14,"POR VENCER","OK"))</f>
        <v>VENCIDA</v>
      </c>
      <c r="P516" s="90" t="s">
        <v>1369</v>
      </c>
      <c r="Q516" s="90" t="s">
        <v>312</v>
      </c>
      <c r="R516" s="88" t="s">
        <v>317</v>
      </c>
      <c r="S516" s="88"/>
      <c r="T516" s="88"/>
      <c r="U516" s="88"/>
      <c r="V516" s="88" t="s">
        <v>1702</v>
      </c>
      <c r="W516" s="92" t="s">
        <v>1709</v>
      </c>
      <c r="X516" s="88"/>
    </row>
    <row r="517" spans="1:24" s="63" customFormat="1" ht="32.25" customHeight="1" x14ac:dyDescent="0.2">
      <c r="A517" s="202">
        <v>556</v>
      </c>
      <c r="B517" s="88" t="s">
        <v>279</v>
      </c>
      <c r="C517" s="89">
        <v>556</v>
      </c>
      <c r="D517" s="88" t="str">
        <f t="shared" si="18"/>
        <v>SUPERMIX556</v>
      </c>
      <c r="E517" s="58" t="s">
        <v>1715</v>
      </c>
      <c r="F517" s="58" t="s">
        <v>1714</v>
      </c>
      <c r="G517" s="88" t="s">
        <v>310</v>
      </c>
      <c r="H517" s="107" t="s">
        <v>1716</v>
      </c>
      <c r="I517" s="107" t="s">
        <v>3787</v>
      </c>
      <c r="J517" s="88" t="s">
        <v>1717</v>
      </c>
      <c r="K517" s="88" t="s">
        <v>281</v>
      </c>
      <c r="L517" s="91">
        <v>39631</v>
      </c>
      <c r="M517" s="91">
        <v>43578</v>
      </c>
      <c r="N517" s="88">
        <f t="shared" ca="1" si="19"/>
        <v>2609</v>
      </c>
      <c r="O517" s="84" t="str">
        <f ca="1">IF(Tabla1[[#This Row],[|]]&gt;=0,"VENCIDA",IF(Tabla1[[#This Row],[|]]&gt;=-14,"POR VENCER","OK"))</f>
        <v>VENCIDA</v>
      </c>
      <c r="P517" s="90" t="s">
        <v>1369</v>
      </c>
      <c r="Q517" s="90" t="s">
        <v>312</v>
      </c>
      <c r="R517" s="88" t="s">
        <v>317</v>
      </c>
      <c r="S517" s="88"/>
      <c r="T517" s="88"/>
      <c r="U517" s="88"/>
      <c r="V517" s="88" t="s">
        <v>1702</v>
      </c>
      <c r="W517" s="92" t="s">
        <v>1709</v>
      </c>
      <c r="X517" s="88"/>
    </row>
    <row r="518" spans="1:24" s="63" customFormat="1" ht="32.25" customHeight="1" x14ac:dyDescent="0.2">
      <c r="A518" s="202">
        <v>557</v>
      </c>
      <c r="B518" s="88" t="s">
        <v>279</v>
      </c>
      <c r="C518" s="89">
        <v>557</v>
      </c>
      <c r="D518" s="88" t="str">
        <f t="shared" si="18"/>
        <v>SUPERMIX557</v>
      </c>
      <c r="E518" s="58" t="s">
        <v>1718</v>
      </c>
      <c r="F518" s="58" t="s">
        <v>1719</v>
      </c>
      <c r="G518" s="88" t="s">
        <v>25</v>
      </c>
      <c r="H518" s="90">
        <v>41347406</v>
      </c>
      <c r="I518" s="90" t="s">
        <v>3787</v>
      </c>
      <c r="J518" s="88" t="s">
        <v>1720</v>
      </c>
      <c r="K518" s="88" t="s">
        <v>281</v>
      </c>
      <c r="L518" s="91">
        <v>42620</v>
      </c>
      <c r="M518" s="91">
        <v>43715</v>
      </c>
      <c r="N518" s="88">
        <f t="shared" ca="1" si="19"/>
        <v>2472</v>
      </c>
      <c r="O518" s="84" t="str">
        <f ca="1">IF(Tabla1[[#This Row],[|]]&gt;=0,"VENCIDA",IF(Tabla1[[#This Row],[|]]&gt;=-14,"POR VENCER","OK"))</f>
        <v>VENCIDA</v>
      </c>
      <c r="P518" s="90" t="s">
        <v>1059</v>
      </c>
      <c r="Q518" s="90" t="s">
        <v>312</v>
      </c>
      <c r="R518" s="88" t="s">
        <v>317</v>
      </c>
      <c r="S518" s="88"/>
      <c r="T518" s="88"/>
      <c r="U518" s="88"/>
      <c r="V518" s="88" t="s">
        <v>1702</v>
      </c>
      <c r="W518" s="92" t="s">
        <v>1709</v>
      </c>
      <c r="X518" s="88"/>
    </row>
    <row r="519" spans="1:24" s="63" customFormat="1" ht="32.25" customHeight="1" x14ac:dyDescent="0.2">
      <c r="A519" s="202">
        <v>558</v>
      </c>
      <c r="B519" s="88" t="s">
        <v>279</v>
      </c>
      <c r="C519" s="89">
        <v>558</v>
      </c>
      <c r="D519" s="88" t="str">
        <f t="shared" si="18"/>
        <v>SUPERMIX558</v>
      </c>
      <c r="E519" s="58" t="s">
        <v>1721</v>
      </c>
      <c r="F519" s="58" t="s">
        <v>1722</v>
      </c>
      <c r="G519" s="88" t="s">
        <v>25</v>
      </c>
      <c r="H519" s="90">
        <v>42751297</v>
      </c>
      <c r="I519" s="90" t="s">
        <v>3787</v>
      </c>
      <c r="J519" s="88" t="s">
        <v>1723</v>
      </c>
      <c r="K519" s="88" t="s">
        <v>281</v>
      </c>
      <c r="L519" s="91">
        <v>40484</v>
      </c>
      <c r="M519" s="91">
        <v>43721</v>
      </c>
      <c r="N519" s="88">
        <f t="shared" ca="1" si="19"/>
        <v>2466</v>
      </c>
      <c r="O519" s="84" t="str">
        <f ca="1">IF(Tabla1[[#This Row],[|]]&gt;=0,"VENCIDA",IF(Tabla1[[#This Row],[|]]&gt;=-14,"POR VENCER","OK"))</f>
        <v>VENCIDA</v>
      </c>
      <c r="P519" s="90" t="s">
        <v>624</v>
      </c>
      <c r="Q519" s="90" t="s">
        <v>312</v>
      </c>
      <c r="R519" s="88" t="s">
        <v>317</v>
      </c>
      <c r="S519" s="88"/>
      <c r="T519" s="88"/>
      <c r="U519" s="88"/>
      <c r="V519" s="88" t="s">
        <v>1702</v>
      </c>
      <c r="W519" s="92" t="s">
        <v>1703</v>
      </c>
      <c r="X519" s="88"/>
    </row>
    <row r="520" spans="1:24" s="63" customFormat="1" ht="32.25" customHeight="1" x14ac:dyDescent="0.2">
      <c r="A520" s="202">
        <v>559</v>
      </c>
      <c r="B520" s="88" t="s">
        <v>279</v>
      </c>
      <c r="C520" s="89">
        <v>559</v>
      </c>
      <c r="D520" s="88" t="str">
        <f t="shared" ref="D520:D583" si="20">CONCATENATE(B520,C520)</f>
        <v>SUPERMIX559</v>
      </c>
      <c r="E520" s="58" t="s">
        <v>1724</v>
      </c>
      <c r="F520" s="58" t="s">
        <v>753</v>
      </c>
      <c r="G520" s="88" t="s">
        <v>25</v>
      </c>
      <c r="H520" s="107" t="s">
        <v>1725</v>
      </c>
      <c r="I520" s="107" t="s">
        <v>3787</v>
      </c>
      <c r="J520" s="88" t="s">
        <v>1726</v>
      </c>
      <c r="K520" s="88" t="s">
        <v>1834</v>
      </c>
      <c r="L520" s="91">
        <v>38917</v>
      </c>
      <c r="M520" s="91">
        <v>43840</v>
      </c>
      <c r="N520" s="88">
        <f t="shared" ca="1" si="19"/>
        <v>2347</v>
      </c>
      <c r="O520" s="84" t="str">
        <f ca="1">IF(Tabla1[[#This Row],[|]]&gt;=0,"VENCIDA",IF(Tabla1[[#This Row],[|]]&gt;=-14,"POR VENCER","OK"))</f>
        <v>VENCIDA</v>
      </c>
      <c r="P520" s="90" t="s">
        <v>1359</v>
      </c>
      <c r="Q520" s="90" t="s">
        <v>312</v>
      </c>
      <c r="R520" s="88" t="s">
        <v>317</v>
      </c>
      <c r="S520" s="88"/>
      <c r="T520" s="88"/>
      <c r="U520" s="88"/>
      <c r="V520" s="88" t="s">
        <v>680</v>
      </c>
      <c r="W520" s="92" t="s">
        <v>1112</v>
      </c>
      <c r="X520" s="88"/>
    </row>
    <row r="521" spans="1:24" s="63" customFormat="1" ht="32.25" customHeight="1" x14ac:dyDescent="0.2">
      <c r="A521" s="202">
        <v>560</v>
      </c>
      <c r="B521" s="88" t="s">
        <v>279</v>
      </c>
      <c r="C521" s="89">
        <v>560</v>
      </c>
      <c r="D521" s="88" t="str">
        <f t="shared" si="20"/>
        <v>SUPERMIX560</v>
      </c>
      <c r="E521" s="58" t="s">
        <v>1727</v>
      </c>
      <c r="F521" s="58" t="s">
        <v>1728</v>
      </c>
      <c r="G521" s="88" t="s">
        <v>25</v>
      </c>
      <c r="H521" s="107" t="s">
        <v>1729</v>
      </c>
      <c r="I521" s="107" t="s">
        <v>3787</v>
      </c>
      <c r="J521" s="88" t="s">
        <v>1730</v>
      </c>
      <c r="K521" s="88" t="s">
        <v>281</v>
      </c>
      <c r="L521" s="91">
        <v>37783</v>
      </c>
      <c r="M521" s="91">
        <v>43595</v>
      </c>
      <c r="N521" s="88">
        <f t="shared" ca="1" si="19"/>
        <v>2592</v>
      </c>
      <c r="O521" s="84" t="str">
        <f ca="1">IF(Tabla1[[#This Row],[|]]&gt;=0,"VENCIDA",IF(Tabla1[[#This Row],[|]]&gt;=-14,"POR VENCER","OK"))</f>
        <v>VENCIDA</v>
      </c>
      <c r="P521" s="90" t="s">
        <v>1731</v>
      </c>
      <c r="Q521" s="90" t="s">
        <v>312</v>
      </c>
      <c r="R521" s="88" t="s">
        <v>317</v>
      </c>
      <c r="S521" s="88"/>
      <c r="T521" s="88"/>
      <c r="U521" s="88"/>
      <c r="V521" s="88" t="s">
        <v>1732</v>
      </c>
      <c r="W521" s="92"/>
      <c r="X521" s="88"/>
    </row>
    <row r="522" spans="1:24" s="63" customFormat="1" ht="32.25" customHeight="1" x14ac:dyDescent="0.2">
      <c r="A522" s="202">
        <v>561</v>
      </c>
      <c r="B522" s="88" t="s">
        <v>279</v>
      </c>
      <c r="C522" s="89">
        <v>561</v>
      </c>
      <c r="D522" s="88" t="str">
        <f t="shared" si="20"/>
        <v>SUPERMIX561</v>
      </c>
      <c r="E522" s="58" t="s">
        <v>1733</v>
      </c>
      <c r="F522" s="58" t="s">
        <v>1734</v>
      </c>
      <c r="G522" s="88" t="s">
        <v>25</v>
      </c>
      <c r="H522" s="90">
        <v>41830633</v>
      </c>
      <c r="I522" s="90" t="s">
        <v>3787</v>
      </c>
      <c r="J522" s="88" t="s">
        <v>1735</v>
      </c>
      <c r="K522" s="88" t="s">
        <v>3142</v>
      </c>
      <c r="L522" s="91">
        <v>41369</v>
      </c>
      <c r="M522" s="91">
        <v>44291</v>
      </c>
      <c r="N522" s="88">
        <f t="shared" ca="1" si="19"/>
        <v>1896</v>
      </c>
      <c r="O522" s="84" t="str">
        <f ca="1">IF(Tabla1[[#This Row],[|]]&gt;=0,"VENCIDA",IF(Tabla1[[#This Row],[|]]&gt;=-14,"POR VENCER","OK"))</f>
        <v>VENCIDA</v>
      </c>
      <c r="P522" s="90" t="s">
        <v>1059</v>
      </c>
      <c r="Q522" s="90" t="s">
        <v>312</v>
      </c>
      <c r="R522" s="88"/>
      <c r="S522" s="88"/>
      <c r="T522" s="88"/>
      <c r="U522" s="88"/>
      <c r="V522" s="88" t="s">
        <v>1732</v>
      </c>
      <c r="W522" s="92" t="s">
        <v>1436</v>
      </c>
      <c r="X522" s="88"/>
    </row>
    <row r="523" spans="1:24" s="63" customFormat="1" ht="32.25" customHeight="1" x14ac:dyDescent="0.2">
      <c r="A523" s="202">
        <v>562</v>
      </c>
      <c r="B523" s="88" t="s">
        <v>279</v>
      </c>
      <c r="C523" s="89">
        <v>562</v>
      </c>
      <c r="D523" s="88" t="str">
        <f t="shared" si="20"/>
        <v>SUPERMIX562</v>
      </c>
      <c r="E523" s="58" t="s">
        <v>1737</v>
      </c>
      <c r="F523" s="58" t="s">
        <v>1736</v>
      </c>
      <c r="G523" s="88" t="s">
        <v>25</v>
      </c>
      <c r="H523" s="90">
        <v>20904676</v>
      </c>
      <c r="I523" s="90" t="s">
        <v>3787</v>
      </c>
      <c r="J523" s="88" t="s">
        <v>1738</v>
      </c>
      <c r="K523" s="88" t="s">
        <v>281</v>
      </c>
      <c r="L523" s="91">
        <v>39996</v>
      </c>
      <c r="M523" s="91">
        <v>43289</v>
      </c>
      <c r="N523" s="88">
        <f t="shared" ca="1" si="19"/>
        <v>2898</v>
      </c>
      <c r="O523" s="84" t="str">
        <f ca="1">IF(Tabla1[[#This Row],[|]]&gt;=0,"VENCIDA",IF(Tabla1[[#This Row],[|]]&gt;=-14,"POR VENCER","OK"))</f>
        <v>VENCIDA</v>
      </c>
      <c r="P523" s="90" t="s">
        <v>1301</v>
      </c>
      <c r="Q523" s="90" t="s">
        <v>312</v>
      </c>
      <c r="R523" s="88" t="s">
        <v>317</v>
      </c>
      <c r="S523" s="88"/>
      <c r="T523" s="88"/>
      <c r="U523" s="88"/>
      <c r="V523" s="88" t="s">
        <v>680</v>
      </c>
      <c r="W523" s="92"/>
      <c r="X523" s="88"/>
    </row>
    <row r="524" spans="1:24" s="63" customFormat="1" ht="32.25" customHeight="1" x14ac:dyDescent="0.2">
      <c r="A524" s="202">
        <v>563</v>
      </c>
      <c r="B524" s="88" t="s">
        <v>279</v>
      </c>
      <c r="C524" s="89">
        <v>563</v>
      </c>
      <c r="D524" s="88" t="str">
        <f t="shared" si="20"/>
        <v>SUPERMIX563</v>
      </c>
      <c r="E524" s="58" t="s">
        <v>1739</v>
      </c>
      <c r="F524" s="58" t="s">
        <v>1740</v>
      </c>
      <c r="G524" s="88" t="s">
        <v>25</v>
      </c>
      <c r="H524" s="107" t="s">
        <v>1741</v>
      </c>
      <c r="I524" s="107" t="s">
        <v>3787</v>
      </c>
      <c r="J524" s="88" t="s">
        <v>1742</v>
      </c>
      <c r="K524" s="88" t="s">
        <v>281</v>
      </c>
      <c r="L524" s="91">
        <v>40214</v>
      </c>
      <c r="M524" s="91">
        <v>43595</v>
      </c>
      <c r="N524" s="88">
        <f t="shared" ca="1" si="19"/>
        <v>2592</v>
      </c>
      <c r="O524" s="84" t="str">
        <f ca="1">IF(Tabla1[[#This Row],[|]]&gt;=0,"VENCIDA",IF(Tabla1[[#This Row],[|]]&gt;=-14,"POR VENCER","OK"))</f>
        <v>VENCIDA</v>
      </c>
      <c r="P524" s="90" t="s">
        <v>640</v>
      </c>
      <c r="Q524" s="90" t="s">
        <v>312</v>
      </c>
      <c r="R524" s="88" t="s">
        <v>317</v>
      </c>
      <c r="S524" s="88"/>
      <c r="T524" s="88"/>
      <c r="U524" s="88"/>
      <c r="V524" s="88" t="s">
        <v>680</v>
      </c>
      <c r="W524" s="92"/>
      <c r="X524" s="88"/>
    </row>
    <row r="525" spans="1:24" s="43" customFormat="1" ht="32.25" customHeight="1" x14ac:dyDescent="0.2">
      <c r="A525" s="42">
        <v>564</v>
      </c>
      <c r="B525" s="93" t="s">
        <v>279</v>
      </c>
      <c r="C525" s="94">
        <v>564</v>
      </c>
      <c r="D525" s="93" t="str">
        <f t="shared" si="20"/>
        <v>SUPERMIX564</v>
      </c>
      <c r="E525" s="115" t="s">
        <v>1743</v>
      </c>
      <c r="F525" s="115" t="s">
        <v>26</v>
      </c>
      <c r="G525" s="93" t="s">
        <v>25</v>
      </c>
      <c r="H525" s="95">
        <v>80028438</v>
      </c>
      <c r="I525" s="95" t="s">
        <v>3788</v>
      </c>
      <c r="J525" s="93" t="s">
        <v>1744</v>
      </c>
      <c r="K525" s="93" t="s">
        <v>1834</v>
      </c>
      <c r="L525" s="96">
        <v>42045</v>
      </c>
      <c r="M525" s="96">
        <v>46051</v>
      </c>
      <c r="N525" s="93">
        <f t="shared" ca="1" si="19"/>
        <v>136</v>
      </c>
      <c r="O525" s="84" t="str">
        <f ca="1">IF(Tabla1[[#This Row],[|]]&gt;=0,"VENCIDA",IF(Tabla1[[#This Row],[|]]&gt;=-14,"POR VENCER","OK"))</f>
        <v>VENCIDA</v>
      </c>
      <c r="P525" s="95" t="s">
        <v>3518</v>
      </c>
      <c r="Q525" s="95" t="s">
        <v>312</v>
      </c>
      <c r="R525" s="93" t="s">
        <v>317</v>
      </c>
      <c r="S525" s="93"/>
      <c r="T525" s="93"/>
      <c r="U525" s="93"/>
      <c r="V525" s="93" t="s">
        <v>680</v>
      </c>
      <c r="W525" s="97" t="s">
        <v>1112</v>
      </c>
      <c r="X525" s="204" t="s">
        <v>597</v>
      </c>
    </row>
    <row r="526" spans="1:24" s="63" customFormat="1" ht="32.25" customHeight="1" x14ac:dyDescent="0.2">
      <c r="A526" s="202">
        <v>565</v>
      </c>
      <c r="B526" s="88" t="s">
        <v>279</v>
      </c>
      <c r="C526" s="89">
        <v>565</v>
      </c>
      <c r="D526" s="88" t="str">
        <f t="shared" si="20"/>
        <v>SUPERMIX565</v>
      </c>
      <c r="E526" s="58" t="s">
        <v>1745</v>
      </c>
      <c r="F526" s="58" t="s">
        <v>1746</v>
      </c>
      <c r="G526" s="88" t="s">
        <v>25</v>
      </c>
      <c r="H526" s="88">
        <v>41482246</v>
      </c>
      <c r="I526" s="88" t="s">
        <v>3787</v>
      </c>
      <c r="J526" s="88" t="s">
        <v>1747</v>
      </c>
      <c r="K526" s="88" t="s">
        <v>281</v>
      </c>
      <c r="L526" s="91">
        <v>38950</v>
      </c>
      <c r="M526" s="91">
        <v>43650</v>
      </c>
      <c r="N526" s="88">
        <f t="shared" ca="1" si="19"/>
        <v>2537</v>
      </c>
      <c r="O526" s="84" t="str">
        <f ca="1">IF(Tabla1[[#This Row],[|]]&gt;=0,"VENCIDA",IF(Tabla1[[#This Row],[|]]&gt;=-14,"POR VENCER","OK"))</f>
        <v>VENCIDA</v>
      </c>
      <c r="P526" s="90" t="s">
        <v>1509</v>
      </c>
      <c r="Q526" s="90" t="s">
        <v>312</v>
      </c>
      <c r="R526" s="88" t="s">
        <v>317</v>
      </c>
      <c r="S526" s="88"/>
      <c r="T526" s="88"/>
      <c r="U526" s="88"/>
      <c r="V526" s="88" t="s">
        <v>680</v>
      </c>
      <c r="W526" s="92" t="s">
        <v>1112</v>
      </c>
      <c r="X526" s="88"/>
    </row>
    <row r="527" spans="1:24" s="63" customFormat="1" ht="32.25" customHeight="1" x14ac:dyDescent="0.2">
      <c r="A527" s="202">
        <v>566</v>
      </c>
      <c r="B527" s="88" t="s">
        <v>279</v>
      </c>
      <c r="C527" s="89">
        <v>566</v>
      </c>
      <c r="D527" s="88" t="str">
        <f t="shared" si="20"/>
        <v>SUPERMIX566</v>
      </c>
      <c r="E527" s="58" t="s">
        <v>1748</v>
      </c>
      <c r="F527" s="58" t="s">
        <v>33</v>
      </c>
      <c r="G527" s="88" t="s">
        <v>25</v>
      </c>
      <c r="H527" s="90">
        <v>43727385</v>
      </c>
      <c r="I527" s="90" t="s">
        <v>3787</v>
      </c>
      <c r="J527" s="88" t="s">
        <v>1749</v>
      </c>
      <c r="K527" s="88" t="s">
        <v>368</v>
      </c>
      <c r="L527" s="91">
        <v>41474</v>
      </c>
      <c r="M527" s="91">
        <v>43665</v>
      </c>
      <c r="N527" s="88">
        <f t="shared" ca="1" si="19"/>
        <v>2522</v>
      </c>
      <c r="O527" s="84" t="str">
        <f ca="1">IF(Tabla1[[#This Row],[|]]&gt;=0,"VENCIDA",IF(Tabla1[[#This Row],[|]]&gt;=-14,"POR VENCER","OK"))</f>
        <v>VENCIDA</v>
      </c>
      <c r="P527" s="90" t="s">
        <v>1059</v>
      </c>
      <c r="Q527" s="90" t="s">
        <v>312</v>
      </c>
      <c r="R527" s="88" t="s">
        <v>317</v>
      </c>
      <c r="S527" s="88"/>
      <c r="T527" s="88"/>
      <c r="U527" s="88"/>
      <c r="V527" s="88" t="s">
        <v>668</v>
      </c>
      <c r="W527" s="92" t="s">
        <v>1750</v>
      </c>
      <c r="X527" s="88"/>
    </row>
    <row r="528" spans="1:24" s="43" customFormat="1" ht="32.25" customHeight="1" x14ac:dyDescent="0.2">
      <c r="A528" s="211">
        <v>567</v>
      </c>
      <c r="B528" s="93" t="s">
        <v>279</v>
      </c>
      <c r="C528" s="94">
        <v>567</v>
      </c>
      <c r="D528" s="93" t="str">
        <f t="shared" si="20"/>
        <v>SUPERMIX567</v>
      </c>
      <c r="E528" s="115" t="s">
        <v>1752</v>
      </c>
      <c r="F528" s="115" t="s">
        <v>1753</v>
      </c>
      <c r="G528" s="93" t="s">
        <v>25</v>
      </c>
      <c r="H528" s="95">
        <v>29269325</v>
      </c>
      <c r="I528" s="95" t="s">
        <v>3788</v>
      </c>
      <c r="J528" s="93" t="s">
        <v>1754</v>
      </c>
      <c r="K528" s="93" t="s">
        <v>281</v>
      </c>
      <c r="L528" s="96">
        <v>30581</v>
      </c>
      <c r="M528" s="96">
        <v>46650</v>
      </c>
      <c r="N528" s="93">
        <f t="shared" ca="1" si="19"/>
        <v>-463</v>
      </c>
      <c r="O528" s="84" t="str">
        <f ca="1">IF(Tabla1[[#This Row],[|]]&gt;=0,"VENCIDA",IF(Tabla1[[#This Row],[|]]&gt;=-14,"POR VENCER","OK"))</f>
        <v>OK</v>
      </c>
      <c r="P528" s="95" t="s">
        <v>3718</v>
      </c>
      <c r="Q528" s="95" t="s">
        <v>312</v>
      </c>
      <c r="R528" s="93" t="s">
        <v>17</v>
      </c>
      <c r="S528" s="93"/>
      <c r="T528" s="93"/>
      <c r="U528" s="93"/>
      <c r="V528" s="93" t="s">
        <v>1939</v>
      </c>
      <c r="W528" s="97" t="s">
        <v>3515</v>
      </c>
      <c r="X528" s="93" t="s">
        <v>624</v>
      </c>
    </row>
    <row r="529" spans="1:24" s="63" customFormat="1" ht="32.25" customHeight="1" x14ac:dyDescent="0.2">
      <c r="A529" s="202">
        <v>568</v>
      </c>
      <c r="B529" s="88" t="s">
        <v>279</v>
      </c>
      <c r="C529" s="89">
        <v>568</v>
      </c>
      <c r="D529" s="88" t="str">
        <f t="shared" si="20"/>
        <v>SUPERMIX568</v>
      </c>
      <c r="E529" s="58" t="s">
        <v>1756</v>
      </c>
      <c r="F529" s="58" t="s">
        <v>570</v>
      </c>
      <c r="G529" s="88" t="s">
        <v>25</v>
      </c>
      <c r="H529" s="90">
        <v>44915344</v>
      </c>
      <c r="I529" s="90" t="s">
        <v>3787</v>
      </c>
      <c r="J529" s="90" t="s">
        <v>1757</v>
      </c>
      <c r="K529" s="88" t="s">
        <v>293</v>
      </c>
      <c r="L529" s="91">
        <v>41353</v>
      </c>
      <c r="M529" s="91">
        <v>43541</v>
      </c>
      <c r="N529" s="88">
        <f t="shared" ca="1" si="19"/>
        <v>2646</v>
      </c>
      <c r="O529" s="84" t="str">
        <f ca="1">IF(Tabla1[[#This Row],[|]]&gt;=0,"VENCIDA",IF(Tabla1[[#This Row],[|]]&gt;=-14,"POR VENCER","OK"))</f>
        <v>VENCIDA</v>
      </c>
      <c r="P529" s="90" t="s">
        <v>2676</v>
      </c>
      <c r="Q529" s="90" t="s">
        <v>312</v>
      </c>
      <c r="R529" s="88" t="s">
        <v>317</v>
      </c>
      <c r="S529" s="88"/>
      <c r="T529" s="88"/>
      <c r="U529" s="88"/>
      <c r="V529" s="88" t="s">
        <v>2677</v>
      </c>
      <c r="W529" s="92" t="s">
        <v>700</v>
      </c>
      <c r="X529" s="88"/>
    </row>
    <row r="530" spans="1:24" s="63" customFormat="1" ht="32.25" customHeight="1" x14ac:dyDescent="0.2">
      <c r="A530" s="202">
        <v>569</v>
      </c>
      <c r="B530" s="88" t="s">
        <v>279</v>
      </c>
      <c r="C530" s="89">
        <v>569</v>
      </c>
      <c r="D530" s="88" t="str">
        <f t="shared" si="20"/>
        <v>SUPERMIX569</v>
      </c>
      <c r="E530" s="58" t="s">
        <v>1758</v>
      </c>
      <c r="F530" s="58" t="s">
        <v>629</v>
      </c>
      <c r="G530" s="88" t="s">
        <v>25</v>
      </c>
      <c r="H530" s="90">
        <v>43061846</v>
      </c>
      <c r="I530" s="90" t="s">
        <v>3787</v>
      </c>
      <c r="J530" s="90" t="s">
        <v>1759</v>
      </c>
      <c r="K530" s="88" t="s">
        <v>293</v>
      </c>
      <c r="L530" s="91">
        <v>41402</v>
      </c>
      <c r="M530" s="91">
        <v>43597</v>
      </c>
      <c r="N530" s="88">
        <f t="shared" ca="1" si="19"/>
        <v>2590</v>
      </c>
      <c r="O530" s="84" t="str">
        <f ca="1">IF(Tabla1[[#This Row],[|]]&gt;=0,"VENCIDA",IF(Tabla1[[#This Row],[|]]&gt;=-14,"POR VENCER","OK"))</f>
        <v>VENCIDA</v>
      </c>
      <c r="P530" s="90" t="s">
        <v>321</v>
      </c>
      <c r="Q530" s="90" t="s">
        <v>312</v>
      </c>
      <c r="R530" s="88" t="s">
        <v>317</v>
      </c>
      <c r="S530" s="88"/>
      <c r="T530" s="88"/>
      <c r="U530" s="88"/>
      <c r="V530" s="88" t="s">
        <v>2701</v>
      </c>
      <c r="W530" s="92" t="s">
        <v>299</v>
      </c>
      <c r="X530" s="88"/>
    </row>
    <row r="531" spans="1:24" s="63" customFormat="1" ht="32.25" customHeight="1" x14ac:dyDescent="0.2">
      <c r="A531" s="202">
        <v>570</v>
      </c>
      <c r="B531" s="88" t="s">
        <v>279</v>
      </c>
      <c r="C531" s="89">
        <v>570</v>
      </c>
      <c r="D531" s="88" t="str">
        <f t="shared" si="20"/>
        <v>SUPERMIX570</v>
      </c>
      <c r="E531" s="58" t="s">
        <v>1760</v>
      </c>
      <c r="F531" s="58" t="s">
        <v>1761</v>
      </c>
      <c r="G531" s="88" t="s">
        <v>25</v>
      </c>
      <c r="H531" s="90">
        <v>72304848</v>
      </c>
      <c r="I531" s="90" t="s">
        <v>3787</v>
      </c>
      <c r="J531" s="90" t="s">
        <v>1762</v>
      </c>
      <c r="K531" s="88" t="s">
        <v>3142</v>
      </c>
      <c r="L531" s="91">
        <v>42039</v>
      </c>
      <c r="M531" s="91">
        <v>44961</v>
      </c>
      <c r="N531" s="88">
        <f t="shared" ca="1" si="19"/>
        <v>1226</v>
      </c>
      <c r="O531" s="84" t="str">
        <f ca="1">IF(Tabla1[[#This Row],[|]]&gt;=0,"VENCIDA",IF(Tabla1[[#This Row],[|]]&gt;=-14,"POR VENCER","OK"))</f>
        <v>VENCIDA</v>
      </c>
      <c r="P531" s="90" t="s">
        <v>823</v>
      </c>
      <c r="Q531" s="90" t="s">
        <v>312</v>
      </c>
      <c r="R531" s="88" t="s">
        <v>317</v>
      </c>
      <c r="S531" s="88"/>
      <c r="T531" s="88"/>
      <c r="U531" s="88"/>
      <c r="V531" s="88" t="s">
        <v>750</v>
      </c>
      <c r="W531" s="92" t="s">
        <v>700</v>
      </c>
      <c r="X531" s="88"/>
    </row>
    <row r="532" spans="1:24" s="63" customFormat="1" ht="32.25" customHeight="1" x14ac:dyDescent="0.2">
      <c r="A532" s="202">
        <v>571</v>
      </c>
      <c r="B532" s="88" t="s">
        <v>279</v>
      </c>
      <c r="C532" s="89">
        <v>571</v>
      </c>
      <c r="D532" s="88" t="str">
        <f t="shared" si="20"/>
        <v>SUPERMIX571</v>
      </c>
      <c r="E532" s="172" t="s">
        <v>1766</v>
      </c>
      <c r="F532" s="58" t="s">
        <v>1767</v>
      </c>
      <c r="G532" s="88" t="s">
        <v>25</v>
      </c>
      <c r="H532" s="90">
        <v>29295457</v>
      </c>
      <c r="I532" s="90" t="s">
        <v>3787</v>
      </c>
      <c r="J532" s="90" t="s">
        <v>1768</v>
      </c>
      <c r="K532" s="88" t="s">
        <v>281</v>
      </c>
      <c r="L532" s="91">
        <v>30712</v>
      </c>
      <c r="M532" s="91">
        <v>44718</v>
      </c>
      <c r="N532" s="88">
        <f t="shared" ca="1" si="19"/>
        <v>1469</v>
      </c>
      <c r="O532" s="84" t="str">
        <f ca="1">IF(Tabla1[[#This Row],[|]]&gt;=0,"VENCIDA",IF(Tabla1[[#This Row],[|]]&gt;=-14,"POR VENCER","OK"))</f>
        <v>VENCIDA</v>
      </c>
      <c r="P532" s="90" t="s">
        <v>2838</v>
      </c>
      <c r="Q532" s="90" t="s">
        <v>312</v>
      </c>
      <c r="R532" s="88" t="s">
        <v>317</v>
      </c>
      <c r="S532" s="88"/>
      <c r="T532" s="88"/>
      <c r="U532" s="88"/>
      <c r="V532" s="88" t="s">
        <v>1755</v>
      </c>
      <c r="W532" s="92" t="s">
        <v>2776</v>
      </c>
      <c r="X532" s="88" t="s">
        <v>597</v>
      </c>
    </row>
    <row r="533" spans="1:24" s="63" customFormat="1" ht="32.25" customHeight="1" x14ac:dyDescent="0.2">
      <c r="A533" s="202">
        <v>572</v>
      </c>
      <c r="B533" s="88" t="s">
        <v>279</v>
      </c>
      <c r="C533" s="89">
        <v>572</v>
      </c>
      <c r="D533" s="88" t="str">
        <f t="shared" si="20"/>
        <v>SUPERMIX572</v>
      </c>
      <c r="E533" s="58" t="s">
        <v>1769</v>
      </c>
      <c r="F533" s="58" t="s">
        <v>1770</v>
      </c>
      <c r="G533" s="88" t="s">
        <v>25</v>
      </c>
      <c r="H533" s="90">
        <v>41911602</v>
      </c>
      <c r="I533" s="90" t="s">
        <v>3787</v>
      </c>
      <c r="J533" s="88" t="s">
        <v>1771</v>
      </c>
      <c r="K533" s="88" t="s">
        <v>877</v>
      </c>
      <c r="L533" s="91">
        <v>42375</v>
      </c>
      <c r="M533" s="91">
        <v>43471</v>
      </c>
      <c r="N533" s="88">
        <f t="shared" ca="1" si="19"/>
        <v>2716</v>
      </c>
      <c r="O533" s="84" t="str">
        <f ca="1">IF(Tabla1[[#This Row],[|]]&gt;=0,"VENCIDA",IF(Tabla1[[#This Row],[|]]&gt;=-14,"POR VENCER","OK"))</f>
        <v>VENCIDA</v>
      </c>
      <c r="P533" s="90" t="s">
        <v>327</v>
      </c>
      <c r="Q533" s="90" t="s">
        <v>312</v>
      </c>
      <c r="R533" s="88" t="s">
        <v>317</v>
      </c>
      <c r="S533" s="88"/>
      <c r="T533" s="88"/>
      <c r="U533" s="88"/>
      <c r="V533" s="88" t="s">
        <v>1772</v>
      </c>
      <c r="W533" s="92" t="s">
        <v>1476</v>
      </c>
      <c r="X533" s="88"/>
    </row>
    <row r="534" spans="1:24" s="63" customFormat="1" ht="32.25" customHeight="1" x14ac:dyDescent="0.2">
      <c r="A534" s="202">
        <v>573</v>
      </c>
      <c r="B534" s="88" t="s">
        <v>279</v>
      </c>
      <c r="C534" s="89">
        <v>573</v>
      </c>
      <c r="D534" s="88" t="str">
        <f t="shared" si="20"/>
        <v>SUPERMIX573</v>
      </c>
      <c r="E534" s="58" t="s">
        <v>1773</v>
      </c>
      <c r="F534" s="58" t="s">
        <v>1774</v>
      </c>
      <c r="G534" s="88" t="s">
        <v>25</v>
      </c>
      <c r="H534" s="90">
        <v>44748404</v>
      </c>
      <c r="I534" s="90" t="s">
        <v>3787</v>
      </c>
      <c r="J534" s="90" t="s">
        <v>1775</v>
      </c>
      <c r="K534" s="88" t="s">
        <v>281</v>
      </c>
      <c r="L534" s="91">
        <v>42191</v>
      </c>
      <c r="M534" s="91">
        <v>43287</v>
      </c>
      <c r="N534" s="88">
        <f t="shared" ca="1" si="19"/>
        <v>2900</v>
      </c>
      <c r="O534" s="84" t="str">
        <f ca="1">IF(Tabla1[[#This Row],[|]]&gt;=0,"VENCIDA",IF(Tabla1[[#This Row],[|]]&gt;=-14,"POR VENCER","OK"))</f>
        <v>VENCIDA</v>
      </c>
      <c r="P534" s="90" t="s">
        <v>1788</v>
      </c>
      <c r="Q534" s="90" t="s">
        <v>312</v>
      </c>
      <c r="R534" s="88" t="s">
        <v>317</v>
      </c>
      <c r="S534" s="88"/>
      <c r="T534" s="88"/>
      <c r="U534" s="88"/>
      <c r="V534" s="88" t="s">
        <v>1772</v>
      </c>
      <c r="W534" s="92" t="s">
        <v>1476</v>
      </c>
      <c r="X534" s="88"/>
    </row>
    <row r="535" spans="1:24" s="63" customFormat="1" ht="32.25" customHeight="1" x14ac:dyDescent="0.2">
      <c r="A535" s="202">
        <v>574</v>
      </c>
      <c r="B535" s="88" t="s">
        <v>279</v>
      </c>
      <c r="C535" s="89">
        <v>574</v>
      </c>
      <c r="D535" s="88" t="str">
        <f t="shared" si="20"/>
        <v>SUPERMIX574</v>
      </c>
      <c r="E535" s="58" t="s">
        <v>1776</v>
      </c>
      <c r="F535" s="58" t="s">
        <v>1777</v>
      </c>
      <c r="G535" s="88" t="s">
        <v>25</v>
      </c>
      <c r="H535" s="90">
        <v>44746498</v>
      </c>
      <c r="I535" s="90" t="s">
        <v>3787</v>
      </c>
      <c r="J535" s="90" t="s">
        <v>1778</v>
      </c>
      <c r="K535" s="88" t="s">
        <v>281</v>
      </c>
      <c r="L535" s="91">
        <v>42146</v>
      </c>
      <c r="M535" s="91">
        <v>43242</v>
      </c>
      <c r="N535" s="88">
        <f t="shared" ca="1" si="19"/>
        <v>2945</v>
      </c>
      <c r="O535" s="84" t="str">
        <f ca="1">IF(Tabla1[[#This Row],[|]]&gt;=0,"VENCIDA",IF(Tabla1[[#This Row],[|]]&gt;=-14,"POR VENCER","OK"))</f>
        <v>VENCIDA</v>
      </c>
      <c r="P535" s="90" t="s">
        <v>624</v>
      </c>
      <c r="Q535" s="90" t="s">
        <v>312</v>
      </c>
      <c r="R535" s="88" t="s">
        <v>317</v>
      </c>
      <c r="S535" s="88"/>
      <c r="T535" s="88"/>
      <c r="U535" s="88"/>
      <c r="V535" s="88" t="s">
        <v>1772</v>
      </c>
      <c r="W535" s="92" t="s">
        <v>1476</v>
      </c>
      <c r="X535" s="88"/>
    </row>
    <row r="536" spans="1:24" s="63" customFormat="1" ht="32.25" customHeight="1" x14ac:dyDescent="0.2">
      <c r="A536" s="202">
        <v>575</v>
      </c>
      <c r="B536" s="88" t="s">
        <v>279</v>
      </c>
      <c r="C536" s="89">
        <v>575</v>
      </c>
      <c r="D536" s="88" t="str">
        <f t="shared" si="20"/>
        <v>SUPERMIX575</v>
      </c>
      <c r="E536" s="58" t="s">
        <v>1779</v>
      </c>
      <c r="F536" s="58" t="s">
        <v>1780</v>
      </c>
      <c r="G536" s="88" t="s">
        <v>25</v>
      </c>
      <c r="H536" s="90">
        <v>41331964</v>
      </c>
      <c r="I536" s="90" t="s">
        <v>3787</v>
      </c>
      <c r="J536" s="90" t="s">
        <v>1781</v>
      </c>
      <c r="K536" s="88" t="s">
        <v>281</v>
      </c>
      <c r="L536" s="91">
        <v>41991</v>
      </c>
      <c r="M536" s="91">
        <v>43087</v>
      </c>
      <c r="N536" s="88">
        <f t="shared" ca="1" si="19"/>
        <v>3100</v>
      </c>
      <c r="O536" s="84" t="str">
        <f ca="1">IF(Tabla1[[#This Row],[|]]&gt;=0,"VENCIDA",IF(Tabla1[[#This Row],[|]]&gt;=-14,"POR VENCER","OK"))</f>
        <v>VENCIDA</v>
      </c>
      <c r="P536" s="90" t="s">
        <v>823</v>
      </c>
      <c r="Q536" s="90" t="s">
        <v>312</v>
      </c>
      <c r="R536" s="88" t="s">
        <v>317</v>
      </c>
      <c r="S536" s="88"/>
      <c r="T536" s="88"/>
      <c r="U536" s="88"/>
      <c r="V536" s="88" t="s">
        <v>1755</v>
      </c>
      <c r="W536" s="92" t="s">
        <v>1782</v>
      </c>
      <c r="X536" s="88"/>
    </row>
    <row r="537" spans="1:24" s="63" customFormat="1" ht="32.25" customHeight="1" x14ac:dyDescent="0.2">
      <c r="A537" s="202">
        <v>576</v>
      </c>
      <c r="B537" s="88" t="s">
        <v>279</v>
      </c>
      <c r="C537" s="89">
        <v>576</v>
      </c>
      <c r="D537" s="88" t="str">
        <f t="shared" si="20"/>
        <v>SUPERMIX576</v>
      </c>
      <c r="E537" s="58" t="s">
        <v>1783</v>
      </c>
      <c r="F537" s="58" t="s">
        <v>1784</v>
      </c>
      <c r="G537" s="88" t="s">
        <v>25</v>
      </c>
      <c r="H537" s="90">
        <v>41440210</v>
      </c>
      <c r="I537" s="90" t="s">
        <v>3787</v>
      </c>
      <c r="J537" s="90" t="s">
        <v>1785</v>
      </c>
      <c r="K537" s="88" t="s">
        <v>281</v>
      </c>
      <c r="L537" s="91">
        <v>42391</v>
      </c>
      <c r="M537" s="91">
        <v>43487</v>
      </c>
      <c r="N537" s="88">
        <f t="shared" ca="1" si="19"/>
        <v>2700</v>
      </c>
      <c r="O537" s="84" t="str">
        <f ca="1">IF(Tabla1[[#This Row],[|]]&gt;=0,"VENCIDA",IF(Tabla1[[#This Row],[|]]&gt;=-14,"POR VENCER","OK"))</f>
        <v>VENCIDA</v>
      </c>
      <c r="P537" s="90" t="s">
        <v>1059</v>
      </c>
      <c r="Q537" s="90" t="s">
        <v>312</v>
      </c>
      <c r="R537" s="88" t="s">
        <v>317</v>
      </c>
      <c r="S537" s="88"/>
      <c r="T537" s="88"/>
      <c r="U537" s="88"/>
      <c r="V537" s="88" t="s">
        <v>1772</v>
      </c>
      <c r="W537" s="92" t="s">
        <v>1476</v>
      </c>
      <c r="X537" s="88"/>
    </row>
    <row r="538" spans="1:24" s="63" customFormat="1" ht="32.25" customHeight="1" x14ac:dyDescent="0.2">
      <c r="A538" s="202">
        <v>577</v>
      </c>
      <c r="B538" s="88" t="s">
        <v>279</v>
      </c>
      <c r="C538" s="89">
        <v>577</v>
      </c>
      <c r="D538" s="88" t="str">
        <f t="shared" si="20"/>
        <v>SUPERMIX577</v>
      </c>
      <c r="E538" s="58" t="s">
        <v>1791</v>
      </c>
      <c r="F538" s="58" t="s">
        <v>1794</v>
      </c>
      <c r="G538" s="88" t="s">
        <v>25</v>
      </c>
      <c r="H538" s="90">
        <v>42223544</v>
      </c>
      <c r="I538" s="90" t="s">
        <v>3787</v>
      </c>
      <c r="J538" s="90" t="s">
        <v>1792</v>
      </c>
      <c r="K538" s="88" t="s">
        <v>281</v>
      </c>
      <c r="L538" s="91">
        <v>40647</v>
      </c>
      <c r="M538" s="91">
        <v>43933</v>
      </c>
      <c r="N538" s="88">
        <f t="shared" ca="1" si="19"/>
        <v>2254</v>
      </c>
      <c r="O538" s="84" t="str">
        <f ca="1">IF(Tabla1[[#This Row],[|]]&gt;=0,"VENCIDA",IF(Tabla1[[#This Row],[|]]&gt;=-14,"POR VENCER","OK"))</f>
        <v>VENCIDA</v>
      </c>
      <c r="P538" s="90" t="s">
        <v>1059</v>
      </c>
      <c r="Q538" s="90" t="s">
        <v>312</v>
      </c>
      <c r="R538" s="88" t="s">
        <v>317</v>
      </c>
      <c r="S538" s="88"/>
      <c r="T538" s="88"/>
      <c r="U538" s="88"/>
      <c r="V538" s="88" t="s">
        <v>825</v>
      </c>
      <c r="W538" s="92" t="s">
        <v>1793</v>
      </c>
      <c r="X538" s="88"/>
    </row>
    <row r="539" spans="1:24" s="63" customFormat="1" ht="32.25" customHeight="1" x14ac:dyDescent="0.2">
      <c r="A539" s="202">
        <v>578</v>
      </c>
      <c r="B539" s="88" t="s">
        <v>279</v>
      </c>
      <c r="C539" s="89">
        <v>578</v>
      </c>
      <c r="D539" s="88" t="str">
        <f t="shared" si="20"/>
        <v>SUPERMIX578</v>
      </c>
      <c r="E539" s="58" t="s">
        <v>1795</v>
      </c>
      <c r="F539" s="58" t="s">
        <v>1796</v>
      </c>
      <c r="G539" s="88" t="s">
        <v>25</v>
      </c>
      <c r="H539" s="90">
        <v>25017071</v>
      </c>
      <c r="I539" s="90" t="s">
        <v>3787</v>
      </c>
      <c r="J539" s="90" t="s">
        <v>1797</v>
      </c>
      <c r="K539" s="88" t="s">
        <v>281</v>
      </c>
      <c r="L539" s="91">
        <v>38394</v>
      </c>
      <c r="M539" s="91">
        <v>43850</v>
      </c>
      <c r="N539" s="88">
        <f t="shared" ca="1" si="19"/>
        <v>2337</v>
      </c>
      <c r="O539" s="84" t="str">
        <f ca="1">IF(Tabla1[[#This Row],[|]]&gt;=0,"VENCIDA",IF(Tabla1[[#This Row],[|]]&gt;=-14,"POR VENCER","OK"))</f>
        <v>VENCIDA</v>
      </c>
      <c r="P539" s="90" t="s">
        <v>1355</v>
      </c>
      <c r="Q539" s="90" t="s">
        <v>312</v>
      </c>
      <c r="R539" s="88" t="s">
        <v>317</v>
      </c>
      <c r="S539" s="88"/>
      <c r="T539" s="88"/>
      <c r="U539" s="88"/>
      <c r="V539" s="88" t="s">
        <v>1798</v>
      </c>
      <c r="W539" s="92" t="s">
        <v>1799</v>
      </c>
      <c r="X539" s="88"/>
    </row>
    <row r="540" spans="1:24" s="63" customFormat="1" ht="32.25" customHeight="1" x14ac:dyDescent="0.2">
      <c r="A540" s="202">
        <v>579</v>
      </c>
      <c r="B540" s="88" t="s">
        <v>279</v>
      </c>
      <c r="C540" s="89">
        <v>579</v>
      </c>
      <c r="D540" s="88" t="str">
        <f t="shared" si="20"/>
        <v>SUPERMIX579</v>
      </c>
      <c r="E540" s="58" t="s">
        <v>1801</v>
      </c>
      <c r="F540" s="58" t="s">
        <v>1802</v>
      </c>
      <c r="G540" s="88" t="s">
        <v>25</v>
      </c>
      <c r="H540" s="90">
        <v>45555364</v>
      </c>
      <c r="I540" s="90" t="s">
        <v>3787</v>
      </c>
      <c r="J540" s="88" t="s">
        <v>1800</v>
      </c>
      <c r="K540" s="88" t="s">
        <v>281</v>
      </c>
      <c r="L540" s="91">
        <v>41689</v>
      </c>
      <c r="M540" s="91">
        <v>43850</v>
      </c>
      <c r="N540" s="88">
        <f t="shared" ca="1" si="19"/>
        <v>2337</v>
      </c>
      <c r="O540" s="84" t="str">
        <f ca="1">IF(Tabla1[[#This Row],[|]]&gt;=0,"VENCIDA",IF(Tabla1[[#This Row],[|]]&gt;=-14,"POR VENCER","OK"))</f>
        <v>VENCIDA</v>
      </c>
      <c r="P540" s="90" t="s">
        <v>1355</v>
      </c>
      <c r="Q540" s="90" t="s">
        <v>312</v>
      </c>
      <c r="R540" s="88" t="s">
        <v>17</v>
      </c>
      <c r="S540" s="88"/>
      <c r="T540" s="88"/>
      <c r="U540" s="88"/>
      <c r="V540" s="88" t="s">
        <v>1798</v>
      </c>
      <c r="W540" s="92" t="s">
        <v>1799</v>
      </c>
      <c r="X540" s="88"/>
    </row>
    <row r="541" spans="1:24" s="63" customFormat="1" ht="32.25" customHeight="1" x14ac:dyDescent="0.2">
      <c r="A541" s="202">
        <v>580</v>
      </c>
      <c r="B541" s="88" t="s">
        <v>279</v>
      </c>
      <c r="C541" s="89">
        <v>580</v>
      </c>
      <c r="D541" s="88" t="str">
        <f t="shared" si="20"/>
        <v>SUPERMIX580</v>
      </c>
      <c r="E541" s="58" t="s">
        <v>1803</v>
      </c>
      <c r="F541" s="58" t="s">
        <v>1804</v>
      </c>
      <c r="G541" s="88" t="s">
        <v>25</v>
      </c>
      <c r="H541" s="90">
        <v>29326695</v>
      </c>
      <c r="I541" s="90" t="s">
        <v>3787</v>
      </c>
      <c r="J541" s="88" t="s">
        <v>1805</v>
      </c>
      <c r="K541" s="88" t="s">
        <v>281</v>
      </c>
      <c r="L541" s="91">
        <v>33218</v>
      </c>
      <c r="M541" s="91">
        <v>43437</v>
      </c>
      <c r="N541" s="88">
        <f t="shared" ca="1" si="19"/>
        <v>2750</v>
      </c>
      <c r="O541" s="84" t="str">
        <f ca="1">IF(Tabla1[[#This Row],[|]]&gt;=0,"VENCIDA",IF(Tabla1[[#This Row],[|]]&gt;=-14,"POR VENCER","OK"))</f>
        <v>VENCIDA</v>
      </c>
      <c r="P541" s="90" t="s">
        <v>2122</v>
      </c>
      <c r="Q541" s="90" t="s">
        <v>312</v>
      </c>
      <c r="R541" s="88" t="s">
        <v>317</v>
      </c>
      <c r="S541" s="88"/>
      <c r="T541" s="88"/>
      <c r="U541" s="88"/>
      <c r="V541" s="88" t="s">
        <v>2076</v>
      </c>
      <c r="W541" s="92" t="s">
        <v>299</v>
      </c>
      <c r="X541" s="88"/>
    </row>
    <row r="542" spans="1:24" s="63" customFormat="1" ht="32.25" customHeight="1" x14ac:dyDescent="0.2">
      <c r="A542" s="202">
        <v>581</v>
      </c>
      <c r="B542" s="88" t="s">
        <v>279</v>
      </c>
      <c r="C542" s="89">
        <v>581</v>
      </c>
      <c r="D542" s="88" t="str">
        <f t="shared" si="20"/>
        <v>SUPERMIX581</v>
      </c>
      <c r="E542" s="58" t="s">
        <v>1806</v>
      </c>
      <c r="F542" s="58" t="s">
        <v>1807</v>
      </c>
      <c r="G542" s="88" t="s">
        <v>25</v>
      </c>
      <c r="H542" s="90">
        <v>29625639</v>
      </c>
      <c r="I542" s="90" t="s">
        <v>3787</v>
      </c>
      <c r="J542" s="88" t="s">
        <v>1808</v>
      </c>
      <c r="K542" s="88" t="s">
        <v>281</v>
      </c>
      <c r="L542" s="91">
        <v>36686</v>
      </c>
      <c r="M542" s="91">
        <v>43422</v>
      </c>
      <c r="N542" s="88">
        <f t="shared" ca="1" si="19"/>
        <v>2765</v>
      </c>
      <c r="O542" s="84" t="str">
        <f ca="1">IF(Tabla1[[#This Row],[|]]&gt;=0,"VENCIDA",IF(Tabla1[[#This Row],[|]]&gt;=-14,"POR VENCER","OK"))</f>
        <v>VENCIDA</v>
      </c>
      <c r="P542" s="90" t="s">
        <v>1355</v>
      </c>
      <c r="Q542" s="90" t="s">
        <v>312</v>
      </c>
      <c r="R542" s="88" t="s">
        <v>17</v>
      </c>
      <c r="S542" s="88"/>
      <c r="T542" s="88"/>
      <c r="U542" s="88"/>
      <c r="V542" s="88" t="s">
        <v>1798</v>
      </c>
      <c r="W542" s="92" t="s">
        <v>1799</v>
      </c>
      <c r="X542" s="88"/>
    </row>
    <row r="543" spans="1:24" s="43" customFormat="1" ht="32.25" customHeight="1" x14ac:dyDescent="0.2">
      <c r="A543" s="42">
        <v>582</v>
      </c>
      <c r="B543" s="93" t="s">
        <v>279</v>
      </c>
      <c r="C543" s="94">
        <v>582</v>
      </c>
      <c r="D543" s="93" t="str">
        <f t="shared" si="20"/>
        <v>SUPERMIX582</v>
      </c>
      <c r="E543" s="115" t="s">
        <v>1306</v>
      </c>
      <c r="F543" s="115" t="s">
        <v>1303</v>
      </c>
      <c r="G543" s="93" t="s">
        <v>310</v>
      </c>
      <c r="H543" s="95">
        <v>40846360</v>
      </c>
      <c r="I543" s="95" t="s">
        <v>3788</v>
      </c>
      <c r="J543" s="93" t="s">
        <v>1304</v>
      </c>
      <c r="K543" s="93" t="s">
        <v>281</v>
      </c>
      <c r="L543" s="96">
        <v>42284</v>
      </c>
      <c r="M543" s="96">
        <v>46587</v>
      </c>
      <c r="N543" s="93">
        <f t="shared" ca="1" si="19"/>
        <v>-400</v>
      </c>
      <c r="O543" s="84" t="str">
        <f ca="1">IF(Tabla1[[#This Row],[|]]&gt;=0,"VENCIDA",IF(Tabla1[[#This Row],[|]]&gt;=-14,"POR VENCER","OK"))</f>
        <v>OK</v>
      </c>
      <c r="P543" s="95" t="s">
        <v>3280</v>
      </c>
      <c r="Q543" s="95" t="s">
        <v>312</v>
      </c>
      <c r="R543" s="93" t="s">
        <v>2774</v>
      </c>
      <c r="S543" s="93"/>
      <c r="T543" s="93"/>
      <c r="U543" s="93"/>
      <c r="V543" s="93" t="s">
        <v>1809</v>
      </c>
      <c r="W543" s="97" t="s">
        <v>2776</v>
      </c>
      <c r="X543" s="93" t="s">
        <v>2925</v>
      </c>
    </row>
    <row r="544" spans="1:24" s="63" customFormat="1" ht="32.25" customHeight="1" x14ac:dyDescent="0.2">
      <c r="A544" s="202">
        <v>583</v>
      </c>
      <c r="B544" s="88" t="s">
        <v>279</v>
      </c>
      <c r="C544" s="89">
        <v>583</v>
      </c>
      <c r="D544" s="88" t="str">
        <f t="shared" si="20"/>
        <v>SUPERMIX583</v>
      </c>
      <c r="E544" s="58" t="s">
        <v>1810</v>
      </c>
      <c r="F544" s="58" t="s">
        <v>1811</v>
      </c>
      <c r="G544" s="88" t="s">
        <v>25</v>
      </c>
      <c r="H544" s="90">
        <v>42334495</v>
      </c>
      <c r="I544" s="90" t="s">
        <v>3787</v>
      </c>
      <c r="J544" s="88" t="s">
        <v>1812</v>
      </c>
      <c r="K544" s="88" t="s">
        <v>368</v>
      </c>
      <c r="L544" s="91">
        <v>41625</v>
      </c>
      <c r="M544" s="91">
        <v>43668</v>
      </c>
      <c r="N544" s="88">
        <f t="shared" ca="1" si="19"/>
        <v>2519</v>
      </c>
      <c r="O544" s="84" t="str">
        <f ca="1">IF(Tabla1[[#This Row],[|]]&gt;=0,"VENCIDA",IF(Tabla1[[#This Row],[|]]&gt;=-14,"POR VENCER","OK"))</f>
        <v>VENCIDA</v>
      </c>
      <c r="P544" s="90" t="s">
        <v>1059</v>
      </c>
      <c r="Q544" s="90" t="s">
        <v>312</v>
      </c>
      <c r="R544" s="88" t="s">
        <v>317</v>
      </c>
      <c r="S544" s="88"/>
      <c r="T544" s="88"/>
      <c r="U544" s="88"/>
      <c r="V544" s="88" t="s">
        <v>1809</v>
      </c>
      <c r="W544" s="92" t="s">
        <v>1813</v>
      </c>
      <c r="X544" s="88"/>
    </row>
    <row r="545" spans="1:24" s="63" customFormat="1" ht="32.25" customHeight="1" x14ac:dyDescent="0.2">
      <c r="A545" s="202">
        <v>584</v>
      </c>
      <c r="B545" s="88" t="s">
        <v>279</v>
      </c>
      <c r="C545" s="89">
        <v>584</v>
      </c>
      <c r="D545" s="88" t="str">
        <f t="shared" si="20"/>
        <v>SUPERMIX584</v>
      </c>
      <c r="E545" s="58" t="s">
        <v>1816</v>
      </c>
      <c r="F545" s="58" t="s">
        <v>1817</v>
      </c>
      <c r="G545" s="88" t="s">
        <v>25</v>
      </c>
      <c r="H545" s="90">
        <v>41727358</v>
      </c>
      <c r="I545" s="90" t="s">
        <v>3787</v>
      </c>
      <c r="J545" s="90" t="s">
        <v>1829</v>
      </c>
      <c r="K545" s="88" t="s">
        <v>281</v>
      </c>
      <c r="L545" s="91">
        <v>41522</v>
      </c>
      <c r="M545" s="91">
        <v>43728</v>
      </c>
      <c r="N545" s="88">
        <f t="shared" ca="1" si="19"/>
        <v>2459</v>
      </c>
      <c r="O545" s="84" t="str">
        <f ca="1">IF(Tabla1[[#This Row],[|]]&gt;=0,"VENCIDA",IF(Tabla1[[#This Row],[|]]&gt;=-14,"POR VENCER","OK"))</f>
        <v>VENCIDA</v>
      </c>
      <c r="P545" s="90" t="s">
        <v>1825</v>
      </c>
      <c r="Q545" s="90" t="s">
        <v>312</v>
      </c>
      <c r="R545" s="88" t="s">
        <v>317</v>
      </c>
      <c r="S545" s="88"/>
      <c r="T545" s="88"/>
      <c r="U545" s="88"/>
      <c r="V545" s="88" t="s">
        <v>1826</v>
      </c>
      <c r="W545" s="92" t="s">
        <v>1112</v>
      </c>
      <c r="X545" s="88"/>
    </row>
    <row r="546" spans="1:24" s="63" customFormat="1" ht="32.25" customHeight="1" x14ac:dyDescent="0.2">
      <c r="A546" s="202">
        <v>585</v>
      </c>
      <c r="B546" s="88" t="s">
        <v>279</v>
      </c>
      <c r="C546" s="89">
        <v>585</v>
      </c>
      <c r="D546" s="88" t="str">
        <f t="shared" si="20"/>
        <v>SUPERMIX585</v>
      </c>
      <c r="E546" s="58" t="s">
        <v>1818</v>
      </c>
      <c r="F546" s="58" t="s">
        <v>1819</v>
      </c>
      <c r="G546" s="88" t="s">
        <v>25</v>
      </c>
      <c r="H546" s="90">
        <v>29723337</v>
      </c>
      <c r="I546" s="90" t="s">
        <v>3787</v>
      </c>
      <c r="J546" s="90" t="s">
        <v>1828</v>
      </c>
      <c r="K546" s="88" t="s">
        <v>281</v>
      </c>
      <c r="L546" s="91">
        <v>38624</v>
      </c>
      <c r="M546" s="91">
        <v>43024</v>
      </c>
      <c r="N546" s="88">
        <f t="shared" ca="1" si="19"/>
        <v>3163</v>
      </c>
      <c r="O546" s="84" t="str">
        <f ca="1">IF(Tabla1[[#This Row],[|]]&gt;=0,"VENCIDA",IF(Tabla1[[#This Row],[|]]&gt;=-14,"POR VENCER","OK"))</f>
        <v>VENCIDA</v>
      </c>
      <c r="P546" s="90" t="s">
        <v>624</v>
      </c>
      <c r="Q546" s="90" t="s">
        <v>312</v>
      </c>
      <c r="R546" s="88" t="s">
        <v>17</v>
      </c>
      <c r="S546" s="88"/>
      <c r="T546" s="88"/>
      <c r="U546" s="88"/>
      <c r="V546" s="88" t="s">
        <v>1826</v>
      </c>
      <c r="W546" s="92" t="s">
        <v>299</v>
      </c>
      <c r="X546" s="88"/>
    </row>
    <row r="547" spans="1:24" s="45" customFormat="1" ht="32.25" customHeight="1" x14ac:dyDescent="0.2">
      <c r="A547" s="212">
        <v>586</v>
      </c>
      <c r="B547" s="121" t="s">
        <v>279</v>
      </c>
      <c r="C547" s="139">
        <v>586</v>
      </c>
      <c r="D547" s="121" t="str">
        <f t="shared" si="20"/>
        <v>SUPERMIX586</v>
      </c>
      <c r="E547" s="140" t="s">
        <v>1820</v>
      </c>
      <c r="F547" s="140" t="s">
        <v>1821</v>
      </c>
      <c r="G547" s="121" t="s">
        <v>25</v>
      </c>
      <c r="H547" s="120">
        <v>42900937</v>
      </c>
      <c r="I547" s="120" t="s">
        <v>3788</v>
      </c>
      <c r="J547" s="120" t="s">
        <v>1827</v>
      </c>
      <c r="K547" s="121" t="s">
        <v>281</v>
      </c>
      <c r="L547" s="141">
        <v>41725</v>
      </c>
      <c r="M547" s="141">
        <v>47127</v>
      </c>
      <c r="N547" s="121">
        <f t="shared" ca="1" si="19"/>
        <v>-940</v>
      </c>
      <c r="O547" s="142" t="str">
        <f ca="1">IF(Tabla1[[#This Row],[|]]&gt;=0,"VENCIDA",IF(Tabla1[[#This Row],[|]]&gt;=-14,"POR VENCER","OK"))</f>
        <v>OK</v>
      </c>
      <c r="P547" s="120" t="s">
        <v>3282</v>
      </c>
      <c r="Q547" s="120" t="s">
        <v>312</v>
      </c>
      <c r="R547" s="121" t="s">
        <v>317</v>
      </c>
      <c r="S547" s="88"/>
      <c r="T547" s="88"/>
      <c r="U547" s="88"/>
      <c r="V547" s="121" t="s">
        <v>1826</v>
      </c>
      <c r="W547" s="122" t="s">
        <v>4195</v>
      </c>
      <c r="X547" s="121" t="s">
        <v>640</v>
      </c>
    </row>
    <row r="548" spans="1:24" s="63" customFormat="1" ht="32.25" customHeight="1" x14ac:dyDescent="0.2">
      <c r="A548" s="202">
        <v>587</v>
      </c>
      <c r="B548" s="88" t="s">
        <v>279</v>
      </c>
      <c r="C548" s="89">
        <v>587</v>
      </c>
      <c r="D548" s="88" t="str">
        <f t="shared" si="20"/>
        <v>SUPERMIX587</v>
      </c>
      <c r="E548" s="58" t="s">
        <v>1822</v>
      </c>
      <c r="F548" s="58" t="s">
        <v>1823</v>
      </c>
      <c r="G548" s="88" t="s">
        <v>2825</v>
      </c>
      <c r="H548" s="90">
        <v>41504518</v>
      </c>
      <c r="I548" s="90" t="s">
        <v>3787</v>
      </c>
      <c r="J548" s="90" t="s">
        <v>1824</v>
      </c>
      <c r="K548" s="88" t="s">
        <v>3661</v>
      </c>
      <c r="L548" s="91">
        <v>40302</v>
      </c>
      <c r="M548" s="91">
        <v>46471</v>
      </c>
      <c r="N548" s="88">
        <f t="shared" ca="1" si="19"/>
        <v>-284</v>
      </c>
      <c r="O548" s="84" t="str">
        <f ca="1">IF(Tabla1[[#This Row],[|]]&gt;=0,"VENCIDA",IF(Tabla1[[#This Row],[|]]&gt;=-14,"POR VENCER","OK"))</f>
        <v>OK</v>
      </c>
      <c r="P548" s="90" t="s">
        <v>3586</v>
      </c>
      <c r="Q548" s="90" t="s">
        <v>312</v>
      </c>
      <c r="R548" s="88" t="s">
        <v>17</v>
      </c>
      <c r="S548" s="88"/>
      <c r="T548" s="88"/>
      <c r="U548" s="88"/>
      <c r="V548" s="88" t="s">
        <v>1826</v>
      </c>
      <c r="W548" s="92" t="s">
        <v>2772</v>
      </c>
      <c r="X548" s="88" t="s">
        <v>624</v>
      </c>
    </row>
    <row r="549" spans="1:24" s="59" customFormat="1" ht="32.25" customHeight="1" x14ac:dyDescent="0.2">
      <c r="A549" s="200">
        <v>588</v>
      </c>
      <c r="B549" s="61" t="s">
        <v>279</v>
      </c>
      <c r="C549" s="87">
        <v>588</v>
      </c>
      <c r="D549" s="61" t="str">
        <f t="shared" si="20"/>
        <v>SUPERMIX588</v>
      </c>
      <c r="E549" s="82" t="s">
        <v>1830</v>
      </c>
      <c r="F549" s="82" t="s">
        <v>1831</v>
      </c>
      <c r="G549" s="61" t="s">
        <v>341</v>
      </c>
      <c r="H549" s="60">
        <v>41202645</v>
      </c>
      <c r="I549" s="60" t="s">
        <v>3787</v>
      </c>
      <c r="J549" s="60" t="s">
        <v>1832</v>
      </c>
      <c r="K549" s="61" t="s">
        <v>368</v>
      </c>
      <c r="L549" s="62">
        <v>41991</v>
      </c>
      <c r="M549" s="62">
        <v>44186</v>
      </c>
      <c r="N549" s="61">
        <f t="shared" ca="1" si="19"/>
        <v>2001</v>
      </c>
      <c r="O549" s="84" t="str">
        <f ca="1">IF(Tabla1[[#This Row],[|]]&gt;=0,"VENCIDA",IF(Tabla1[[#This Row],[|]]&gt;=-14,"POR VENCER","OK"))</f>
        <v>VENCIDA</v>
      </c>
      <c r="P549" s="60" t="s">
        <v>824</v>
      </c>
      <c r="Q549" s="60" t="s">
        <v>312</v>
      </c>
      <c r="R549" s="61" t="s">
        <v>317</v>
      </c>
      <c r="S549" s="61"/>
      <c r="T549" s="61"/>
      <c r="U549" s="61"/>
      <c r="V549" s="61" t="s">
        <v>811</v>
      </c>
      <c r="W549" s="86" t="s">
        <v>525</v>
      </c>
      <c r="X549" s="61"/>
    </row>
    <row r="550" spans="1:24" s="63" customFormat="1" ht="32.25" customHeight="1" x14ac:dyDescent="0.2">
      <c r="A550" s="202">
        <v>589</v>
      </c>
      <c r="B550" s="88" t="s">
        <v>279</v>
      </c>
      <c r="C550" s="89">
        <v>589</v>
      </c>
      <c r="D550" s="88" t="str">
        <f t="shared" si="20"/>
        <v>SUPERMIX589</v>
      </c>
      <c r="E550" s="58" t="s">
        <v>2008</v>
      </c>
      <c r="F550" s="58" t="s">
        <v>1835</v>
      </c>
      <c r="G550" s="88" t="s">
        <v>25</v>
      </c>
      <c r="H550" s="90">
        <v>41669592</v>
      </c>
      <c r="I550" s="90" t="s">
        <v>3787</v>
      </c>
      <c r="J550" s="88" t="s">
        <v>1836</v>
      </c>
      <c r="K550" s="88" t="s">
        <v>281</v>
      </c>
      <c r="L550" s="91">
        <v>41376</v>
      </c>
      <c r="M550" s="91">
        <v>43553</v>
      </c>
      <c r="N550" s="88">
        <f t="shared" ca="1" si="19"/>
        <v>2634</v>
      </c>
      <c r="O550" s="84" t="str">
        <f ca="1">IF(Tabla1[[#This Row],[|]]&gt;=0,"VENCIDA",IF(Tabla1[[#This Row],[|]]&gt;=-14,"POR VENCER","OK"))</f>
        <v>VENCIDA</v>
      </c>
      <c r="P550" s="90" t="s">
        <v>624</v>
      </c>
      <c r="Q550" s="90" t="s">
        <v>312</v>
      </c>
      <c r="R550" s="88" t="s">
        <v>317</v>
      </c>
      <c r="S550" s="88"/>
      <c r="T550" s="88"/>
      <c r="U550" s="88"/>
      <c r="V550" s="88" t="s">
        <v>1826</v>
      </c>
      <c r="W550" s="92" t="s">
        <v>299</v>
      </c>
      <c r="X550" s="88"/>
    </row>
    <row r="551" spans="1:24" s="63" customFormat="1" ht="32.25" customHeight="1" x14ac:dyDescent="0.2">
      <c r="A551" s="202">
        <v>590</v>
      </c>
      <c r="B551" s="88" t="s">
        <v>279</v>
      </c>
      <c r="C551" s="89">
        <v>590</v>
      </c>
      <c r="D551" s="88" t="str">
        <f t="shared" si="20"/>
        <v>SUPERMIX590</v>
      </c>
      <c r="E551" s="58" t="s">
        <v>1837</v>
      </c>
      <c r="F551" s="58" t="s">
        <v>1838</v>
      </c>
      <c r="G551" s="88" t="s">
        <v>25</v>
      </c>
      <c r="H551" s="90">
        <v>29644990</v>
      </c>
      <c r="I551" s="90" t="s">
        <v>3787</v>
      </c>
      <c r="J551" s="88" t="s">
        <v>1839</v>
      </c>
      <c r="K551" s="88" t="s">
        <v>343</v>
      </c>
      <c r="L551" s="91">
        <v>40288</v>
      </c>
      <c r="M551" s="91">
        <v>43561</v>
      </c>
      <c r="N551" s="88">
        <f t="shared" ca="1" si="19"/>
        <v>2626</v>
      </c>
      <c r="O551" s="84" t="str">
        <f ca="1">IF(Tabla1[[#This Row],[|]]&gt;=0,"VENCIDA",IF(Tabla1[[#This Row],[|]]&gt;=-14,"POR VENCER","OK"))</f>
        <v>VENCIDA</v>
      </c>
      <c r="P551" s="90" t="s">
        <v>1937</v>
      </c>
      <c r="Q551" s="90" t="s">
        <v>312</v>
      </c>
      <c r="R551" s="88" t="s">
        <v>17</v>
      </c>
      <c r="S551" s="88"/>
      <c r="T551" s="88"/>
      <c r="U551" s="88"/>
      <c r="V551" s="88" t="s">
        <v>1826</v>
      </c>
      <c r="W551" s="92" t="s">
        <v>299</v>
      </c>
      <c r="X551" s="88"/>
    </row>
    <row r="552" spans="1:24" s="63" customFormat="1" ht="32.25" customHeight="1" x14ac:dyDescent="0.2">
      <c r="A552" s="202">
        <v>591</v>
      </c>
      <c r="B552" s="88" t="s">
        <v>279</v>
      </c>
      <c r="C552" s="89">
        <v>591</v>
      </c>
      <c r="D552" s="88" t="str">
        <f t="shared" si="20"/>
        <v>SUPERMIX591</v>
      </c>
      <c r="E552" s="58" t="s">
        <v>1840</v>
      </c>
      <c r="F552" s="58" t="s">
        <v>1841</v>
      </c>
      <c r="G552" s="88" t="s">
        <v>25</v>
      </c>
      <c r="H552" s="90">
        <v>29611573</v>
      </c>
      <c r="I552" s="90" t="s">
        <v>3787</v>
      </c>
      <c r="J552" s="88" t="s">
        <v>1842</v>
      </c>
      <c r="K552" s="88" t="s">
        <v>281</v>
      </c>
      <c r="L552" s="91">
        <v>37189</v>
      </c>
      <c r="M552" s="91">
        <v>43638</v>
      </c>
      <c r="N552" s="88">
        <f t="shared" ca="1" si="19"/>
        <v>2549</v>
      </c>
      <c r="O552" s="84" t="str">
        <f ca="1">IF(Tabla1[[#This Row],[|]]&gt;=0,"VENCIDA",IF(Tabla1[[#This Row],[|]]&gt;=-14,"POR VENCER","OK"))</f>
        <v>VENCIDA</v>
      </c>
      <c r="P552" s="90" t="s">
        <v>624</v>
      </c>
      <c r="Q552" s="90" t="s">
        <v>312</v>
      </c>
      <c r="R552" s="88" t="s">
        <v>17</v>
      </c>
      <c r="S552" s="88"/>
      <c r="T552" s="88"/>
      <c r="U552" s="88"/>
      <c r="V552" s="88" t="s">
        <v>1826</v>
      </c>
      <c r="W552" s="92" t="s">
        <v>299</v>
      </c>
      <c r="X552" s="88"/>
    </row>
    <row r="553" spans="1:24" s="63" customFormat="1" ht="32.25" customHeight="1" x14ac:dyDescent="0.2">
      <c r="A553" s="202">
        <v>592</v>
      </c>
      <c r="B553" s="88" t="s">
        <v>279</v>
      </c>
      <c r="C553" s="89">
        <v>592</v>
      </c>
      <c r="D553" s="88" t="str">
        <f t="shared" si="20"/>
        <v>SUPERMIX592</v>
      </c>
      <c r="E553" s="58" t="s">
        <v>1843</v>
      </c>
      <c r="F553" s="58" t="s">
        <v>1844</v>
      </c>
      <c r="G553" s="88" t="s">
        <v>310</v>
      </c>
      <c r="H553" s="90">
        <v>3486523</v>
      </c>
      <c r="I553" s="90" t="s">
        <v>3787</v>
      </c>
      <c r="J553" s="88" t="s">
        <v>1845</v>
      </c>
      <c r="K553" s="88" t="s">
        <v>281</v>
      </c>
      <c r="L553" s="91">
        <v>38272</v>
      </c>
      <c r="M553" s="91">
        <v>43818</v>
      </c>
      <c r="N553" s="88">
        <f t="shared" ca="1" si="19"/>
        <v>2369</v>
      </c>
      <c r="O553" s="84" t="str">
        <f ca="1">IF(Tabla1[[#This Row],[|]]&gt;=0,"VENCIDA",IF(Tabla1[[#This Row],[|]]&gt;=-14,"POR VENCER","OK"))</f>
        <v>VENCIDA</v>
      </c>
      <c r="P553" s="90" t="s">
        <v>597</v>
      </c>
      <c r="Q553" s="90" t="s">
        <v>312</v>
      </c>
      <c r="R553" s="88"/>
      <c r="S553" s="88"/>
      <c r="T553" s="88"/>
      <c r="U553" s="88"/>
      <c r="V553" s="88" t="s">
        <v>1846</v>
      </c>
      <c r="W553" s="92" t="s">
        <v>1112</v>
      </c>
      <c r="X553" s="88"/>
    </row>
    <row r="554" spans="1:24" s="63" customFormat="1" ht="32.25" customHeight="1" x14ac:dyDescent="0.2">
      <c r="A554" s="202">
        <v>593</v>
      </c>
      <c r="B554" s="88" t="s">
        <v>279</v>
      </c>
      <c r="C554" s="89">
        <v>593</v>
      </c>
      <c r="D554" s="88" t="str">
        <f t="shared" si="20"/>
        <v>SUPERMIX593</v>
      </c>
      <c r="E554" s="58" t="s">
        <v>1847</v>
      </c>
      <c r="F554" s="58" t="s">
        <v>1848</v>
      </c>
      <c r="G554" s="88" t="s">
        <v>25</v>
      </c>
      <c r="H554" s="90">
        <v>40550778</v>
      </c>
      <c r="I554" s="90" t="s">
        <v>3787</v>
      </c>
      <c r="J554" s="88" t="s">
        <v>1845</v>
      </c>
      <c r="K554" s="88" t="s">
        <v>281</v>
      </c>
      <c r="L554" s="91">
        <v>41935</v>
      </c>
      <c r="M554" s="91">
        <v>43031</v>
      </c>
      <c r="N554" s="88">
        <f t="shared" ca="1" si="19"/>
        <v>3156</v>
      </c>
      <c r="O554" s="84" t="str">
        <f ca="1">IF(Tabla1[[#This Row],[|]]&gt;=0,"VENCIDA",IF(Tabla1[[#This Row],[|]]&gt;=-14,"POR VENCER","OK"))</f>
        <v>VENCIDA</v>
      </c>
      <c r="P554" s="90" t="s">
        <v>597</v>
      </c>
      <c r="Q554" s="90" t="s">
        <v>312</v>
      </c>
      <c r="R554" s="88"/>
      <c r="S554" s="88"/>
      <c r="T554" s="88"/>
      <c r="U554" s="88"/>
      <c r="V554" s="88" t="s">
        <v>1846</v>
      </c>
      <c r="W554" s="92" t="s">
        <v>1112</v>
      </c>
      <c r="X554" s="88"/>
    </row>
    <row r="555" spans="1:24" s="63" customFormat="1" ht="32.25" customHeight="1" x14ac:dyDescent="0.2">
      <c r="A555" s="202">
        <v>594</v>
      </c>
      <c r="B555" s="88" t="s">
        <v>279</v>
      </c>
      <c r="C555" s="89">
        <v>594</v>
      </c>
      <c r="D555" s="88" t="str">
        <f t="shared" si="20"/>
        <v>SUPERMIX594</v>
      </c>
      <c r="E555" s="58" t="s">
        <v>1849</v>
      </c>
      <c r="F555" s="58" t="s">
        <v>1850</v>
      </c>
      <c r="G555" s="88" t="s">
        <v>25</v>
      </c>
      <c r="H555" s="90">
        <v>40404824</v>
      </c>
      <c r="I555" s="90" t="s">
        <v>3787</v>
      </c>
      <c r="J555" s="90" t="s">
        <v>1851</v>
      </c>
      <c r="K555" s="88" t="s">
        <v>281</v>
      </c>
      <c r="L555" s="91">
        <v>42542</v>
      </c>
      <c r="M555" s="91">
        <v>43637</v>
      </c>
      <c r="N555" s="88">
        <f t="shared" ca="1" si="19"/>
        <v>2550</v>
      </c>
      <c r="O555" s="84" t="str">
        <f ca="1">IF(Tabla1[[#This Row],[|]]&gt;=0,"VENCIDA",IF(Tabla1[[#This Row],[|]]&gt;=-14,"POR VENCER","OK"))</f>
        <v>VENCIDA</v>
      </c>
      <c r="P555" s="90" t="s">
        <v>597</v>
      </c>
      <c r="Q555" s="90" t="s">
        <v>312</v>
      </c>
      <c r="R555" s="88"/>
      <c r="S555" s="88"/>
      <c r="T555" s="88"/>
      <c r="U555" s="88"/>
      <c r="V555" s="88" t="s">
        <v>1846</v>
      </c>
      <c r="W555" s="92" t="s">
        <v>1112</v>
      </c>
      <c r="X555" s="88"/>
    </row>
    <row r="556" spans="1:24" s="43" customFormat="1" ht="32.25" customHeight="1" x14ac:dyDescent="0.2">
      <c r="A556" s="42">
        <v>595</v>
      </c>
      <c r="B556" s="93" t="s">
        <v>279</v>
      </c>
      <c r="C556" s="94">
        <v>595</v>
      </c>
      <c r="D556" s="93" t="str">
        <f t="shared" si="20"/>
        <v>SUPERMIX595</v>
      </c>
      <c r="E556" s="115" t="s">
        <v>1852</v>
      </c>
      <c r="F556" s="115" t="s">
        <v>1853</v>
      </c>
      <c r="G556" s="93" t="s">
        <v>2825</v>
      </c>
      <c r="H556" s="95">
        <v>72467803</v>
      </c>
      <c r="I556" s="95" t="s">
        <v>3788</v>
      </c>
      <c r="J556" s="95" t="s">
        <v>1854</v>
      </c>
      <c r="K556" s="93" t="s">
        <v>3142</v>
      </c>
      <c r="L556" s="96">
        <v>41999</v>
      </c>
      <c r="M556" s="96">
        <v>47802</v>
      </c>
      <c r="N556" s="93">
        <f t="shared" ca="1" si="19"/>
        <v>-1615</v>
      </c>
      <c r="O556" s="84" t="str">
        <f ca="1">IF(Tabla1[[#This Row],[|]]&gt;=0,"VENCIDA",IF(Tabla1[[#This Row],[|]]&gt;=-14,"POR VENCER","OK"))</f>
        <v>OK</v>
      </c>
      <c r="P556" s="95" t="s">
        <v>2827</v>
      </c>
      <c r="Q556" s="95" t="s">
        <v>312</v>
      </c>
      <c r="R556" s="93" t="s">
        <v>317</v>
      </c>
      <c r="S556" s="93"/>
      <c r="T556" s="93"/>
      <c r="U556" s="93"/>
      <c r="V556" s="93" t="s">
        <v>831</v>
      </c>
      <c r="W556" s="97" t="s">
        <v>832</v>
      </c>
      <c r="X556" s="93"/>
    </row>
    <row r="557" spans="1:24" s="43" customFormat="1" ht="32.25" customHeight="1" x14ac:dyDescent="0.2">
      <c r="A557" s="42">
        <v>596</v>
      </c>
      <c r="B557" s="93" t="s">
        <v>279</v>
      </c>
      <c r="C557" s="94">
        <v>596</v>
      </c>
      <c r="D557" s="93" t="str">
        <f t="shared" si="20"/>
        <v>SUPERMIX596</v>
      </c>
      <c r="E557" s="115" t="s">
        <v>1855</v>
      </c>
      <c r="F557" s="115" t="s">
        <v>532</v>
      </c>
      <c r="G557" s="93" t="s">
        <v>25</v>
      </c>
      <c r="H557" s="95">
        <v>10577127</v>
      </c>
      <c r="I557" s="95" t="s">
        <v>3788</v>
      </c>
      <c r="J557" s="95" t="s">
        <v>1856</v>
      </c>
      <c r="K557" s="93" t="s">
        <v>281</v>
      </c>
      <c r="L557" s="96">
        <v>42257</v>
      </c>
      <c r="M557" s="117">
        <v>47538</v>
      </c>
      <c r="N557" s="93">
        <f t="shared" ca="1" si="19"/>
        <v>-1351</v>
      </c>
      <c r="O557" s="84" t="str">
        <f ca="1">IF(Tabla1[[#This Row],[|]]&gt;=0,"VENCIDA",IF(Tabla1[[#This Row],[|]]&gt;=-14,"POR VENCER","OK"))</f>
        <v>OK</v>
      </c>
      <c r="P557" s="95" t="s">
        <v>3807</v>
      </c>
      <c r="Q557" s="95" t="s">
        <v>312</v>
      </c>
      <c r="R557" s="93" t="s">
        <v>317</v>
      </c>
      <c r="S557" s="93"/>
      <c r="T557" s="93"/>
      <c r="U557" s="93"/>
      <c r="V557" s="93" t="s">
        <v>282</v>
      </c>
      <c r="W557" s="97" t="s">
        <v>2795</v>
      </c>
      <c r="X557" s="93" t="s">
        <v>2796</v>
      </c>
    </row>
    <row r="558" spans="1:24" s="63" customFormat="1" ht="32.25" customHeight="1" x14ac:dyDescent="0.2">
      <c r="A558" s="202">
        <v>597</v>
      </c>
      <c r="B558" s="88" t="s">
        <v>279</v>
      </c>
      <c r="C558" s="89">
        <v>597</v>
      </c>
      <c r="D558" s="88" t="str">
        <f t="shared" si="20"/>
        <v>SUPERMIX597</v>
      </c>
      <c r="E558" s="58" t="s">
        <v>1857</v>
      </c>
      <c r="F558" s="58" t="s">
        <v>255</v>
      </c>
      <c r="G558" s="88" t="s">
        <v>25</v>
      </c>
      <c r="H558" s="90">
        <v>45332441</v>
      </c>
      <c r="I558" s="90" t="s">
        <v>3787</v>
      </c>
      <c r="J558" s="90" t="s">
        <v>1858</v>
      </c>
      <c r="K558" s="88" t="s">
        <v>368</v>
      </c>
      <c r="L558" s="91">
        <v>42304</v>
      </c>
      <c r="M558" s="91">
        <v>43400</v>
      </c>
      <c r="N558" s="88">
        <f t="shared" ca="1" si="19"/>
        <v>2787</v>
      </c>
      <c r="O558" s="84" t="str">
        <f ca="1">IF(Tabla1[[#This Row],[|]]&gt;=0,"VENCIDA",IF(Tabla1[[#This Row],[|]]&gt;=-14,"POR VENCER","OK"))</f>
        <v>VENCIDA</v>
      </c>
      <c r="P558" s="90" t="s">
        <v>823</v>
      </c>
      <c r="Q558" s="90" t="s">
        <v>312</v>
      </c>
      <c r="R558" s="88" t="s">
        <v>317</v>
      </c>
      <c r="S558" s="88"/>
      <c r="T558" s="88"/>
      <c r="U558" s="88"/>
      <c r="V558" s="88" t="s">
        <v>329</v>
      </c>
      <c r="W558" s="92" t="s">
        <v>525</v>
      </c>
      <c r="X558" s="88"/>
    </row>
    <row r="559" spans="1:24" s="43" customFormat="1" ht="32.25" customHeight="1" x14ac:dyDescent="0.2">
      <c r="A559" s="42">
        <v>598</v>
      </c>
      <c r="B559" s="93" t="s">
        <v>279</v>
      </c>
      <c r="C559" s="94">
        <v>598</v>
      </c>
      <c r="D559" s="93" t="str">
        <f t="shared" si="20"/>
        <v>SUPERMIX598</v>
      </c>
      <c r="E559" s="115" t="s">
        <v>1117</v>
      </c>
      <c r="F559" s="115" t="s">
        <v>1118</v>
      </c>
      <c r="G559" s="93" t="s">
        <v>25</v>
      </c>
      <c r="H559" s="95">
        <v>29626803</v>
      </c>
      <c r="I559" s="95" t="s">
        <v>3788</v>
      </c>
      <c r="J559" s="95" t="s">
        <v>1119</v>
      </c>
      <c r="K559" s="93" t="s">
        <v>281</v>
      </c>
      <c r="L559" s="96">
        <v>42115</v>
      </c>
      <c r="M559" s="96">
        <v>46391</v>
      </c>
      <c r="N559" s="93">
        <f t="shared" ca="1" si="19"/>
        <v>-204</v>
      </c>
      <c r="O559" s="84" t="str">
        <f ca="1">IF(Tabla1[[#This Row],[|]]&gt;=0,"VENCIDA",IF(Tabla1[[#This Row],[|]]&gt;=-14,"POR VENCER","OK"))</f>
        <v>OK</v>
      </c>
      <c r="P559" s="95" t="s">
        <v>3530</v>
      </c>
      <c r="Q559" s="95" t="s">
        <v>312</v>
      </c>
      <c r="R559" s="93" t="s">
        <v>317</v>
      </c>
      <c r="S559" s="93"/>
      <c r="T559" s="93"/>
      <c r="U559" s="93"/>
      <c r="V559" s="93" t="s">
        <v>329</v>
      </c>
      <c r="W559" s="97" t="s">
        <v>525</v>
      </c>
      <c r="X559" s="93" t="s">
        <v>2788</v>
      </c>
    </row>
    <row r="560" spans="1:24" s="63" customFormat="1" ht="32.25" customHeight="1" x14ac:dyDescent="0.2">
      <c r="A560" s="202">
        <v>599</v>
      </c>
      <c r="B560" s="88" t="s">
        <v>279</v>
      </c>
      <c r="C560" s="89">
        <v>599</v>
      </c>
      <c r="D560" s="88" t="str">
        <f t="shared" si="20"/>
        <v>SUPERMIX599</v>
      </c>
      <c r="E560" s="58" t="s">
        <v>1859</v>
      </c>
      <c r="F560" s="58" t="s">
        <v>1860</v>
      </c>
      <c r="G560" s="88" t="s">
        <v>310</v>
      </c>
      <c r="H560" s="90">
        <v>29553129</v>
      </c>
      <c r="I560" s="90" t="s">
        <v>3787</v>
      </c>
      <c r="J560" s="88" t="s">
        <v>1913</v>
      </c>
      <c r="K560" s="88" t="s">
        <v>3142</v>
      </c>
      <c r="L560" s="91">
        <v>36699</v>
      </c>
      <c r="M560" s="91">
        <v>45527</v>
      </c>
      <c r="N560" s="88">
        <f t="shared" ca="1" si="19"/>
        <v>660</v>
      </c>
      <c r="O560" s="84" t="str">
        <f ca="1">IF(Tabla1[[#This Row],[|]]&gt;=0,"VENCIDA",IF(Tabla1[[#This Row],[|]]&gt;=-14,"POR VENCER","OK"))</f>
        <v>VENCIDA</v>
      </c>
      <c r="P560" s="90" t="s">
        <v>824</v>
      </c>
      <c r="Q560" s="90" t="s">
        <v>312</v>
      </c>
      <c r="R560" s="88" t="s">
        <v>317</v>
      </c>
      <c r="S560" s="88"/>
      <c r="T560" s="88"/>
      <c r="U560" s="88"/>
      <c r="V560" s="88" t="s">
        <v>1772</v>
      </c>
      <c r="W560" s="92" t="s">
        <v>299</v>
      </c>
      <c r="X560" s="88"/>
    </row>
    <row r="561" spans="1:24" s="63" customFormat="1" ht="32.25" customHeight="1" x14ac:dyDescent="0.2">
      <c r="A561" s="202">
        <v>600</v>
      </c>
      <c r="B561" s="88" t="s">
        <v>279</v>
      </c>
      <c r="C561" s="89">
        <v>600</v>
      </c>
      <c r="D561" s="88" t="str">
        <f t="shared" si="20"/>
        <v>SUPERMIX600</v>
      </c>
      <c r="E561" s="58" t="s">
        <v>1861</v>
      </c>
      <c r="F561" s="58" t="s">
        <v>176</v>
      </c>
      <c r="G561" s="88" t="s">
        <v>310</v>
      </c>
      <c r="H561" s="90">
        <v>41239965</v>
      </c>
      <c r="I561" s="90" t="s">
        <v>3787</v>
      </c>
      <c r="J561" s="90" t="s">
        <v>1862</v>
      </c>
      <c r="K561" s="88" t="s">
        <v>3443</v>
      </c>
      <c r="L561" s="91">
        <v>42164</v>
      </c>
      <c r="M561" s="138">
        <v>46229</v>
      </c>
      <c r="N561" s="88">
        <f t="shared" ca="1" si="19"/>
        <v>-42</v>
      </c>
      <c r="O561" s="84" t="str">
        <f ca="1">IF(Tabla1[[#This Row],[|]]&gt;=0,"VENCIDA",IF(Tabla1[[#This Row],[|]]&gt;=-14,"POR VENCER","OK"))</f>
        <v>OK</v>
      </c>
      <c r="P561" s="90" t="s">
        <v>624</v>
      </c>
      <c r="Q561" s="90" t="s">
        <v>312</v>
      </c>
      <c r="R561" s="88" t="s">
        <v>317</v>
      </c>
      <c r="S561" s="88"/>
      <c r="T561" s="88"/>
      <c r="U561" s="88"/>
      <c r="V561" s="88" t="s">
        <v>1939</v>
      </c>
      <c r="W561" s="92" t="s">
        <v>3515</v>
      </c>
      <c r="X561" s="88" t="s">
        <v>624</v>
      </c>
    </row>
    <row r="562" spans="1:24" s="43" customFormat="1" ht="32.25" customHeight="1" x14ac:dyDescent="0.2">
      <c r="A562" s="42">
        <v>601</v>
      </c>
      <c r="B562" s="93" t="s">
        <v>279</v>
      </c>
      <c r="C562" s="94">
        <v>601</v>
      </c>
      <c r="D562" s="93" t="str">
        <f t="shared" si="20"/>
        <v>SUPERMIX601</v>
      </c>
      <c r="E562" s="115" t="s">
        <v>1864</v>
      </c>
      <c r="F562" s="115" t="s">
        <v>1865</v>
      </c>
      <c r="G562" s="93" t="s">
        <v>25</v>
      </c>
      <c r="H562" s="95">
        <v>29533201</v>
      </c>
      <c r="I562" s="95" t="s">
        <v>3788</v>
      </c>
      <c r="J562" s="93" t="s">
        <v>1866</v>
      </c>
      <c r="K562" s="93" t="s">
        <v>1834</v>
      </c>
      <c r="L562" s="96">
        <v>41264</v>
      </c>
      <c r="M562" s="96">
        <v>46414</v>
      </c>
      <c r="N562" s="93">
        <f t="shared" ca="1" si="19"/>
        <v>-227</v>
      </c>
      <c r="O562" s="84" t="str">
        <f ca="1">IF(Tabla1[[#This Row],[|]]&gt;=0,"VENCIDA",IF(Tabla1[[#This Row],[|]]&gt;=-14,"POR VENCER","OK"))</f>
        <v>OK</v>
      </c>
      <c r="P562" s="95" t="s">
        <v>2847</v>
      </c>
      <c r="Q562" s="95" t="s">
        <v>312</v>
      </c>
      <c r="R562" s="93" t="s">
        <v>17</v>
      </c>
      <c r="S562" s="93"/>
      <c r="T562" s="93"/>
      <c r="U562" s="93"/>
      <c r="V562" s="93" t="s">
        <v>282</v>
      </c>
      <c r="W562" s="97" t="s">
        <v>850</v>
      </c>
      <c r="X562" s="204" t="s">
        <v>597</v>
      </c>
    </row>
    <row r="563" spans="1:24" s="63" customFormat="1" ht="32.25" customHeight="1" x14ac:dyDescent="0.2">
      <c r="A563" s="202">
        <v>602</v>
      </c>
      <c r="B563" s="88" t="s">
        <v>279</v>
      </c>
      <c r="C563" s="89">
        <v>602</v>
      </c>
      <c r="D563" s="88" t="str">
        <f t="shared" si="20"/>
        <v>SUPERMIX602</v>
      </c>
      <c r="E563" s="58" t="s">
        <v>1867</v>
      </c>
      <c r="F563" s="58" t="s">
        <v>1162</v>
      </c>
      <c r="G563" s="88" t="s">
        <v>310</v>
      </c>
      <c r="H563" s="90">
        <v>41519371</v>
      </c>
      <c r="I563" s="90" t="s">
        <v>3787</v>
      </c>
      <c r="J563" s="90" t="s">
        <v>1868</v>
      </c>
      <c r="K563" s="88" t="s">
        <v>281</v>
      </c>
      <c r="L563" s="91">
        <v>42716</v>
      </c>
      <c r="M563" s="91">
        <v>43811</v>
      </c>
      <c r="N563" s="88">
        <f t="shared" ca="1" si="19"/>
        <v>2376</v>
      </c>
      <c r="O563" s="84" t="str">
        <f ca="1">IF(Tabla1[[#This Row],[|]]&gt;=0,"VENCIDA",IF(Tabla1[[#This Row],[|]]&gt;=-14,"POR VENCER","OK"))</f>
        <v>VENCIDA</v>
      </c>
      <c r="P563" s="90" t="s">
        <v>1863</v>
      </c>
      <c r="Q563" s="90" t="s">
        <v>312</v>
      </c>
      <c r="R563" s="88" t="s">
        <v>317</v>
      </c>
      <c r="S563" s="88"/>
      <c r="T563" s="88"/>
      <c r="U563" s="88"/>
      <c r="V563" s="88" t="s">
        <v>282</v>
      </c>
      <c r="W563" s="92" t="s">
        <v>1112</v>
      </c>
      <c r="X563" s="88"/>
    </row>
    <row r="564" spans="1:24" s="63" customFormat="1" ht="32.25" customHeight="1" x14ac:dyDescent="0.2">
      <c r="A564" s="202">
        <v>603</v>
      </c>
      <c r="B564" s="88" t="s">
        <v>279</v>
      </c>
      <c r="C564" s="89">
        <v>603</v>
      </c>
      <c r="D564" s="88" t="str">
        <f t="shared" si="20"/>
        <v>SUPERMIX603</v>
      </c>
      <c r="E564" s="58" t="s">
        <v>1869</v>
      </c>
      <c r="F564" s="58" t="s">
        <v>570</v>
      </c>
      <c r="G564" s="88" t="s">
        <v>25</v>
      </c>
      <c r="H564" s="90">
        <v>29667442</v>
      </c>
      <c r="I564" s="90" t="s">
        <v>3787</v>
      </c>
      <c r="J564" s="90" t="s">
        <v>1870</v>
      </c>
      <c r="K564" s="88" t="s">
        <v>281</v>
      </c>
      <c r="L564" s="91">
        <v>42277</v>
      </c>
      <c r="M564" s="91">
        <v>44449</v>
      </c>
      <c r="N564" s="88">
        <f t="shared" ca="1" si="19"/>
        <v>1738</v>
      </c>
      <c r="O564" s="84" t="str">
        <f ca="1">IF(Tabla1[[#This Row],[|]]&gt;=0,"VENCIDA",IF(Tabla1[[#This Row],[|]]&gt;=-14,"POR VENCER","OK"))</f>
        <v>VENCIDA</v>
      </c>
      <c r="P564" s="90" t="s">
        <v>1863</v>
      </c>
      <c r="Q564" s="90" t="s">
        <v>312</v>
      </c>
      <c r="R564" s="88" t="s">
        <v>317</v>
      </c>
      <c r="S564" s="88"/>
      <c r="T564" s="88"/>
      <c r="U564" s="88"/>
      <c r="V564" s="88" t="s">
        <v>282</v>
      </c>
      <c r="W564" s="92" t="s">
        <v>1112</v>
      </c>
      <c r="X564" s="88"/>
    </row>
    <row r="565" spans="1:24" s="63" customFormat="1" ht="32.25" customHeight="1" x14ac:dyDescent="0.2">
      <c r="A565" s="202">
        <v>604</v>
      </c>
      <c r="B565" s="88" t="s">
        <v>279</v>
      </c>
      <c r="C565" s="89">
        <v>604</v>
      </c>
      <c r="D565" s="88" t="str">
        <f t="shared" si="20"/>
        <v>SUPERMIX604</v>
      </c>
      <c r="E565" s="58" t="s">
        <v>1871</v>
      </c>
      <c r="F565" s="58" t="s">
        <v>1872</v>
      </c>
      <c r="G565" s="88" t="s">
        <v>25</v>
      </c>
      <c r="H565" s="90">
        <v>29720666</v>
      </c>
      <c r="I565" s="90" t="s">
        <v>3787</v>
      </c>
      <c r="J565" s="90" t="s">
        <v>1873</v>
      </c>
      <c r="K565" s="88" t="s">
        <v>281</v>
      </c>
      <c r="L565" s="91">
        <v>42529</v>
      </c>
      <c r="M565" s="91">
        <v>43624</v>
      </c>
      <c r="N565" s="88">
        <f t="shared" ca="1" si="19"/>
        <v>2563</v>
      </c>
      <c r="O565" s="84" t="str">
        <f ca="1">IF(Tabla1[[#This Row],[|]]&gt;=0,"VENCIDA",IF(Tabla1[[#This Row],[|]]&gt;=-14,"POR VENCER","OK"))</f>
        <v>VENCIDA</v>
      </c>
      <c r="P565" s="90" t="s">
        <v>2234</v>
      </c>
      <c r="Q565" s="90" t="s">
        <v>312</v>
      </c>
      <c r="R565" s="88" t="s">
        <v>317</v>
      </c>
      <c r="S565" s="88"/>
      <c r="T565" s="88"/>
      <c r="U565" s="88"/>
      <c r="V565" s="88" t="s">
        <v>282</v>
      </c>
      <c r="W565" s="92" t="s">
        <v>1112</v>
      </c>
      <c r="X565" s="88"/>
    </row>
    <row r="566" spans="1:24" s="63" customFormat="1" ht="32.25" customHeight="1" x14ac:dyDescent="0.2">
      <c r="A566" s="202">
        <v>605</v>
      </c>
      <c r="B566" s="88" t="s">
        <v>279</v>
      </c>
      <c r="C566" s="89" t="s">
        <v>1997</v>
      </c>
      <c r="D566" s="88" t="str">
        <f t="shared" si="20"/>
        <v xml:space="preserve">SUPERMIX  </v>
      </c>
      <c r="E566" s="58" t="s">
        <v>1874</v>
      </c>
      <c r="F566" s="58" t="s">
        <v>1875</v>
      </c>
      <c r="G566" s="88" t="s">
        <v>25</v>
      </c>
      <c r="H566" s="90">
        <v>44634371</v>
      </c>
      <c r="I566" s="90" t="s">
        <v>3787</v>
      </c>
      <c r="J566" s="90" t="s">
        <v>1876</v>
      </c>
      <c r="K566" s="88" t="s">
        <v>281</v>
      </c>
      <c r="L566" s="91">
        <v>42689</v>
      </c>
      <c r="M566" s="91">
        <v>43784</v>
      </c>
      <c r="N566" s="88">
        <f t="shared" ca="1" si="19"/>
        <v>2403</v>
      </c>
      <c r="O566" s="84" t="str">
        <f ca="1">IF(Tabla1[[#This Row],[|]]&gt;=0,"VENCIDA",IF(Tabla1[[#This Row],[|]]&gt;=-14,"POR VENCER","OK"))</f>
        <v>VENCIDA</v>
      </c>
      <c r="P566" s="90" t="s">
        <v>2790</v>
      </c>
      <c r="Q566" s="90" t="s">
        <v>312</v>
      </c>
      <c r="R566" s="88" t="s">
        <v>17</v>
      </c>
      <c r="S566" s="88"/>
      <c r="T566" s="88"/>
      <c r="U566" s="88"/>
      <c r="V566" s="88" t="s">
        <v>1939</v>
      </c>
      <c r="W566" s="92" t="s">
        <v>2772</v>
      </c>
      <c r="X566" s="88" t="s">
        <v>624</v>
      </c>
    </row>
    <row r="567" spans="1:24" s="63" customFormat="1" ht="32.25" customHeight="1" x14ac:dyDescent="0.2">
      <c r="A567" s="202">
        <v>606</v>
      </c>
      <c r="B567" s="88" t="s">
        <v>279</v>
      </c>
      <c r="C567" s="89">
        <v>606</v>
      </c>
      <c r="D567" s="88" t="str">
        <f t="shared" si="20"/>
        <v>SUPERMIX606</v>
      </c>
      <c r="E567" s="58" t="s">
        <v>1877</v>
      </c>
      <c r="F567" s="58" t="s">
        <v>22</v>
      </c>
      <c r="G567" s="88" t="s">
        <v>25</v>
      </c>
      <c r="H567" s="90">
        <v>40217132</v>
      </c>
      <c r="I567" s="90" t="s">
        <v>3787</v>
      </c>
      <c r="J567" s="90" t="s">
        <v>1878</v>
      </c>
      <c r="K567" s="88" t="s">
        <v>281</v>
      </c>
      <c r="L567" s="91">
        <v>42398</v>
      </c>
      <c r="M567" s="91">
        <v>44599</v>
      </c>
      <c r="N567" s="88">
        <f t="shared" ca="1" si="19"/>
        <v>1588</v>
      </c>
      <c r="O567" s="84" t="str">
        <f ca="1">IF(Tabla1[[#This Row],[|]]&gt;=0,"VENCIDA",IF(Tabla1[[#This Row],[|]]&gt;=-14,"POR VENCER","OK"))</f>
        <v>VENCIDA</v>
      </c>
      <c r="P567" s="90" t="s">
        <v>3119</v>
      </c>
      <c r="Q567" s="90" t="s">
        <v>312</v>
      </c>
      <c r="R567" s="88" t="s">
        <v>17</v>
      </c>
      <c r="S567" s="88"/>
      <c r="T567" s="88"/>
      <c r="U567" s="88"/>
      <c r="V567" s="88" t="s">
        <v>282</v>
      </c>
      <c r="W567" s="92" t="s">
        <v>1112</v>
      </c>
      <c r="X567" s="88" t="s">
        <v>597</v>
      </c>
    </row>
    <row r="568" spans="1:24" s="63" customFormat="1" ht="32.25" customHeight="1" x14ac:dyDescent="0.2">
      <c r="A568" s="202">
        <v>607</v>
      </c>
      <c r="B568" s="88" t="s">
        <v>279</v>
      </c>
      <c r="C568" s="89">
        <v>607</v>
      </c>
      <c r="D568" s="88" t="str">
        <f t="shared" si="20"/>
        <v>SUPERMIX607</v>
      </c>
      <c r="E568" s="58" t="s">
        <v>1879</v>
      </c>
      <c r="F568" s="58" t="s">
        <v>1880</v>
      </c>
      <c r="G568" s="88" t="s">
        <v>25</v>
      </c>
      <c r="H568" s="90">
        <v>45497251</v>
      </c>
      <c r="I568" s="90" t="s">
        <v>3787</v>
      </c>
      <c r="J568" s="90" t="s">
        <v>1881</v>
      </c>
      <c r="K568" s="88" t="s">
        <v>281</v>
      </c>
      <c r="L568" s="91">
        <v>42361</v>
      </c>
      <c r="M568" s="91">
        <v>43457</v>
      </c>
      <c r="N568" s="88">
        <f t="shared" ca="1" si="19"/>
        <v>2730</v>
      </c>
      <c r="O568" s="84" t="str">
        <f ca="1">IF(Tabla1[[#This Row],[|]]&gt;=0,"VENCIDA",IF(Tabla1[[#This Row],[|]]&gt;=-14,"POR VENCER","OK"))</f>
        <v>VENCIDA</v>
      </c>
      <c r="P568" s="90" t="s">
        <v>1863</v>
      </c>
      <c r="Q568" s="90" t="s">
        <v>312</v>
      </c>
      <c r="R568" s="88" t="s">
        <v>317</v>
      </c>
      <c r="S568" s="88"/>
      <c r="T568" s="88"/>
      <c r="U568" s="88"/>
      <c r="V568" s="88" t="s">
        <v>282</v>
      </c>
      <c r="W568" s="92" t="s">
        <v>1112</v>
      </c>
      <c r="X568" s="88"/>
    </row>
    <row r="569" spans="1:24" s="63" customFormat="1" ht="32.25" customHeight="1" x14ac:dyDescent="0.2">
      <c r="A569" s="202">
        <v>608</v>
      </c>
      <c r="B569" s="88" t="s">
        <v>279</v>
      </c>
      <c r="C569" s="89">
        <v>608</v>
      </c>
      <c r="D569" s="88" t="str">
        <f t="shared" si="20"/>
        <v>SUPERMIX608</v>
      </c>
      <c r="E569" s="58" t="s">
        <v>1882</v>
      </c>
      <c r="F569" s="58" t="s">
        <v>609</v>
      </c>
      <c r="G569" s="88" t="s">
        <v>25</v>
      </c>
      <c r="H569" s="90">
        <v>42415223</v>
      </c>
      <c r="I569" s="90" t="s">
        <v>3787</v>
      </c>
      <c r="J569" s="90" t="s">
        <v>1883</v>
      </c>
      <c r="K569" s="88" t="s">
        <v>1954</v>
      </c>
      <c r="L569" s="91">
        <v>42311</v>
      </c>
      <c r="M569" s="91">
        <v>46394</v>
      </c>
      <c r="N569" s="88">
        <f t="shared" ca="1" si="19"/>
        <v>-207</v>
      </c>
      <c r="O569" s="84" t="str">
        <f ca="1">IF(Tabla1[[#This Row],[|]]&gt;=0,"VENCIDA",IF(Tabla1[[#This Row],[|]]&gt;=-14,"POR VENCER","OK"))</f>
        <v>OK</v>
      </c>
      <c r="P569" s="90" t="s">
        <v>3422</v>
      </c>
      <c r="Q569" s="90" t="s">
        <v>312</v>
      </c>
      <c r="R569" s="88" t="s">
        <v>17</v>
      </c>
      <c r="S569" s="88"/>
      <c r="T569" s="88"/>
      <c r="U569" s="88"/>
      <c r="V569" s="88" t="s">
        <v>282</v>
      </c>
      <c r="W569" s="92" t="s">
        <v>2776</v>
      </c>
      <c r="X569" s="88" t="s">
        <v>597</v>
      </c>
    </row>
    <row r="570" spans="1:24" s="63" customFormat="1" ht="32.25" customHeight="1" x14ac:dyDescent="0.2">
      <c r="A570" s="202">
        <v>609</v>
      </c>
      <c r="B570" s="88" t="s">
        <v>279</v>
      </c>
      <c r="C570" s="89">
        <v>609</v>
      </c>
      <c r="D570" s="88" t="str">
        <f t="shared" si="20"/>
        <v>SUPERMIX609</v>
      </c>
      <c r="E570" s="58" t="s">
        <v>1884</v>
      </c>
      <c r="F570" s="58" t="s">
        <v>1885</v>
      </c>
      <c r="G570" s="88" t="s">
        <v>25</v>
      </c>
      <c r="H570" s="90">
        <v>42758007</v>
      </c>
      <c r="I570" s="90" t="s">
        <v>3787</v>
      </c>
      <c r="J570" s="90" t="s">
        <v>1886</v>
      </c>
      <c r="K570" s="88" t="s">
        <v>281</v>
      </c>
      <c r="L570" s="91">
        <v>39153</v>
      </c>
      <c r="M570" s="91">
        <v>46618</v>
      </c>
      <c r="N570" s="88">
        <f t="shared" ca="1" si="19"/>
        <v>-431</v>
      </c>
      <c r="O570" s="84" t="str">
        <f ca="1">IF(Tabla1[[#This Row],[|]]&gt;=0,"VENCIDA",IF(Tabla1[[#This Row],[|]]&gt;=-14,"POR VENCER","OK"))</f>
        <v>OK</v>
      </c>
      <c r="P570" s="90" t="s">
        <v>2790</v>
      </c>
      <c r="Q570" s="90" t="s">
        <v>312</v>
      </c>
      <c r="R570" s="88" t="s">
        <v>17</v>
      </c>
      <c r="S570" s="88"/>
      <c r="T570" s="88"/>
      <c r="U570" s="88"/>
      <c r="V570" s="88" t="s">
        <v>1939</v>
      </c>
      <c r="W570" s="92" t="s">
        <v>3515</v>
      </c>
      <c r="X570" s="88" t="s">
        <v>624</v>
      </c>
    </row>
    <row r="571" spans="1:24" s="63" customFormat="1" ht="32.25" customHeight="1" x14ac:dyDescent="0.2">
      <c r="A571" s="202">
        <v>610</v>
      </c>
      <c r="B571" s="88" t="s">
        <v>279</v>
      </c>
      <c r="C571" s="89">
        <v>610</v>
      </c>
      <c r="D571" s="88" t="str">
        <f t="shared" si="20"/>
        <v>SUPERMIX610</v>
      </c>
      <c r="E571" s="58" t="s">
        <v>1887</v>
      </c>
      <c r="F571" s="58" t="s">
        <v>1888</v>
      </c>
      <c r="G571" s="88" t="s">
        <v>25</v>
      </c>
      <c r="H571" s="90">
        <v>45340147</v>
      </c>
      <c r="I571" s="90" t="s">
        <v>3787</v>
      </c>
      <c r="J571" s="88" t="s">
        <v>1889</v>
      </c>
      <c r="K571" s="88" t="s">
        <v>293</v>
      </c>
      <c r="L571" s="91">
        <v>41513</v>
      </c>
      <c r="M571" s="91">
        <v>43728</v>
      </c>
      <c r="N571" s="88">
        <f t="shared" ca="1" si="19"/>
        <v>2459</v>
      </c>
      <c r="O571" s="84" t="str">
        <f ca="1">IF(Tabla1[[#This Row],[|]]&gt;=0,"VENCIDA",IF(Tabla1[[#This Row],[|]]&gt;=-14,"POR VENCER","OK"))</f>
        <v>VENCIDA</v>
      </c>
      <c r="P571" s="90" t="s">
        <v>1863</v>
      </c>
      <c r="Q571" s="90" t="s">
        <v>312</v>
      </c>
      <c r="R571" s="88" t="s">
        <v>317</v>
      </c>
      <c r="S571" s="88"/>
      <c r="T571" s="88"/>
      <c r="U571" s="88"/>
      <c r="V571" s="88" t="s">
        <v>282</v>
      </c>
      <c r="W571" s="92" t="s">
        <v>1112</v>
      </c>
      <c r="X571" s="88"/>
    </row>
    <row r="572" spans="1:24" s="63" customFormat="1" ht="32.25" customHeight="1" x14ac:dyDescent="0.2">
      <c r="A572" s="202">
        <v>611</v>
      </c>
      <c r="B572" s="88" t="s">
        <v>279</v>
      </c>
      <c r="C572" s="89">
        <v>611</v>
      </c>
      <c r="D572" s="88" t="str">
        <f t="shared" si="20"/>
        <v>SUPERMIX611</v>
      </c>
      <c r="E572" s="58" t="s">
        <v>1773</v>
      </c>
      <c r="F572" s="58" t="s">
        <v>1774</v>
      </c>
      <c r="G572" s="88" t="s">
        <v>25</v>
      </c>
      <c r="H572" s="90">
        <v>44748404</v>
      </c>
      <c r="I572" s="90" t="s">
        <v>3787</v>
      </c>
      <c r="J572" s="88" t="s">
        <v>1775</v>
      </c>
      <c r="K572" s="88" t="s">
        <v>281</v>
      </c>
      <c r="L572" s="91">
        <v>42191</v>
      </c>
      <c r="M572" s="91">
        <v>43287</v>
      </c>
      <c r="N572" s="88">
        <f t="shared" ca="1" si="19"/>
        <v>2900</v>
      </c>
      <c r="O572" s="84" t="str">
        <f ca="1">IF(Tabla1[[#This Row],[|]]&gt;=0,"VENCIDA",IF(Tabla1[[#This Row],[|]]&gt;=-14,"POR VENCER","OK"))</f>
        <v>VENCIDA</v>
      </c>
      <c r="P572" s="90" t="s">
        <v>1863</v>
      </c>
      <c r="Q572" s="90" t="s">
        <v>312</v>
      </c>
      <c r="R572" s="88" t="s">
        <v>317</v>
      </c>
      <c r="S572" s="88"/>
      <c r="T572" s="88"/>
      <c r="U572" s="88"/>
      <c r="V572" s="88" t="s">
        <v>282</v>
      </c>
      <c r="W572" s="92" t="s">
        <v>1112</v>
      </c>
      <c r="X572" s="88"/>
    </row>
    <row r="573" spans="1:24" s="63" customFormat="1" ht="32.25" customHeight="1" x14ac:dyDescent="0.2">
      <c r="A573" s="202">
        <v>612</v>
      </c>
      <c r="B573" s="88" t="s">
        <v>279</v>
      </c>
      <c r="C573" s="89" t="s">
        <v>1997</v>
      </c>
      <c r="D573" s="88" t="str">
        <f t="shared" si="20"/>
        <v xml:space="preserve">SUPERMIX  </v>
      </c>
      <c r="E573" s="58" t="s">
        <v>1818</v>
      </c>
      <c r="F573" s="58" t="s">
        <v>1819</v>
      </c>
      <c r="G573" s="88" t="s">
        <v>25</v>
      </c>
      <c r="H573" s="90">
        <v>29723337</v>
      </c>
      <c r="I573" s="90" t="s">
        <v>3787</v>
      </c>
      <c r="J573" s="90" t="s">
        <v>1828</v>
      </c>
      <c r="K573" s="88" t="s">
        <v>281</v>
      </c>
      <c r="L573" s="91">
        <v>38624</v>
      </c>
      <c r="M573" s="91">
        <v>46247</v>
      </c>
      <c r="N573" s="88">
        <f t="shared" ca="1" si="19"/>
        <v>-60</v>
      </c>
      <c r="O573" s="84" t="str">
        <f ca="1">IF(Tabla1[[#This Row],[|]]&gt;=0,"VENCIDA",IF(Tabla1[[#This Row],[|]]&gt;=-14,"POR VENCER","OK"))</f>
        <v>OK</v>
      </c>
      <c r="P573" s="90" t="s">
        <v>2847</v>
      </c>
      <c r="Q573" s="90" t="s">
        <v>312</v>
      </c>
      <c r="R573" s="88" t="s">
        <v>17</v>
      </c>
      <c r="S573" s="88"/>
      <c r="T573" s="88"/>
      <c r="U573" s="88"/>
      <c r="V573" s="88" t="s">
        <v>282</v>
      </c>
      <c r="W573" s="92" t="s">
        <v>850</v>
      </c>
      <c r="X573" s="88" t="s">
        <v>597</v>
      </c>
    </row>
    <row r="574" spans="1:24" s="63" customFormat="1" ht="32.25" customHeight="1" x14ac:dyDescent="0.2">
      <c r="A574" s="202">
        <v>613</v>
      </c>
      <c r="B574" s="88" t="s">
        <v>279</v>
      </c>
      <c r="C574" s="89">
        <v>613</v>
      </c>
      <c r="D574" s="88" t="str">
        <f t="shared" si="20"/>
        <v>SUPERMIX613</v>
      </c>
      <c r="E574" s="58" t="s">
        <v>1890</v>
      </c>
      <c r="F574" s="58" t="s">
        <v>806</v>
      </c>
      <c r="G574" s="88" t="s">
        <v>25</v>
      </c>
      <c r="H574" s="90">
        <v>44145198</v>
      </c>
      <c r="I574" s="90" t="s">
        <v>3787</v>
      </c>
      <c r="J574" s="88" t="s">
        <v>807</v>
      </c>
      <c r="K574" s="88" t="s">
        <v>281</v>
      </c>
      <c r="L574" s="91">
        <v>42347</v>
      </c>
      <c r="M574" s="91">
        <v>43443</v>
      </c>
      <c r="N574" s="88">
        <f t="shared" ca="1" si="19"/>
        <v>2744</v>
      </c>
      <c r="O574" s="84" t="str">
        <f ca="1">IF(Tabla1[[#This Row],[|]]&gt;=0,"VENCIDA",IF(Tabla1[[#This Row],[|]]&gt;=-14,"POR VENCER","OK"))</f>
        <v>VENCIDA</v>
      </c>
      <c r="P574" s="90" t="s">
        <v>2563</v>
      </c>
      <c r="Q574" s="90" t="s">
        <v>312</v>
      </c>
      <c r="R574" s="88" t="s">
        <v>317</v>
      </c>
      <c r="S574" s="88"/>
      <c r="T574" s="88"/>
      <c r="U574" s="88"/>
      <c r="V574" s="88" t="s">
        <v>282</v>
      </c>
      <c r="W574" s="92" t="s">
        <v>1112</v>
      </c>
      <c r="X574" s="88"/>
    </row>
    <row r="575" spans="1:24" s="63" customFormat="1" ht="32.25" customHeight="1" x14ac:dyDescent="0.2">
      <c r="A575" s="202">
        <v>614</v>
      </c>
      <c r="B575" s="88" t="s">
        <v>279</v>
      </c>
      <c r="C575" s="89">
        <v>614</v>
      </c>
      <c r="D575" s="88" t="str">
        <f t="shared" si="20"/>
        <v>SUPERMIX614</v>
      </c>
      <c r="E575" s="58" t="s">
        <v>264</v>
      </c>
      <c r="F575" s="58" t="s">
        <v>265</v>
      </c>
      <c r="G575" s="88" t="s">
        <v>25</v>
      </c>
      <c r="H575" s="90">
        <v>29556631</v>
      </c>
      <c r="I575" s="90" t="s">
        <v>3787</v>
      </c>
      <c r="J575" s="90" t="s">
        <v>1891</v>
      </c>
      <c r="K575" s="88" t="s">
        <v>281</v>
      </c>
      <c r="L575" s="91">
        <v>37603</v>
      </c>
      <c r="M575" s="91">
        <v>43890</v>
      </c>
      <c r="N575" s="88">
        <f t="shared" ca="1" si="19"/>
        <v>2297</v>
      </c>
      <c r="O575" s="84" t="str">
        <f ca="1">IF(Tabla1[[#This Row],[|]]&gt;=0,"VENCIDA",IF(Tabla1[[#This Row],[|]]&gt;=-14,"POR VENCER","OK"))</f>
        <v>VENCIDA</v>
      </c>
      <c r="P575" s="90" t="s">
        <v>1863</v>
      </c>
      <c r="Q575" s="90" t="s">
        <v>312</v>
      </c>
      <c r="R575" s="88" t="s">
        <v>317</v>
      </c>
      <c r="S575" s="88"/>
      <c r="T575" s="88"/>
      <c r="U575" s="88"/>
      <c r="V575" s="88" t="s">
        <v>282</v>
      </c>
      <c r="W575" s="92" t="s">
        <v>1112</v>
      </c>
      <c r="X575" s="88"/>
    </row>
    <row r="576" spans="1:24" s="63" customFormat="1" ht="32.25" customHeight="1" x14ac:dyDescent="0.2">
      <c r="A576" s="202">
        <v>615</v>
      </c>
      <c r="B576" s="88" t="s">
        <v>279</v>
      </c>
      <c r="C576" s="89">
        <v>615</v>
      </c>
      <c r="D576" s="88" t="str">
        <f t="shared" si="20"/>
        <v>SUPERMIX615</v>
      </c>
      <c r="E576" s="58" t="s">
        <v>1892</v>
      </c>
      <c r="F576" s="58" t="s">
        <v>121</v>
      </c>
      <c r="G576" s="88" t="s">
        <v>25</v>
      </c>
      <c r="H576" s="90">
        <v>40737082</v>
      </c>
      <c r="I576" s="90" t="s">
        <v>3787</v>
      </c>
      <c r="J576" s="92" t="s">
        <v>1893</v>
      </c>
      <c r="K576" s="88" t="s">
        <v>281</v>
      </c>
      <c r="L576" s="91">
        <v>41682</v>
      </c>
      <c r="M576" s="91">
        <v>43846</v>
      </c>
      <c r="N576" s="88">
        <f t="shared" ca="1" si="19"/>
        <v>2341</v>
      </c>
      <c r="O576" s="84" t="str">
        <f ca="1">IF(Tabla1[[#This Row],[|]]&gt;=0,"VENCIDA",IF(Tabla1[[#This Row],[|]]&gt;=-14,"POR VENCER","OK"))</f>
        <v>VENCIDA</v>
      </c>
      <c r="P576" s="90" t="s">
        <v>1863</v>
      </c>
      <c r="Q576" s="90" t="s">
        <v>312</v>
      </c>
      <c r="R576" s="88" t="s">
        <v>317</v>
      </c>
      <c r="S576" s="88"/>
      <c r="T576" s="88"/>
      <c r="U576" s="88"/>
      <c r="V576" s="88" t="s">
        <v>282</v>
      </c>
      <c r="W576" s="92" t="s">
        <v>1112</v>
      </c>
      <c r="X576" s="88"/>
    </row>
    <row r="577" spans="1:24" s="63" customFormat="1" ht="32.25" customHeight="1" x14ac:dyDescent="0.2">
      <c r="A577" s="202">
        <v>616</v>
      </c>
      <c r="B577" s="88" t="s">
        <v>279</v>
      </c>
      <c r="C577" s="89">
        <v>616</v>
      </c>
      <c r="D577" s="88" t="str">
        <f t="shared" si="20"/>
        <v>SUPERMIX616</v>
      </c>
      <c r="E577" s="58" t="s">
        <v>1894</v>
      </c>
      <c r="F577" s="58" t="s">
        <v>1895</v>
      </c>
      <c r="G577" s="88" t="s">
        <v>25</v>
      </c>
      <c r="H577" s="90">
        <v>42966593</v>
      </c>
      <c r="I577" s="90" t="s">
        <v>3787</v>
      </c>
      <c r="J577" s="88" t="s">
        <v>1896</v>
      </c>
      <c r="K577" s="88" t="s">
        <v>281</v>
      </c>
      <c r="L577" s="91">
        <v>41704</v>
      </c>
      <c r="M577" s="91">
        <v>43946</v>
      </c>
      <c r="N577" s="88">
        <f t="shared" ca="1" si="19"/>
        <v>2241</v>
      </c>
      <c r="O577" s="84" t="str">
        <f ca="1">IF(Tabla1[[#This Row],[|]]&gt;=0,"VENCIDA",IF(Tabla1[[#This Row],[|]]&gt;=-14,"POR VENCER","OK"))</f>
        <v>VENCIDA</v>
      </c>
      <c r="P577" s="90" t="s">
        <v>2182</v>
      </c>
      <c r="Q577" s="90" t="s">
        <v>312</v>
      </c>
      <c r="R577" s="88" t="s">
        <v>317</v>
      </c>
      <c r="S577" s="88"/>
      <c r="T577" s="88"/>
      <c r="U577" s="88"/>
      <c r="V577" s="88" t="s">
        <v>282</v>
      </c>
      <c r="W577" s="92" t="s">
        <v>1112</v>
      </c>
      <c r="X577" s="88"/>
    </row>
    <row r="578" spans="1:24" s="45" customFormat="1" ht="32.25" customHeight="1" x14ac:dyDescent="0.2">
      <c r="A578" s="212">
        <v>617</v>
      </c>
      <c r="B578" s="121" t="s">
        <v>279</v>
      </c>
      <c r="C578" s="139">
        <v>617</v>
      </c>
      <c r="D578" s="121" t="str">
        <f t="shared" si="20"/>
        <v>SUPERMIX617</v>
      </c>
      <c r="E578" s="140" t="s">
        <v>1897</v>
      </c>
      <c r="F578" s="140" t="s">
        <v>1023</v>
      </c>
      <c r="G578" s="121" t="s">
        <v>25</v>
      </c>
      <c r="H578" s="120">
        <v>29607617</v>
      </c>
      <c r="I578" s="120" t="s">
        <v>3787</v>
      </c>
      <c r="J578" s="121" t="s">
        <v>1898</v>
      </c>
      <c r="K578" s="121" t="s">
        <v>281</v>
      </c>
      <c r="L578" s="141">
        <v>42130</v>
      </c>
      <c r="M578" s="141">
        <v>46147</v>
      </c>
      <c r="N578" s="121">
        <f t="shared" ref="N578:N641" ca="1" si="21">TODAY()-M578</f>
        <v>40</v>
      </c>
      <c r="O578" s="142" t="str">
        <f ca="1">IF(Tabla1[[#This Row],[|]]&gt;=0,"VENCIDA",IF(Tabla1[[#This Row],[|]]&gt;=-14,"POR VENCER","OK"))</f>
        <v>VENCIDA</v>
      </c>
      <c r="P578" s="120" t="s">
        <v>3886</v>
      </c>
      <c r="Q578" s="120" t="s">
        <v>312</v>
      </c>
      <c r="R578" s="121" t="s">
        <v>17</v>
      </c>
      <c r="S578" s="88"/>
      <c r="T578" s="88"/>
      <c r="U578" s="88"/>
      <c r="V578" s="121" t="s">
        <v>282</v>
      </c>
      <c r="W578" s="122" t="s">
        <v>1112</v>
      </c>
      <c r="X578" s="121" t="s">
        <v>597</v>
      </c>
    </row>
    <row r="579" spans="1:24" s="63" customFormat="1" ht="32.25" customHeight="1" x14ac:dyDescent="0.2">
      <c r="A579" s="202">
        <v>618</v>
      </c>
      <c r="B579" s="88" t="s">
        <v>279</v>
      </c>
      <c r="C579" s="89">
        <v>618</v>
      </c>
      <c r="D579" s="88" t="str">
        <f t="shared" si="20"/>
        <v>SUPERMIX618</v>
      </c>
      <c r="E579" s="58" t="s">
        <v>1899</v>
      </c>
      <c r="F579" s="58" t="s">
        <v>1900</v>
      </c>
      <c r="G579" s="88" t="s">
        <v>25</v>
      </c>
      <c r="H579" s="90">
        <v>43178559</v>
      </c>
      <c r="I579" s="90" t="s">
        <v>3787</v>
      </c>
      <c r="J579" s="88" t="s">
        <v>1901</v>
      </c>
      <c r="K579" s="88" t="s">
        <v>281</v>
      </c>
      <c r="L579" s="91">
        <v>41655</v>
      </c>
      <c r="M579" s="91">
        <v>45667</v>
      </c>
      <c r="N579" s="88">
        <f t="shared" ca="1" si="21"/>
        <v>520</v>
      </c>
      <c r="O579" s="84" t="str">
        <f ca="1">IF(Tabla1[[#This Row],[|]]&gt;=0,"VENCIDA",IF(Tabla1[[#This Row],[|]]&gt;=-14,"POR VENCER","OK"))</f>
        <v>VENCIDA</v>
      </c>
      <c r="P579" s="90" t="s">
        <v>3886</v>
      </c>
      <c r="Q579" s="90" t="s">
        <v>312</v>
      </c>
      <c r="R579" s="88" t="s">
        <v>317</v>
      </c>
      <c r="S579" s="88"/>
      <c r="T579" s="88"/>
      <c r="U579" s="88"/>
      <c r="V579" s="88" t="s">
        <v>282</v>
      </c>
      <c r="W579" s="92" t="s">
        <v>1112</v>
      </c>
      <c r="X579" s="88" t="s">
        <v>597</v>
      </c>
    </row>
    <row r="580" spans="1:24" s="63" customFormat="1" ht="32.25" customHeight="1" x14ac:dyDescent="0.2">
      <c r="A580" s="202">
        <v>619</v>
      </c>
      <c r="B580" s="88" t="s">
        <v>279</v>
      </c>
      <c r="C580" s="89">
        <v>619</v>
      </c>
      <c r="D580" s="88" t="str">
        <f t="shared" si="20"/>
        <v>SUPERMIX619</v>
      </c>
      <c r="E580" s="58" t="s">
        <v>1902</v>
      </c>
      <c r="F580" s="58" t="s">
        <v>1903</v>
      </c>
      <c r="G580" s="88" t="s">
        <v>25</v>
      </c>
      <c r="H580" s="90">
        <v>46743191</v>
      </c>
      <c r="I580" s="90" t="s">
        <v>3787</v>
      </c>
      <c r="J580" s="88" t="s">
        <v>1904</v>
      </c>
      <c r="K580" s="88" t="s">
        <v>293</v>
      </c>
      <c r="L580" s="91">
        <v>41962</v>
      </c>
      <c r="M580" s="91">
        <v>46110</v>
      </c>
      <c r="N580" s="88">
        <f t="shared" ca="1" si="21"/>
        <v>77</v>
      </c>
      <c r="O580" s="84" t="str">
        <f ca="1">IF(Tabla1[[#This Row],[|]]&gt;=0,"VENCIDA",IF(Tabla1[[#This Row],[|]]&gt;=-14,"POR VENCER","OK"))</f>
        <v>VENCIDA</v>
      </c>
      <c r="P580" s="90" t="s">
        <v>3367</v>
      </c>
      <c r="Q580" s="90" t="s">
        <v>312</v>
      </c>
      <c r="R580" s="88" t="s">
        <v>317</v>
      </c>
      <c r="S580" s="88"/>
      <c r="T580" s="88"/>
      <c r="U580" s="88"/>
      <c r="V580" s="88" t="s">
        <v>282</v>
      </c>
      <c r="W580" s="92" t="s">
        <v>1112</v>
      </c>
      <c r="X580" s="88" t="s">
        <v>597</v>
      </c>
    </row>
    <row r="581" spans="1:24" s="63" customFormat="1" ht="32.25" customHeight="1" x14ac:dyDescent="0.2">
      <c r="A581" s="202">
        <v>620</v>
      </c>
      <c r="B581" s="88" t="s">
        <v>279</v>
      </c>
      <c r="C581" s="89">
        <v>620</v>
      </c>
      <c r="D581" s="88" t="str">
        <f t="shared" si="20"/>
        <v>SUPERMIX620</v>
      </c>
      <c r="E581" s="58" t="s">
        <v>1905</v>
      </c>
      <c r="F581" s="58" t="s">
        <v>1906</v>
      </c>
      <c r="G581" s="88" t="s">
        <v>25</v>
      </c>
      <c r="H581" s="90">
        <v>29710355</v>
      </c>
      <c r="I581" s="90" t="s">
        <v>3787</v>
      </c>
      <c r="J581" s="90" t="s">
        <v>1907</v>
      </c>
      <c r="K581" s="88" t="s">
        <v>281</v>
      </c>
      <c r="L581" s="91">
        <v>39339</v>
      </c>
      <c r="M581" s="91">
        <v>43667</v>
      </c>
      <c r="N581" s="88">
        <f t="shared" ca="1" si="21"/>
        <v>2520</v>
      </c>
      <c r="O581" s="84" t="str">
        <f ca="1">IF(Tabla1[[#This Row],[|]]&gt;=0,"VENCIDA",IF(Tabla1[[#This Row],[|]]&gt;=-14,"POR VENCER","OK"))</f>
        <v>VENCIDA</v>
      </c>
      <c r="P581" s="90" t="s">
        <v>1863</v>
      </c>
      <c r="Q581" s="90" t="s">
        <v>312</v>
      </c>
      <c r="R581" s="88" t="s">
        <v>317</v>
      </c>
      <c r="S581" s="88"/>
      <c r="T581" s="88"/>
      <c r="U581" s="88"/>
      <c r="V581" s="88" t="s">
        <v>282</v>
      </c>
      <c r="W581" s="92" t="s">
        <v>1112</v>
      </c>
      <c r="X581" s="88"/>
    </row>
    <row r="582" spans="1:24" s="63" customFormat="1" ht="32.25" customHeight="1" x14ac:dyDescent="0.2">
      <c r="A582" s="202">
        <v>621</v>
      </c>
      <c r="B582" s="88" t="s">
        <v>279</v>
      </c>
      <c r="C582" s="89">
        <v>621</v>
      </c>
      <c r="D582" s="88" t="str">
        <f t="shared" si="20"/>
        <v>SUPERMIX621</v>
      </c>
      <c r="E582" s="58" t="s">
        <v>1908</v>
      </c>
      <c r="F582" s="58" t="s">
        <v>866</v>
      </c>
      <c r="G582" s="88" t="s">
        <v>25</v>
      </c>
      <c r="H582" s="90">
        <v>41649270</v>
      </c>
      <c r="I582" s="90" t="s">
        <v>3787</v>
      </c>
      <c r="J582" s="90" t="s">
        <v>1909</v>
      </c>
      <c r="K582" s="88" t="s">
        <v>281</v>
      </c>
      <c r="L582" s="91">
        <v>42206</v>
      </c>
      <c r="M582" s="91">
        <v>43302</v>
      </c>
      <c r="N582" s="88">
        <f t="shared" ca="1" si="21"/>
        <v>2885</v>
      </c>
      <c r="O582" s="84" t="str">
        <f ca="1">IF(Tabla1[[#This Row],[|]]&gt;=0,"VENCIDA",IF(Tabla1[[#This Row],[|]]&gt;=-14,"POR VENCER","OK"))</f>
        <v>VENCIDA</v>
      </c>
      <c r="P582" s="90" t="s">
        <v>1863</v>
      </c>
      <c r="Q582" s="90" t="s">
        <v>312</v>
      </c>
      <c r="R582" s="88" t="s">
        <v>17</v>
      </c>
      <c r="S582" s="88"/>
      <c r="T582" s="88"/>
      <c r="U582" s="88"/>
      <c r="V582" s="88" t="s">
        <v>282</v>
      </c>
      <c r="W582" s="92" t="s">
        <v>1112</v>
      </c>
      <c r="X582" s="88"/>
    </row>
    <row r="583" spans="1:24" s="63" customFormat="1" ht="32.25" customHeight="1" x14ac:dyDescent="0.2">
      <c r="A583" s="202">
        <v>622</v>
      </c>
      <c r="B583" s="88" t="s">
        <v>279</v>
      </c>
      <c r="C583" s="89">
        <v>622</v>
      </c>
      <c r="D583" s="88" t="str">
        <f t="shared" si="20"/>
        <v>SUPERMIX622</v>
      </c>
      <c r="E583" s="58" t="s">
        <v>1910</v>
      </c>
      <c r="F583" s="58" t="s">
        <v>1911</v>
      </c>
      <c r="G583" s="88" t="s">
        <v>25</v>
      </c>
      <c r="H583" s="90">
        <v>30863469</v>
      </c>
      <c r="I583" s="90" t="s">
        <v>3788</v>
      </c>
      <c r="J583" s="88" t="s">
        <v>1912</v>
      </c>
      <c r="K583" s="88" t="s">
        <v>281</v>
      </c>
      <c r="L583" s="91">
        <v>42405</v>
      </c>
      <c r="M583" s="91">
        <v>46638</v>
      </c>
      <c r="N583" s="88">
        <f t="shared" ca="1" si="21"/>
        <v>-451</v>
      </c>
      <c r="O583" s="84" t="str">
        <f ca="1">IF(Tabla1[[#This Row],[|]]&gt;=0,"VENCIDA",IF(Tabla1[[#This Row],[|]]&gt;=-14,"POR VENCER","OK"))</f>
        <v>OK</v>
      </c>
      <c r="P583" s="90" t="s">
        <v>2847</v>
      </c>
      <c r="Q583" s="90" t="s">
        <v>312</v>
      </c>
      <c r="R583" s="88" t="s">
        <v>317</v>
      </c>
      <c r="S583" s="88"/>
      <c r="T583" s="88"/>
      <c r="U583" s="88"/>
      <c r="V583" s="88" t="s">
        <v>282</v>
      </c>
      <c r="W583" s="92" t="s">
        <v>1112</v>
      </c>
      <c r="X583" s="88" t="s">
        <v>597</v>
      </c>
    </row>
    <row r="584" spans="1:24" s="59" customFormat="1" ht="32.25" customHeight="1" x14ac:dyDescent="0.2">
      <c r="A584" s="200">
        <v>623</v>
      </c>
      <c r="B584" s="61" t="s">
        <v>279</v>
      </c>
      <c r="C584" s="87">
        <v>623</v>
      </c>
      <c r="D584" s="61" t="str">
        <f t="shared" ref="D584:D647" si="22">CONCATENATE(B584,C584)</f>
        <v>SUPERMIX623</v>
      </c>
      <c r="E584" s="82" t="s">
        <v>1914</v>
      </c>
      <c r="F584" s="82" t="s">
        <v>20</v>
      </c>
      <c r="G584" s="61" t="s">
        <v>341</v>
      </c>
      <c r="H584" s="60">
        <v>80062654</v>
      </c>
      <c r="I584" s="60" t="s">
        <v>3787</v>
      </c>
      <c r="J584" s="60" t="s">
        <v>1915</v>
      </c>
      <c r="K584" s="61" t="s">
        <v>281</v>
      </c>
      <c r="L584" s="62">
        <v>42746</v>
      </c>
      <c r="M584" s="62">
        <v>43841</v>
      </c>
      <c r="N584" s="61">
        <f t="shared" ca="1" si="21"/>
        <v>2346</v>
      </c>
      <c r="O584" s="84" t="str">
        <f ca="1">IF(Tabla1[[#This Row],[|]]&gt;=0,"VENCIDA",IF(Tabla1[[#This Row],[|]]&gt;=-14,"POR VENCER","OK"))</f>
        <v>VENCIDA</v>
      </c>
      <c r="P584" s="60" t="s">
        <v>824</v>
      </c>
      <c r="Q584" s="60" t="s">
        <v>312</v>
      </c>
      <c r="R584" s="61" t="s">
        <v>317</v>
      </c>
      <c r="S584" s="61"/>
      <c r="T584" s="61"/>
      <c r="U584" s="61"/>
      <c r="V584" s="61" t="s">
        <v>282</v>
      </c>
      <c r="W584" s="86" t="s">
        <v>1112</v>
      </c>
      <c r="X584" s="61"/>
    </row>
    <row r="585" spans="1:24" s="63" customFormat="1" ht="32.25" customHeight="1" x14ac:dyDescent="0.2">
      <c r="A585" s="202">
        <v>624</v>
      </c>
      <c r="B585" s="88" t="s">
        <v>279</v>
      </c>
      <c r="C585" s="89">
        <v>624</v>
      </c>
      <c r="D585" s="88" t="str">
        <f t="shared" si="22"/>
        <v>SUPERMIX624</v>
      </c>
      <c r="E585" s="58" t="s">
        <v>1916</v>
      </c>
      <c r="F585" s="58" t="s">
        <v>1579</v>
      </c>
      <c r="G585" s="88" t="s">
        <v>25</v>
      </c>
      <c r="H585" s="90">
        <v>73478944</v>
      </c>
      <c r="I585" s="90" t="s">
        <v>3787</v>
      </c>
      <c r="J585" s="88" t="s">
        <v>1917</v>
      </c>
      <c r="K585" s="88" t="s">
        <v>343</v>
      </c>
      <c r="L585" s="91">
        <v>42530</v>
      </c>
      <c r="M585" s="91">
        <v>43625</v>
      </c>
      <c r="N585" s="88">
        <f t="shared" ca="1" si="21"/>
        <v>2562</v>
      </c>
      <c r="O585" s="84" t="str">
        <f ca="1">IF(Tabla1[[#This Row],[|]]&gt;=0,"VENCIDA",IF(Tabla1[[#This Row],[|]]&gt;=-14,"POR VENCER","OK"))</f>
        <v>VENCIDA</v>
      </c>
      <c r="P585" s="90" t="s">
        <v>823</v>
      </c>
      <c r="Q585" s="90" t="s">
        <v>312</v>
      </c>
      <c r="R585" s="88" t="s">
        <v>317</v>
      </c>
      <c r="S585" s="88"/>
      <c r="T585" s="88"/>
      <c r="U585" s="88"/>
      <c r="V585" s="88" t="s">
        <v>329</v>
      </c>
      <c r="W585" s="92" t="s">
        <v>525</v>
      </c>
      <c r="X585" s="88"/>
    </row>
    <row r="586" spans="1:24" s="63" customFormat="1" ht="32.25" customHeight="1" x14ac:dyDescent="0.2">
      <c r="A586" s="202">
        <v>625</v>
      </c>
      <c r="B586" s="88" t="s">
        <v>279</v>
      </c>
      <c r="C586" s="89">
        <v>625</v>
      </c>
      <c r="D586" s="88" t="str">
        <f t="shared" si="22"/>
        <v>SUPERMIX625</v>
      </c>
      <c r="E586" s="58" t="s">
        <v>1918</v>
      </c>
      <c r="F586" s="58" t="s">
        <v>30</v>
      </c>
      <c r="G586" s="88" t="s">
        <v>25</v>
      </c>
      <c r="H586" s="90">
        <v>42185882</v>
      </c>
      <c r="I586" s="90" t="s">
        <v>3787</v>
      </c>
      <c r="J586" s="90" t="s">
        <v>1919</v>
      </c>
      <c r="K586" s="88" t="s">
        <v>281</v>
      </c>
      <c r="L586" s="91">
        <v>42199</v>
      </c>
      <c r="M586" s="91">
        <v>43295</v>
      </c>
      <c r="N586" s="88">
        <f t="shared" ca="1" si="21"/>
        <v>2892</v>
      </c>
      <c r="O586" s="84" t="str">
        <f ca="1">IF(Tabla1[[#This Row],[|]]&gt;=0,"VENCIDA",IF(Tabla1[[#This Row],[|]]&gt;=-14,"POR VENCER","OK"))</f>
        <v>VENCIDA</v>
      </c>
      <c r="P586" s="90" t="s">
        <v>823</v>
      </c>
      <c r="Q586" s="90" t="s">
        <v>312</v>
      </c>
      <c r="R586" s="88" t="s">
        <v>317</v>
      </c>
      <c r="S586" s="88"/>
      <c r="T586" s="88"/>
      <c r="U586" s="88"/>
      <c r="V586" s="88" t="s">
        <v>329</v>
      </c>
      <c r="W586" s="92" t="s">
        <v>525</v>
      </c>
      <c r="X586" s="88"/>
    </row>
    <row r="587" spans="1:24" s="63" customFormat="1" ht="32.25" customHeight="1" x14ac:dyDescent="0.2">
      <c r="A587" s="202">
        <v>626</v>
      </c>
      <c r="B587" s="88" t="s">
        <v>279</v>
      </c>
      <c r="C587" s="89">
        <v>626</v>
      </c>
      <c r="D587" s="88" t="str">
        <f t="shared" si="22"/>
        <v>SUPERMIX626</v>
      </c>
      <c r="E587" s="58" t="s">
        <v>1920</v>
      </c>
      <c r="F587" s="58" t="s">
        <v>1921</v>
      </c>
      <c r="G587" s="88" t="s">
        <v>25</v>
      </c>
      <c r="H587" s="90">
        <v>46433469</v>
      </c>
      <c r="I587" s="90" t="s">
        <v>3787</v>
      </c>
      <c r="J587" s="90" t="s">
        <v>1922</v>
      </c>
      <c r="K587" s="88" t="s">
        <v>877</v>
      </c>
      <c r="L587" s="91">
        <v>42171</v>
      </c>
      <c r="M587" s="91">
        <v>43267</v>
      </c>
      <c r="N587" s="88">
        <f t="shared" ca="1" si="21"/>
        <v>2920</v>
      </c>
      <c r="O587" s="84" t="str">
        <f ca="1">IF(Tabla1[[#This Row],[|]]&gt;=0,"VENCIDA",IF(Tabla1[[#This Row],[|]]&gt;=-14,"POR VENCER","OK"))</f>
        <v>VENCIDA</v>
      </c>
      <c r="P587" s="90" t="s">
        <v>823</v>
      </c>
      <c r="Q587" s="90" t="s">
        <v>312</v>
      </c>
      <c r="R587" s="88" t="s">
        <v>317</v>
      </c>
      <c r="S587" s="88"/>
      <c r="T587" s="88"/>
      <c r="U587" s="88"/>
      <c r="V587" s="88" t="s">
        <v>329</v>
      </c>
      <c r="W587" s="92" t="s">
        <v>525</v>
      </c>
      <c r="X587" s="88"/>
    </row>
    <row r="588" spans="1:24" s="63" customFormat="1" ht="32.25" customHeight="1" x14ac:dyDescent="0.2">
      <c r="A588" s="202">
        <v>627</v>
      </c>
      <c r="B588" s="88" t="s">
        <v>279</v>
      </c>
      <c r="C588" s="89">
        <v>627</v>
      </c>
      <c r="D588" s="88" t="str">
        <f t="shared" si="22"/>
        <v>SUPERMIX627</v>
      </c>
      <c r="E588" s="58" t="s">
        <v>1941</v>
      </c>
      <c r="F588" s="58" t="s">
        <v>1942</v>
      </c>
      <c r="G588" s="88" t="s">
        <v>25</v>
      </c>
      <c r="H588" s="90">
        <v>9630348</v>
      </c>
      <c r="I588" s="90" t="s">
        <v>3787</v>
      </c>
      <c r="J588" s="90" t="s">
        <v>2709</v>
      </c>
      <c r="K588" s="88" t="s">
        <v>343</v>
      </c>
      <c r="L588" s="91">
        <v>38656</v>
      </c>
      <c r="M588" s="91">
        <v>44060</v>
      </c>
      <c r="N588" s="88">
        <f t="shared" ca="1" si="21"/>
        <v>2127</v>
      </c>
      <c r="O588" s="84" t="str">
        <f ca="1">IF(Tabla1[[#This Row],[|]]&gt;=0,"VENCIDA",IF(Tabla1[[#This Row],[|]]&gt;=-14,"POR VENCER","OK"))</f>
        <v>VENCIDA</v>
      </c>
      <c r="P588" s="90" t="s">
        <v>824</v>
      </c>
      <c r="Q588" s="90" t="s">
        <v>312</v>
      </c>
      <c r="R588" s="88" t="s">
        <v>317</v>
      </c>
      <c r="S588" s="88"/>
      <c r="T588" s="88"/>
      <c r="U588" s="88"/>
      <c r="V588" s="88" t="s">
        <v>3185</v>
      </c>
      <c r="W588" s="92" t="s">
        <v>1943</v>
      </c>
      <c r="X588" s="88" t="s">
        <v>3042</v>
      </c>
    </row>
    <row r="589" spans="1:24" s="43" customFormat="1" ht="32.25" customHeight="1" x14ac:dyDescent="0.2">
      <c r="A589" s="42">
        <v>628</v>
      </c>
      <c r="B589" s="93" t="s">
        <v>279</v>
      </c>
      <c r="C589" s="94">
        <v>628</v>
      </c>
      <c r="D589" s="93" t="str">
        <f t="shared" si="22"/>
        <v>SUPERMIX628</v>
      </c>
      <c r="E589" s="115" t="s">
        <v>1929</v>
      </c>
      <c r="F589" s="115" t="s">
        <v>1930</v>
      </c>
      <c r="G589" s="93" t="s">
        <v>310</v>
      </c>
      <c r="H589" s="95">
        <v>41755960</v>
      </c>
      <c r="I589" s="95" t="s">
        <v>3788</v>
      </c>
      <c r="J589" s="93" t="s">
        <v>1931</v>
      </c>
      <c r="K589" s="93" t="s">
        <v>1961</v>
      </c>
      <c r="L589" s="96">
        <v>43299</v>
      </c>
      <c r="M589" s="96">
        <v>46265</v>
      </c>
      <c r="N589" s="93">
        <f t="shared" ca="1" si="21"/>
        <v>-78</v>
      </c>
      <c r="O589" s="84" t="str">
        <f ca="1">IF(Tabla1[[#This Row],[|]]&gt;=0,"VENCIDA",IF(Tabla1[[#This Row],[|]]&gt;=-14,"POR VENCER","OK"))</f>
        <v>OK</v>
      </c>
      <c r="P589" s="95" t="s">
        <v>2827</v>
      </c>
      <c r="Q589" s="95" t="s">
        <v>312</v>
      </c>
      <c r="R589" s="93" t="s">
        <v>17</v>
      </c>
      <c r="S589" s="93"/>
      <c r="T589" s="93"/>
      <c r="U589" s="93"/>
      <c r="V589" s="93" t="s">
        <v>282</v>
      </c>
      <c r="W589" s="97" t="s">
        <v>1112</v>
      </c>
      <c r="X589" s="93" t="s">
        <v>2913</v>
      </c>
    </row>
    <row r="590" spans="1:24" s="63" customFormat="1" ht="32.25" customHeight="1" x14ac:dyDescent="0.2">
      <c r="A590" s="202">
        <v>629</v>
      </c>
      <c r="B590" s="88" t="s">
        <v>279</v>
      </c>
      <c r="C590" s="89">
        <v>629</v>
      </c>
      <c r="D590" s="88" t="str">
        <f t="shared" si="22"/>
        <v>SUPERMIX629</v>
      </c>
      <c r="E590" s="58" t="s">
        <v>1932</v>
      </c>
      <c r="F590" s="58" t="s">
        <v>1933</v>
      </c>
      <c r="G590" s="88" t="s">
        <v>25</v>
      </c>
      <c r="H590" s="90">
        <v>45638916</v>
      </c>
      <c r="I590" s="90" t="s">
        <v>3787</v>
      </c>
      <c r="J590" s="90" t="s">
        <v>1946</v>
      </c>
      <c r="K590" s="88" t="s">
        <v>281</v>
      </c>
      <c r="L590" s="91">
        <v>42460</v>
      </c>
      <c r="M590" s="91">
        <v>43555</v>
      </c>
      <c r="N590" s="88">
        <f t="shared" ca="1" si="21"/>
        <v>2632</v>
      </c>
      <c r="O590" s="84" t="str">
        <f ca="1">IF(Tabla1[[#This Row],[|]]&gt;=0,"VENCIDA",IF(Tabla1[[#This Row],[|]]&gt;=-14,"POR VENCER","OK"))</f>
        <v>VENCIDA</v>
      </c>
      <c r="P590" s="90" t="s">
        <v>597</v>
      </c>
      <c r="Q590" s="90" t="s">
        <v>312</v>
      </c>
      <c r="R590" s="88" t="s">
        <v>317</v>
      </c>
      <c r="S590" s="88"/>
      <c r="T590" s="88"/>
      <c r="U590" s="88"/>
      <c r="V590" s="88" t="s">
        <v>1944</v>
      </c>
      <c r="W590" s="92" t="s">
        <v>1112</v>
      </c>
      <c r="X590" s="88"/>
    </row>
    <row r="591" spans="1:24" s="63" customFormat="1" ht="32.25" customHeight="1" x14ac:dyDescent="0.2">
      <c r="A591" s="202">
        <v>630</v>
      </c>
      <c r="B591" s="88" t="s">
        <v>279</v>
      </c>
      <c r="C591" s="89">
        <v>630</v>
      </c>
      <c r="D591" s="88" t="str">
        <f t="shared" si="22"/>
        <v>SUPERMIX630</v>
      </c>
      <c r="E591" s="58" t="s">
        <v>1940</v>
      </c>
      <c r="F591" s="58" t="s">
        <v>570</v>
      </c>
      <c r="G591" s="88" t="s">
        <v>25</v>
      </c>
      <c r="H591" s="90">
        <v>44871558</v>
      </c>
      <c r="I591" s="90" t="s">
        <v>3787</v>
      </c>
      <c r="J591" s="88" t="s">
        <v>1938</v>
      </c>
      <c r="K591" s="88" t="s">
        <v>281</v>
      </c>
      <c r="L591" s="91">
        <v>42431</v>
      </c>
      <c r="M591" s="91">
        <v>43526</v>
      </c>
      <c r="N591" s="88">
        <f t="shared" ca="1" si="21"/>
        <v>2661</v>
      </c>
      <c r="O591" s="84" t="str">
        <f ca="1">IF(Tabla1[[#This Row],[|]]&gt;=0,"VENCIDA",IF(Tabla1[[#This Row],[|]]&gt;=-14,"POR VENCER","OK"))</f>
        <v>VENCIDA</v>
      </c>
      <c r="P591" s="90" t="s">
        <v>640</v>
      </c>
      <c r="Q591" s="90" t="s">
        <v>312</v>
      </c>
      <c r="R591" s="88" t="s">
        <v>17</v>
      </c>
      <c r="S591" s="88"/>
      <c r="T591" s="88"/>
      <c r="U591" s="88"/>
      <c r="V591" s="88" t="s">
        <v>1939</v>
      </c>
      <c r="W591" s="92" t="s">
        <v>299</v>
      </c>
      <c r="X591" s="88"/>
    </row>
    <row r="592" spans="1:24" s="63" customFormat="1" ht="32.25" customHeight="1" x14ac:dyDescent="0.2">
      <c r="A592" s="202">
        <v>631</v>
      </c>
      <c r="B592" s="88" t="s">
        <v>279</v>
      </c>
      <c r="C592" s="89">
        <v>631</v>
      </c>
      <c r="D592" s="88" t="str">
        <f t="shared" si="22"/>
        <v>SUPERMIX631</v>
      </c>
      <c r="E592" s="58" t="s">
        <v>1934</v>
      </c>
      <c r="F592" s="58" t="s">
        <v>1935</v>
      </c>
      <c r="G592" s="88" t="s">
        <v>25</v>
      </c>
      <c r="H592" s="90" t="s">
        <v>1950</v>
      </c>
      <c r="I592" s="90" t="s">
        <v>3787</v>
      </c>
      <c r="J592" s="90" t="s">
        <v>1945</v>
      </c>
      <c r="K592" s="88" t="s">
        <v>281</v>
      </c>
      <c r="L592" s="91">
        <v>40927</v>
      </c>
      <c r="M592" s="91">
        <v>43095</v>
      </c>
      <c r="N592" s="88">
        <f t="shared" ca="1" si="21"/>
        <v>3092</v>
      </c>
      <c r="O592" s="84" t="str">
        <f ca="1">IF(Tabla1[[#This Row],[|]]&gt;=0,"VENCIDA",IF(Tabla1[[#This Row],[|]]&gt;=-14,"POR VENCER","OK"))</f>
        <v>VENCIDA</v>
      </c>
      <c r="P592" s="90" t="s">
        <v>597</v>
      </c>
      <c r="Q592" s="90" t="s">
        <v>312</v>
      </c>
      <c r="R592" s="88" t="s">
        <v>17</v>
      </c>
      <c r="S592" s="88"/>
      <c r="T592" s="88"/>
      <c r="U592" s="88"/>
      <c r="V592" s="88" t="s">
        <v>1944</v>
      </c>
      <c r="W592" s="92" t="s">
        <v>1112</v>
      </c>
      <c r="X592" s="88"/>
    </row>
    <row r="593" spans="1:24" s="59" customFormat="1" ht="32.25" customHeight="1" x14ac:dyDescent="0.2">
      <c r="A593" s="200">
        <v>632</v>
      </c>
      <c r="B593" s="61" t="s">
        <v>279</v>
      </c>
      <c r="C593" s="87">
        <v>632</v>
      </c>
      <c r="D593" s="61" t="str">
        <f t="shared" si="22"/>
        <v>SUPERMIX632</v>
      </c>
      <c r="E593" s="82" t="s">
        <v>1947</v>
      </c>
      <c r="F593" s="82" t="s">
        <v>1948</v>
      </c>
      <c r="G593" s="61" t="s">
        <v>341</v>
      </c>
      <c r="H593" s="60">
        <v>22061552</v>
      </c>
      <c r="I593" s="60" t="s">
        <v>3787</v>
      </c>
      <c r="J593" s="61" t="s">
        <v>1949</v>
      </c>
      <c r="K593" s="61" t="s">
        <v>281</v>
      </c>
      <c r="L593" s="62">
        <v>38681</v>
      </c>
      <c r="M593" s="62">
        <v>43928</v>
      </c>
      <c r="N593" s="61">
        <f t="shared" ca="1" si="21"/>
        <v>2259</v>
      </c>
      <c r="O593" s="84" t="str">
        <f ca="1">IF(Tabla1[[#This Row],[|]]&gt;=0,"VENCIDA",IF(Tabla1[[#This Row],[|]]&gt;=-14,"POR VENCER","OK"))</f>
        <v>VENCIDA</v>
      </c>
      <c r="P593" s="60" t="s">
        <v>597</v>
      </c>
      <c r="Q593" s="60" t="s">
        <v>312</v>
      </c>
      <c r="R593" s="61" t="s">
        <v>317</v>
      </c>
      <c r="S593" s="61"/>
      <c r="T593" s="61"/>
      <c r="U593" s="61"/>
      <c r="V593" s="61" t="s">
        <v>1944</v>
      </c>
      <c r="W593" s="86" t="s">
        <v>1112</v>
      </c>
      <c r="X593" s="61"/>
    </row>
    <row r="594" spans="1:24" s="63" customFormat="1" ht="32.25" customHeight="1" x14ac:dyDescent="0.2">
      <c r="A594" s="202">
        <v>633</v>
      </c>
      <c r="B594" s="88" t="s">
        <v>279</v>
      </c>
      <c r="C594" s="89">
        <v>633</v>
      </c>
      <c r="D594" s="88" t="str">
        <f t="shared" si="22"/>
        <v>SUPERMIX633</v>
      </c>
      <c r="E594" s="58" t="s">
        <v>1951</v>
      </c>
      <c r="F594" s="58" t="s">
        <v>1952</v>
      </c>
      <c r="G594" s="88" t="s">
        <v>25</v>
      </c>
      <c r="H594" s="90">
        <v>44961836</v>
      </c>
      <c r="I594" s="90" t="s">
        <v>3787</v>
      </c>
      <c r="J594" s="90" t="s">
        <v>1953</v>
      </c>
      <c r="K594" s="88" t="s">
        <v>1954</v>
      </c>
      <c r="L594" s="91">
        <v>42058</v>
      </c>
      <c r="M594" s="91">
        <v>43154</v>
      </c>
      <c r="N594" s="88">
        <f t="shared" ca="1" si="21"/>
        <v>3033</v>
      </c>
      <c r="O594" s="84" t="str">
        <f ca="1">IF(Tabla1[[#This Row],[|]]&gt;=0,"VENCIDA",IF(Tabla1[[#This Row],[|]]&gt;=-14,"POR VENCER","OK"))</f>
        <v>VENCIDA</v>
      </c>
      <c r="P594" s="90" t="s">
        <v>597</v>
      </c>
      <c r="Q594" s="90" t="s">
        <v>312</v>
      </c>
      <c r="R594" s="88" t="s">
        <v>317</v>
      </c>
      <c r="S594" s="88"/>
      <c r="T594" s="88"/>
      <c r="U594" s="88"/>
      <c r="V594" s="88" t="s">
        <v>1944</v>
      </c>
      <c r="W594" s="92" t="s">
        <v>1112</v>
      </c>
      <c r="X594" s="88"/>
    </row>
    <row r="595" spans="1:24" s="63" customFormat="1" ht="32.25" customHeight="1" x14ac:dyDescent="0.2">
      <c r="A595" s="202">
        <v>634</v>
      </c>
      <c r="B595" s="88" t="s">
        <v>279</v>
      </c>
      <c r="C595" s="89">
        <v>634</v>
      </c>
      <c r="D595" s="88" t="str">
        <f t="shared" si="22"/>
        <v>SUPERMIX634</v>
      </c>
      <c r="E595" s="58" t="s">
        <v>1955</v>
      </c>
      <c r="F595" s="58" t="s">
        <v>21</v>
      </c>
      <c r="G595" s="88" t="s">
        <v>25</v>
      </c>
      <c r="H595" s="90">
        <v>42047794</v>
      </c>
      <c r="I595" s="90" t="s">
        <v>3787</v>
      </c>
      <c r="J595" s="90" t="s">
        <v>1956</v>
      </c>
      <c r="K595" s="88" t="s">
        <v>1954</v>
      </c>
      <c r="L595" s="91">
        <v>42537</v>
      </c>
      <c r="M595" s="91">
        <v>43632</v>
      </c>
      <c r="N595" s="88">
        <f t="shared" ca="1" si="21"/>
        <v>2555</v>
      </c>
      <c r="O595" s="84" t="str">
        <f ca="1">IF(Tabla1[[#This Row],[|]]&gt;=0,"VENCIDA",IF(Tabla1[[#This Row],[|]]&gt;=-14,"POR VENCER","OK"))</f>
        <v>VENCIDA</v>
      </c>
      <c r="P595" s="90" t="s">
        <v>597</v>
      </c>
      <c r="Q595" s="90" t="s">
        <v>312</v>
      </c>
      <c r="R595" s="88" t="s">
        <v>317</v>
      </c>
      <c r="S595" s="88"/>
      <c r="T595" s="88"/>
      <c r="U595" s="88"/>
      <c r="V595" s="88" t="s">
        <v>1944</v>
      </c>
      <c r="W595" s="92" t="s">
        <v>1112</v>
      </c>
      <c r="X595" s="88"/>
    </row>
    <row r="596" spans="1:24" s="43" customFormat="1" ht="32.25" customHeight="1" x14ac:dyDescent="0.2">
      <c r="A596" s="42">
        <v>635</v>
      </c>
      <c r="B596" s="93" t="s">
        <v>279</v>
      </c>
      <c r="C596" s="94">
        <v>635</v>
      </c>
      <c r="D596" s="93" t="str">
        <f t="shared" si="22"/>
        <v>SUPERMIX635</v>
      </c>
      <c r="E596" s="115" t="s">
        <v>1958</v>
      </c>
      <c r="F596" s="115" t="s">
        <v>1959</v>
      </c>
      <c r="G596" s="93" t="s">
        <v>25</v>
      </c>
      <c r="H596" s="95">
        <v>43078315</v>
      </c>
      <c r="I596" s="95" t="s">
        <v>3788</v>
      </c>
      <c r="J596" s="95" t="s">
        <v>1960</v>
      </c>
      <c r="K596" s="93" t="s">
        <v>1961</v>
      </c>
      <c r="L596" s="96">
        <v>41983</v>
      </c>
      <c r="M596" s="117">
        <v>48473</v>
      </c>
      <c r="N596" s="93">
        <f t="shared" ca="1" si="21"/>
        <v>-2286</v>
      </c>
      <c r="O596" s="84" t="str">
        <f ca="1">IF(Tabla1[[#This Row],[|]]&gt;=0,"VENCIDA",IF(Tabla1[[#This Row],[|]]&gt;=-14,"POR VENCER","OK"))</f>
        <v>OK</v>
      </c>
      <c r="P596" s="95" t="s">
        <v>2827</v>
      </c>
      <c r="Q596" s="95" t="s">
        <v>312</v>
      </c>
      <c r="R596" s="93" t="s">
        <v>17</v>
      </c>
      <c r="S596" s="93"/>
      <c r="T596" s="93"/>
      <c r="U596" s="93"/>
      <c r="V596" s="93" t="s">
        <v>372</v>
      </c>
      <c r="W596" s="97" t="s">
        <v>2776</v>
      </c>
      <c r="X596" s="93" t="s">
        <v>2870</v>
      </c>
    </row>
    <row r="597" spans="1:24" s="43" customFormat="1" ht="32.25" customHeight="1" x14ac:dyDescent="0.2">
      <c r="A597" s="42">
        <v>636</v>
      </c>
      <c r="B597" s="93" t="s">
        <v>279</v>
      </c>
      <c r="C597" s="94">
        <v>636</v>
      </c>
      <c r="D597" s="93" t="str">
        <f t="shared" si="22"/>
        <v>SUPERMIX636</v>
      </c>
      <c r="E597" s="115" t="s">
        <v>1962</v>
      </c>
      <c r="F597" s="115" t="s">
        <v>507</v>
      </c>
      <c r="G597" s="93" t="s">
        <v>25</v>
      </c>
      <c r="H597" s="95">
        <v>40448926</v>
      </c>
      <c r="I597" s="95" t="s">
        <v>3788</v>
      </c>
      <c r="J597" s="93" t="s">
        <v>2378</v>
      </c>
      <c r="K597" s="93" t="s">
        <v>1954</v>
      </c>
      <c r="L597" s="96">
        <v>39660</v>
      </c>
      <c r="M597" s="96">
        <v>47349</v>
      </c>
      <c r="N597" s="93">
        <f t="shared" ca="1" si="21"/>
        <v>-1162</v>
      </c>
      <c r="O597" s="84" t="str">
        <f ca="1">IF(Tabla1[[#This Row],[|]]&gt;=0,"VENCIDA",IF(Tabla1[[#This Row],[|]]&gt;=-14,"POR VENCER","OK"))</f>
        <v>OK</v>
      </c>
      <c r="P597" s="95" t="s">
        <v>3781</v>
      </c>
      <c r="Q597" s="93" t="s">
        <v>312</v>
      </c>
      <c r="R597" s="93" t="s">
        <v>317</v>
      </c>
      <c r="S597" s="93"/>
      <c r="T597" s="93"/>
      <c r="U597" s="93"/>
      <c r="V597" s="93" t="s">
        <v>352</v>
      </c>
      <c r="W597" s="97" t="s">
        <v>2776</v>
      </c>
      <c r="X597" s="204" t="s">
        <v>597</v>
      </c>
    </row>
    <row r="598" spans="1:24" s="63" customFormat="1" ht="32.25" customHeight="1" x14ac:dyDescent="0.2">
      <c r="A598" s="202">
        <v>637</v>
      </c>
      <c r="B598" s="88" t="s">
        <v>279</v>
      </c>
      <c r="C598" s="89">
        <v>637</v>
      </c>
      <c r="D598" s="88" t="str">
        <f t="shared" si="22"/>
        <v>SUPERMIX637</v>
      </c>
      <c r="E598" s="58" t="s">
        <v>1963</v>
      </c>
      <c r="F598" s="58" t="s">
        <v>1964</v>
      </c>
      <c r="G598" s="88" t="s">
        <v>25</v>
      </c>
      <c r="H598" s="90">
        <v>43133097</v>
      </c>
      <c r="I598" s="90" t="s">
        <v>3787</v>
      </c>
      <c r="J598" s="90" t="s">
        <v>1965</v>
      </c>
      <c r="K598" s="88" t="s">
        <v>281</v>
      </c>
      <c r="L598" s="91">
        <v>41352</v>
      </c>
      <c r="M598" s="91">
        <v>43520</v>
      </c>
      <c r="N598" s="88">
        <f t="shared" ca="1" si="21"/>
        <v>2667</v>
      </c>
      <c r="O598" s="84" t="str">
        <f ca="1">IF(Tabla1[[#This Row],[|]]&gt;=0,"VENCIDA",IF(Tabla1[[#This Row],[|]]&gt;=-14,"POR VENCER","OK"))</f>
        <v>VENCIDA</v>
      </c>
      <c r="P598" s="90" t="s">
        <v>597</v>
      </c>
      <c r="Q598" s="90" t="s">
        <v>312</v>
      </c>
      <c r="R598" s="88" t="s">
        <v>317</v>
      </c>
      <c r="S598" s="88"/>
      <c r="T598" s="88"/>
      <c r="U598" s="88"/>
      <c r="V598" s="88" t="s">
        <v>372</v>
      </c>
      <c r="W598" s="92" t="s">
        <v>1112</v>
      </c>
      <c r="X598" s="88"/>
    </row>
    <row r="599" spans="1:24" s="63" customFormat="1" ht="32.25" customHeight="1" x14ac:dyDescent="0.2">
      <c r="A599" s="202">
        <v>638</v>
      </c>
      <c r="B599" s="88" t="s">
        <v>279</v>
      </c>
      <c r="C599" s="89">
        <v>638</v>
      </c>
      <c r="D599" s="88" t="str">
        <f t="shared" si="22"/>
        <v>SUPERMIX638</v>
      </c>
      <c r="E599" s="58" t="s">
        <v>1966</v>
      </c>
      <c r="F599" s="58" t="s">
        <v>1967</v>
      </c>
      <c r="G599" s="88" t="s">
        <v>1968</v>
      </c>
      <c r="H599" s="90">
        <v>41669929</v>
      </c>
      <c r="I599" s="90" t="s">
        <v>3787</v>
      </c>
      <c r="J599" s="90" t="s">
        <v>1969</v>
      </c>
      <c r="K599" s="88" t="s">
        <v>281</v>
      </c>
      <c r="L599" s="91">
        <v>41432</v>
      </c>
      <c r="M599" s="91">
        <v>44704</v>
      </c>
      <c r="N599" s="88">
        <f t="shared" ca="1" si="21"/>
        <v>1483</v>
      </c>
      <c r="O599" s="84" t="str">
        <f ca="1">IF(Tabla1[[#This Row],[|]]&gt;=0,"VENCIDA",IF(Tabla1[[#This Row],[|]]&gt;=-14,"POR VENCER","OK"))</f>
        <v>VENCIDA</v>
      </c>
      <c r="P599" s="90" t="s">
        <v>3211</v>
      </c>
      <c r="Q599" s="90" t="s">
        <v>312</v>
      </c>
      <c r="R599" s="88" t="s">
        <v>317</v>
      </c>
      <c r="S599" s="88"/>
      <c r="T599" s="88"/>
      <c r="U599" s="88"/>
      <c r="V599" s="88" t="s">
        <v>352</v>
      </c>
      <c r="W599" s="92" t="s">
        <v>2776</v>
      </c>
      <c r="X599" s="88" t="s">
        <v>597</v>
      </c>
    </row>
    <row r="600" spans="1:24" s="63" customFormat="1" ht="32.25" customHeight="1" x14ac:dyDescent="0.2">
      <c r="A600" s="202">
        <v>639</v>
      </c>
      <c r="B600" s="88" t="s">
        <v>279</v>
      </c>
      <c r="C600" s="89">
        <v>639</v>
      </c>
      <c r="D600" s="88" t="str">
        <f t="shared" si="22"/>
        <v>SUPERMIX639</v>
      </c>
      <c r="E600" s="58" t="s">
        <v>1970</v>
      </c>
      <c r="F600" s="58" t="s">
        <v>1971</v>
      </c>
      <c r="G600" s="88" t="s">
        <v>25</v>
      </c>
      <c r="H600" s="90">
        <v>70404336</v>
      </c>
      <c r="I600" s="90" t="s">
        <v>3787</v>
      </c>
      <c r="J600" s="88" t="s">
        <v>1972</v>
      </c>
      <c r="K600" s="88" t="s">
        <v>293</v>
      </c>
      <c r="L600" s="91">
        <v>42492</v>
      </c>
      <c r="M600" s="91">
        <v>43587</v>
      </c>
      <c r="N600" s="88">
        <f t="shared" ca="1" si="21"/>
        <v>2600</v>
      </c>
      <c r="O600" s="84" t="str">
        <f ca="1">IF(Tabla1[[#This Row],[|]]&gt;=0,"VENCIDA",IF(Tabla1[[#This Row],[|]]&gt;=-14,"POR VENCER","OK"))</f>
        <v>VENCIDA</v>
      </c>
      <c r="P600" s="90" t="s">
        <v>824</v>
      </c>
      <c r="Q600" s="90" t="s">
        <v>312</v>
      </c>
      <c r="R600" s="88" t="s">
        <v>317</v>
      </c>
      <c r="S600" s="88"/>
      <c r="T600" s="88"/>
      <c r="U600" s="88"/>
      <c r="V600" s="88" t="s">
        <v>372</v>
      </c>
      <c r="W600" s="92" t="s">
        <v>1112</v>
      </c>
      <c r="X600" s="88"/>
    </row>
    <row r="601" spans="1:24" s="63" customFormat="1" ht="32.25" customHeight="1" x14ac:dyDescent="0.2">
      <c r="A601" s="202">
        <v>640</v>
      </c>
      <c r="B601" s="88" t="s">
        <v>279</v>
      </c>
      <c r="C601" s="89">
        <v>640</v>
      </c>
      <c r="D601" s="88" t="str">
        <f t="shared" si="22"/>
        <v>SUPERMIX640</v>
      </c>
      <c r="E601" s="58" t="s">
        <v>1973</v>
      </c>
      <c r="F601" s="58" t="s">
        <v>176</v>
      </c>
      <c r="G601" s="88" t="s">
        <v>25</v>
      </c>
      <c r="H601" s="90">
        <v>41008204</v>
      </c>
      <c r="I601" s="90" t="s">
        <v>3787</v>
      </c>
      <c r="J601" s="88" t="s">
        <v>1974</v>
      </c>
      <c r="K601" s="88" t="s">
        <v>3142</v>
      </c>
      <c r="L601" s="91">
        <v>38950</v>
      </c>
      <c r="M601" s="91">
        <v>45528</v>
      </c>
      <c r="N601" s="88">
        <f t="shared" ca="1" si="21"/>
        <v>659</v>
      </c>
      <c r="O601" s="84" t="str">
        <f ca="1">IF(Tabla1[[#This Row],[|]]&gt;=0,"VENCIDA",IF(Tabla1[[#This Row],[|]]&gt;=-14,"POR VENCER","OK"))</f>
        <v>VENCIDA</v>
      </c>
      <c r="P601" s="90" t="s">
        <v>824</v>
      </c>
      <c r="Q601" s="90" t="s">
        <v>312</v>
      </c>
      <c r="R601" s="88" t="s">
        <v>317</v>
      </c>
      <c r="S601" s="88"/>
      <c r="T601" s="88"/>
      <c r="U601" s="88"/>
      <c r="V601" s="88" t="s">
        <v>1939</v>
      </c>
      <c r="W601" s="92" t="s">
        <v>1112</v>
      </c>
      <c r="X601" s="88"/>
    </row>
    <row r="602" spans="1:24" s="63" customFormat="1" ht="32.25" customHeight="1" x14ac:dyDescent="0.2">
      <c r="A602" s="202">
        <v>641</v>
      </c>
      <c r="B602" s="88" t="s">
        <v>279</v>
      </c>
      <c r="C602" s="89">
        <v>641</v>
      </c>
      <c r="D602" s="88" t="str">
        <f t="shared" si="22"/>
        <v>SUPERMIX641</v>
      </c>
      <c r="E602" s="58" t="s">
        <v>1975</v>
      </c>
      <c r="F602" s="58" t="s">
        <v>1976</v>
      </c>
      <c r="G602" s="88" t="s">
        <v>25</v>
      </c>
      <c r="H602" s="90">
        <v>29650796</v>
      </c>
      <c r="I602" s="90" t="s">
        <v>3787</v>
      </c>
      <c r="J602" s="88" t="s">
        <v>1977</v>
      </c>
      <c r="K602" s="88" t="s">
        <v>281</v>
      </c>
      <c r="L602" s="91">
        <v>41513</v>
      </c>
      <c r="M602" s="91">
        <v>44789</v>
      </c>
      <c r="N602" s="88">
        <f t="shared" ca="1" si="21"/>
        <v>1398</v>
      </c>
      <c r="O602" s="84" t="str">
        <f ca="1">IF(Tabla1[[#This Row],[|]]&gt;=0,"VENCIDA",IF(Tabla1[[#This Row],[|]]&gt;=-14,"POR VENCER","OK"))</f>
        <v>VENCIDA</v>
      </c>
      <c r="P602" s="90" t="s">
        <v>3244</v>
      </c>
      <c r="Q602" s="90" t="s">
        <v>312</v>
      </c>
      <c r="R602" s="88" t="s">
        <v>317</v>
      </c>
      <c r="S602" s="88"/>
      <c r="T602" s="88"/>
      <c r="U602" s="88"/>
      <c r="V602" s="88" t="s">
        <v>1981</v>
      </c>
      <c r="W602" s="92" t="s">
        <v>1943</v>
      </c>
      <c r="X602" s="88" t="s">
        <v>3439</v>
      </c>
    </row>
    <row r="603" spans="1:24" s="63" customFormat="1" ht="32.25" customHeight="1" x14ac:dyDescent="0.2">
      <c r="A603" s="202">
        <v>642</v>
      </c>
      <c r="B603" s="88" t="s">
        <v>279</v>
      </c>
      <c r="C603" s="89">
        <v>642</v>
      </c>
      <c r="D603" s="88" t="str">
        <f t="shared" si="22"/>
        <v>SUPERMIX642</v>
      </c>
      <c r="E603" s="58" t="s">
        <v>1978</v>
      </c>
      <c r="F603" s="58" t="s">
        <v>1979</v>
      </c>
      <c r="G603" s="88" t="s">
        <v>25</v>
      </c>
      <c r="H603" s="90">
        <v>40074850</v>
      </c>
      <c r="I603" s="90" t="s">
        <v>3787</v>
      </c>
      <c r="J603" s="88" t="s">
        <v>1980</v>
      </c>
      <c r="K603" s="88" t="s">
        <v>293</v>
      </c>
      <c r="L603" s="91">
        <v>41486</v>
      </c>
      <c r="M603" s="91">
        <v>44767</v>
      </c>
      <c r="N603" s="88">
        <f t="shared" ca="1" si="21"/>
        <v>1420</v>
      </c>
      <c r="O603" s="84" t="str">
        <f ca="1">IF(Tabla1[[#This Row],[|]]&gt;=0,"VENCIDA",IF(Tabla1[[#This Row],[|]]&gt;=-14,"POR VENCER","OK"))</f>
        <v>VENCIDA</v>
      </c>
      <c r="P603" s="90" t="s">
        <v>2827</v>
      </c>
      <c r="Q603" s="90" t="s">
        <v>312</v>
      </c>
      <c r="R603" s="88" t="s">
        <v>17</v>
      </c>
      <c r="S603" s="88"/>
      <c r="T603" s="88"/>
      <c r="U603" s="88"/>
      <c r="V603" s="88" t="s">
        <v>1981</v>
      </c>
      <c r="W603" s="92" t="s">
        <v>1943</v>
      </c>
      <c r="X603" s="88" t="s">
        <v>2866</v>
      </c>
    </row>
    <row r="604" spans="1:24" s="63" customFormat="1" ht="32.25" customHeight="1" x14ac:dyDescent="0.2">
      <c r="A604" s="202">
        <v>643</v>
      </c>
      <c r="B604" s="88" t="s">
        <v>279</v>
      </c>
      <c r="C604" s="89">
        <v>643</v>
      </c>
      <c r="D604" s="88" t="str">
        <f t="shared" si="22"/>
        <v>SUPERMIX643</v>
      </c>
      <c r="E604" s="58" t="s">
        <v>1982</v>
      </c>
      <c r="F604" s="58" t="s">
        <v>1983</v>
      </c>
      <c r="G604" s="88" t="s">
        <v>25</v>
      </c>
      <c r="H604" s="90">
        <v>45442016</v>
      </c>
      <c r="I604" s="90" t="s">
        <v>3787</v>
      </c>
      <c r="J604" s="88" t="s">
        <v>1984</v>
      </c>
      <c r="K604" s="88" t="s">
        <v>293</v>
      </c>
      <c r="L604" s="91">
        <v>42208</v>
      </c>
      <c r="M604" s="91">
        <v>44422</v>
      </c>
      <c r="N604" s="88">
        <f t="shared" ca="1" si="21"/>
        <v>1765</v>
      </c>
      <c r="O604" s="84" t="str">
        <f ca="1">IF(Tabla1[[#This Row],[|]]&gt;=0,"VENCIDA",IF(Tabla1[[#This Row],[|]]&gt;=-14,"POR VENCER","OK"))</f>
        <v>VENCIDA</v>
      </c>
      <c r="P604" s="90" t="s">
        <v>824</v>
      </c>
      <c r="Q604" s="90" t="s">
        <v>312</v>
      </c>
      <c r="R604" s="88" t="s">
        <v>317</v>
      </c>
      <c r="S604" s="88"/>
      <c r="T604" s="88"/>
      <c r="U604" s="88"/>
      <c r="V604" s="88" t="s">
        <v>1981</v>
      </c>
      <c r="W604" s="92" t="s">
        <v>971</v>
      </c>
      <c r="X604" s="88"/>
    </row>
    <row r="605" spans="1:24" s="63" customFormat="1" ht="32.25" customHeight="1" x14ac:dyDescent="0.2">
      <c r="A605" s="202">
        <v>644</v>
      </c>
      <c r="B605" s="88" t="s">
        <v>279</v>
      </c>
      <c r="C605" s="89">
        <v>644</v>
      </c>
      <c r="D605" s="88" t="str">
        <f t="shared" si="22"/>
        <v>SUPERMIX644</v>
      </c>
      <c r="E605" s="58" t="s">
        <v>1985</v>
      </c>
      <c r="F605" s="58" t="s">
        <v>1986</v>
      </c>
      <c r="G605" s="88" t="s">
        <v>310</v>
      </c>
      <c r="H605" s="90">
        <v>47393759</v>
      </c>
      <c r="I605" s="90" t="s">
        <v>3787</v>
      </c>
      <c r="J605" s="90" t="s">
        <v>1987</v>
      </c>
      <c r="K605" s="88" t="s">
        <v>293</v>
      </c>
      <c r="L605" s="91">
        <v>42521</v>
      </c>
      <c r="M605" s="91">
        <v>44709</v>
      </c>
      <c r="N605" s="88">
        <f t="shared" ca="1" si="21"/>
        <v>1478</v>
      </c>
      <c r="O605" s="84" t="str">
        <f ca="1">IF(Tabla1[[#This Row],[|]]&gt;=0,"VENCIDA",IF(Tabla1[[#This Row],[|]]&gt;=-14,"POR VENCER","OK"))</f>
        <v>VENCIDA</v>
      </c>
      <c r="P605" s="90" t="s">
        <v>2787</v>
      </c>
      <c r="Q605" s="90" t="s">
        <v>312</v>
      </c>
      <c r="R605" s="88" t="s">
        <v>317</v>
      </c>
      <c r="S605" s="88"/>
      <c r="T605" s="88"/>
      <c r="U605" s="88"/>
      <c r="V605" s="88" t="s">
        <v>1981</v>
      </c>
      <c r="W605" s="92" t="s">
        <v>299</v>
      </c>
      <c r="X605" s="88" t="s">
        <v>2865</v>
      </c>
    </row>
    <row r="606" spans="1:24" s="43" customFormat="1" ht="32.25" customHeight="1" x14ac:dyDescent="0.2">
      <c r="A606" s="42">
        <v>645</v>
      </c>
      <c r="B606" s="93" t="s">
        <v>279</v>
      </c>
      <c r="C606" s="94">
        <v>645</v>
      </c>
      <c r="D606" s="93" t="str">
        <f t="shared" si="22"/>
        <v>SUPERMIX645</v>
      </c>
      <c r="E606" s="115" t="s">
        <v>1988</v>
      </c>
      <c r="F606" s="115" t="s">
        <v>3502</v>
      </c>
      <c r="G606" s="93" t="s">
        <v>1968</v>
      </c>
      <c r="H606" s="95">
        <v>71254599</v>
      </c>
      <c r="I606" s="95" t="s">
        <v>3788</v>
      </c>
      <c r="J606" s="93" t="s">
        <v>2004</v>
      </c>
      <c r="K606" s="93" t="s">
        <v>343</v>
      </c>
      <c r="L606" s="96">
        <v>42678</v>
      </c>
      <c r="M606" s="96">
        <v>45614</v>
      </c>
      <c r="N606" s="93">
        <f t="shared" ca="1" si="21"/>
        <v>573</v>
      </c>
      <c r="O606" s="84" t="str">
        <f ca="1">IF(Tabla1[[#This Row],[|]]&gt;=0,"VENCIDA",IF(Tabla1[[#This Row],[|]]&gt;=-14,"POR VENCER","OK"))</f>
        <v>VENCIDA</v>
      </c>
      <c r="P606" s="95" t="s">
        <v>3175</v>
      </c>
      <c r="Q606" s="95" t="s">
        <v>312</v>
      </c>
      <c r="R606" s="93" t="s">
        <v>17</v>
      </c>
      <c r="S606" s="93"/>
      <c r="T606" s="93"/>
      <c r="U606" s="93"/>
      <c r="V606" s="93" t="s">
        <v>3176</v>
      </c>
      <c r="W606" s="97" t="s">
        <v>907</v>
      </c>
      <c r="X606" s="93" t="s">
        <v>3055</v>
      </c>
    </row>
    <row r="607" spans="1:24" s="63" customFormat="1" ht="32.25" customHeight="1" x14ac:dyDescent="0.2">
      <c r="A607" s="202">
        <v>646</v>
      </c>
      <c r="B607" s="88" t="s">
        <v>279</v>
      </c>
      <c r="C607" s="89">
        <v>646</v>
      </c>
      <c r="D607" s="88" t="str">
        <f t="shared" si="22"/>
        <v>SUPERMIX646</v>
      </c>
      <c r="E607" s="58" t="s">
        <v>1989</v>
      </c>
      <c r="F607" s="58" t="s">
        <v>1990</v>
      </c>
      <c r="G607" s="88" t="s">
        <v>310</v>
      </c>
      <c r="H607" s="90" t="s">
        <v>2041</v>
      </c>
      <c r="I607" s="90" t="s">
        <v>3787</v>
      </c>
      <c r="J607" s="88" t="s">
        <v>1991</v>
      </c>
      <c r="K607" s="88" t="s">
        <v>281</v>
      </c>
      <c r="L607" s="91">
        <v>39287</v>
      </c>
      <c r="M607" s="91">
        <v>44899</v>
      </c>
      <c r="N607" s="88">
        <f t="shared" ca="1" si="21"/>
        <v>1288</v>
      </c>
      <c r="O607" s="84" t="str">
        <f ca="1">IF(Tabla1[[#This Row],[|]]&gt;=0,"VENCIDA",IF(Tabla1[[#This Row],[|]]&gt;=-14,"POR VENCER","OK"))</f>
        <v>VENCIDA</v>
      </c>
      <c r="P607" s="90" t="s">
        <v>3212</v>
      </c>
      <c r="Q607" s="90" t="s">
        <v>312</v>
      </c>
      <c r="R607" s="88" t="s">
        <v>317</v>
      </c>
      <c r="S607" s="88"/>
      <c r="T607" s="88"/>
      <c r="U607" s="88"/>
      <c r="V607" s="88" t="s">
        <v>1993</v>
      </c>
      <c r="W607" s="92" t="s">
        <v>2776</v>
      </c>
      <c r="X607" s="88" t="s">
        <v>597</v>
      </c>
    </row>
    <row r="608" spans="1:24" s="63" customFormat="1" ht="32.25" customHeight="1" x14ac:dyDescent="0.2">
      <c r="A608" s="202">
        <v>647</v>
      </c>
      <c r="B608" s="88" t="s">
        <v>279</v>
      </c>
      <c r="C608" s="89">
        <v>647</v>
      </c>
      <c r="D608" s="88" t="str">
        <f t="shared" si="22"/>
        <v>SUPERMIX647</v>
      </c>
      <c r="E608" s="58" t="s">
        <v>1994</v>
      </c>
      <c r="F608" s="58" t="s">
        <v>1995</v>
      </c>
      <c r="G608" s="88" t="s">
        <v>25</v>
      </c>
      <c r="H608" s="90">
        <v>4438362</v>
      </c>
      <c r="I608" s="90" t="s">
        <v>3787</v>
      </c>
      <c r="J608" s="88" t="s">
        <v>1996</v>
      </c>
      <c r="K608" s="88" t="s">
        <v>281</v>
      </c>
      <c r="L608" s="91">
        <v>39281</v>
      </c>
      <c r="M608" s="91">
        <v>43994</v>
      </c>
      <c r="N608" s="88">
        <f t="shared" ca="1" si="21"/>
        <v>2193</v>
      </c>
      <c r="O608" s="84" t="str">
        <f ca="1">IF(Tabla1[[#This Row],[|]]&gt;=0,"VENCIDA",IF(Tabla1[[#This Row],[|]]&gt;=-14,"POR VENCER","OK"))</f>
        <v>VENCIDA</v>
      </c>
      <c r="P608" s="90" t="s">
        <v>2634</v>
      </c>
      <c r="Q608" s="90" t="s">
        <v>312</v>
      </c>
      <c r="R608" s="88" t="s">
        <v>317</v>
      </c>
      <c r="S608" s="88"/>
      <c r="T608" s="88"/>
      <c r="U608" s="88"/>
      <c r="V608" s="88" t="s">
        <v>1993</v>
      </c>
      <c r="W608" s="92" t="s">
        <v>1112</v>
      </c>
      <c r="X608" s="88"/>
    </row>
    <row r="609" spans="1:24" s="63" customFormat="1" ht="32.25" customHeight="1" x14ac:dyDescent="0.2">
      <c r="A609" s="202">
        <v>648</v>
      </c>
      <c r="B609" s="88" t="s">
        <v>279</v>
      </c>
      <c r="C609" s="89">
        <v>648</v>
      </c>
      <c r="D609" s="88" t="str">
        <f t="shared" si="22"/>
        <v>SUPERMIX648</v>
      </c>
      <c r="E609" s="58" t="s">
        <v>1998</v>
      </c>
      <c r="F609" s="58" t="s">
        <v>1999</v>
      </c>
      <c r="G609" s="88" t="s">
        <v>25</v>
      </c>
      <c r="H609" s="90">
        <v>29738350</v>
      </c>
      <c r="I609" s="90" t="s">
        <v>3787</v>
      </c>
      <c r="J609" s="88" t="s">
        <v>2000</v>
      </c>
      <c r="K609" s="88" t="s">
        <v>281</v>
      </c>
      <c r="L609" s="91">
        <v>37929</v>
      </c>
      <c r="M609" s="91">
        <v>43431</v>
      </c>
      <c r="N609" s="88">
        <f t="shared" ca="1" si="21"/>
        <v>2756</v>
      </c>
      <c r="O609" s="84" t="str">
        <f ca="1">IF(Tabla1[[#This Row],[|]]&gt;=0,"VENCIDA",IF(Tabla1[[#This Row],[|]]&gt;=-14,"POR VENCER","OK"))</f>
        <v>VENCIDA</v>
      </c>
      <c r="P609" s="90" t="s">
        <v>1369</v>
      </c>
      <c r="Q609" s="90" t="s">
        <v>312</v>
      </c>
      <c r="R609" s="88" t="s">
        <v>317</v>
      </c>
      <c r="S609" s="88"/>
      <c r="T609" s="88"/>
      <c r="U609" s="88"/>
      <c r="V609" s="88" t="s">
        <v>2001</v>
      </c>
      <c r="W609" s="92" t="s">
        <v>1112</v>
      </c>
      <c r="X609" s="88"/>
    </row>
    <row r="610" spans="1:24" s="63" customFormat="1" ht="32.25" customHeight="1" x14ac:dyDescent="0.2">
      <c r="A610" s="202">
        <v>649</v>
      </c>
      <c r="B610" s="88" t="s">
        <v>279</v>
      </c>
      <c r="C610" s="89">
        <v>649</v>
      </c>
      <c r="D610" s="88" t="str">
        <f t="shared" si="22"/>
        <v>SUPERMIX649</v>
      </c>
      <c r="E610" s="58" t="s">
        <v>65</v>
      </c>
      <c r="F610" s="58" t="s">
        <v>2002</v>
      </c>
      <c r="G610" s="88" t="s">
        <v>25</v>
      </c>
      <c r="H610" s="90">
        <v>29620154</v>
      </c>
      <c r="I610" s="90" t="s">
        <v>3788</v>
      </c>
      <c r="J610" s="88" t="s">
        <v>2003</v>
      </c>
      <c r="K610" s="88" t="s">
        <v>281</v>
      </c>
      <c r="L610" s="91">
        <v>36803</v>
      </c>
      <c r="M610" s="91">
        <v>46485</v>
      </c>
      <c r="N610" s="88">
        <f t="shared" ca="1" si="21"/>
        <v>-298</v>
      </c>
      <c r="O610" s="84" t="str">
        <f ca="1">IF(Tabla1[[#This Row],[|]]&gt;=0,"VENCIDA",IF(Tabla1[[#This Row],[|]]&gt;=-14,"POR VENCER","OK"))</f>
        <v>OK</v>
      </c>
      <c r="P610" s="90" t="s">
        <v>597</v>
      </c>
      <c r="Q610" s="90" t="s">
        <v>312</v>
      </c>
      <c r="R610" s="88" t="s">
        <v>317</v>
      </c>
      <c r="S610" s="88"/>
      <c r="T610" s="88"/>
      <c r="U610" s="88"/>
      <c r="V610" s="88" t="s">
        <v>2001</v>
      </c>
      <c r="W610" s="92" t="s">
        <v>2776</v>
      </c>
      <c r="X610" s="88" t="s">
        <v>597</v>
      </c>
    </row>
    <row r="611" spans="1:24" s="63" customFormat="1" ht="32.25" customHeight="1" x14ac:dyDescent="0.2">
      <c r="A611" s="202">
        <v>650</v>
      </c>
      <c r="B611" s="88" t="s">
        <v>279</v>
      </c>
      <c r="C611" s="89">
        <v>650</v>
      </c>
      <c r="D611" s="88" t="str">
        <f t="shared" si="22"/>
        <v>SUPERMIX650</v>
      </c>
      <c r="E611" s="58" t="s">
        <v>2005</v>
      </c>
      <c r="F611" s="58" t="s">
        <v>2006</v>
      </c>
      <c r="G611" s="88" t="s">
        <v>25</v>
      </c>
      <c r="H611" s="90">
        <v>29418472</v>
      </c>
      <c r="I611" s="90" t="s">
        <v>3787</v>
      </c>
      <c r="J611" s="88" t="s">
        <v>2007</v>
      </c>
      <c r="K611" s="88" t="s">
        <v>281</v>
      </c>
      <c r="L611" s="91">
        <v>37266</v>
      </c>
      <c r="M611" s="91"/>
      <c r="N611" s="88">
        <f t="shared" ca="1" si="21"/>
        <v>46187</v>
      </c>
      <c r="O611" s="84" t="str">
        <f ca="1">IF(Tabla1[[#This Row],[|]]&gt;=0,"VENCIDA",IF(Tabla1[[#This Row],[|]]&gt;=-14,"POR VENCER","OK"))</f>
        <v>VENCIDA</v>
      </c>
      <c r="P611" s="90"/>
      <c r="Q611" s="88"/>
      <c r="R611" s="88"/>
      <c r="S611" s="88"/>
      <c r="T611" s="88"/>
      <c r="U611" s="88"/>
      <c r="V611" s="88"/>
      <c r="W611" s="92"/>
      <c r="X611" s="88"/>
    </row>
    <row r="612" spans="1:24" s="43" customFormat="1" ht="32.25" customHeight="1" x14ac:dyDescent="0.2">
      <c r="A612" s="42">
        <v>651</v>
      </c>
      <c r="B612" s="93" t="s">
        <v>279</v>
      </c>
      <c r="C612" s="94">
        <v>651</v>
      </c>
      <c r="D612" s="93" t="str">
        <f t="shared" si="22"/>
        <v>SUPERMIX651</v>
      </c>
      <c r="E612" s="115" t="s">
        <v>2011</v>
      </c>
      <c r="F612" s="115" t="s">
        <v>2040</v>
      </c>
      <c r="G612" s="93" t="s">
        <v>25</v>
      </c>
      <c r="H612" s="95">
        <v>43205724</v>
      </c>
      <c r="I612" s="95" t="s">
        <v>3788</v>
      </c>
      <c r="J612" s="93" t="s">
        <v>2012</v>
      </c>
      <c r="K612" s="93" t="s">
        <v>1954</v>
      </c>
      <c r="L612" s="96">
        <v>41603</v>
      </c>
      <c r="M612" s="96">
        <v>46632</v>
      </c>
      <c r="N612" s="93">
        <f t="shared" ca="1" si="21"/>
        <v>-445</v>
      </c>
      <c r="O612" s="84" t="str">
        <f ca="1">IF(Tabla1[[#This Row],[|]]&gt;=0,"VENCIDA",IF(Tabla1[[#This Row],[|]]&gt;=-14,"POR VENCER","OK"))</f>
        <v>OK</v>
      </c>
      <c r="P612" s="95" t="s">
        <v>3966</v>
      </c>
      <c r="Q612" s="95" t="s">
        <v>312</v>
      </c>
      <c r="R612" s="93" t="s">
        <v>317</v>
      </c>
      <c r="S612" s="93"/>
      <c r="T612" s="93"/>
      <c r="U612" s="93"/>
      <c r="V612" s="93" t="s">
        <v>282</v>
      </c>
      <c r="W612" s="97" t="s">
        <v>2776</v>
      </c>
      <c r="X612" s="204" t="s">
        <v>3985</v>
      </c>
    </row>
    <row r="613" spans="1:24" s="63" customFormat="1" ht="32.25" customHeight="1" x14ac:dyDescent="0.2">
      <c r="A613" s="202">
        <v>652</v>
      </c>
      <c r="B613" s="88" t="s">
        <v>279</v>
      </c>
      <c r="C613" s="89">
        <v>652</v>
      </c>
      <c r="D613" s="88" t="str">
        <f t="shared" si="22"/>
        <v>SUPERMIX652</v>
      </c>
      <c r="E613" s="58" t="s">
        <v>2013</v>
      </c>
      <c r="F613" s="58" t="s">
        <v>2014</v>
      </c>
      <c r="G613" s="88" t="s">
        <v>25</v>
      </c>
      <c r="H613" s="90">
        <v>4329226</v>
      </c>
      <c r="I613" s="90" t="s">
        <v>3787</v>
      </c>
      <c r="J613" s="88" t="s">
        <v>2015</v>
      </c>
      <c r="K613" s="88" t="s">
        <v>281</v>
      </c>
      <c r="L613" s="91">
        <v>41499</v>
      </c>
      <c r="M613" s="91">
        <v>43721</v>
      </c>
      <c r="N613" s="88">
        <f t="shared" ca="1" si="21"/>
        <v>2466</v>
      </c>
      <c r="O613" s="84" t="str">
        <f ca="1">IF(Tabla1[[#This Row],[|]]&gt;=0,"VENCIDA",IF(Tabla1[[#This Row],[|]]&gt;=-14,"POR VENCER","OK"))</f>
        <v>VENCIDA</v>
      </c>
      <c r="P613" s="90" t="s">
        <v>597</v>
      </c>
      <c r="Q613" s="90" t="s">
        <v>312</v>
      </c>
      <c r="R613" s="88" t="s">
        <v>317</v>
      </c>
      <c r="S613" s="88"/>
      <c r="T613" s="88"/>
      <c r="U613" s="88"/>
      <c r="V613" s="88" t="s">
        <v>1944</v>
      </c>
      <c r="W613" s="92" t="s">
        <v>1112</v>
      </c>
      <c r="X613" s="88"/>
    </row>
    <row r="614" spans="1:24" s="63" customFormat="1" ht="32.25" customHeight="1" x14ac:dyDescent="0.2">
      <c r="A614" s="202">
        <v>653</v>
      </c>
      <c r="B614" s="88" t="s">
        <v>279</v>
      </c>
      <c r="C614" s="89">
        <v>653</v>
      </c>
      <c r="D614" s="88" t="str">
        <f t="shared" si="22"/>
        <v>SUPERMIX653</v>
      </c>
      <c r="E614" s="58" t="s">
        <v>2016</v>
      </c>
      <c r="F614" s="58" t="s">
        <v>2017</v>
      </c>
      <c r="G614" s="88" t="s">
        <v>25</v>
      </c>
      <c r="H614" s="90">
        <v>21538400</v>
      </c>
      <c r="I614" s="90" t="s">
        <v>3787</v>
      </c>
      <c r="J614" s="88" t="s">
        <v>2018</v>
      </c>
      <c r="K614" s="88" t="s">
        <v>1954</v>
      </c>
      <c r="L614" s="91">
        <v>38686</v>
      </c>
      <c r="M614" s="91">
        <v>43983</v>
      </c>
      <c r="N614" s="88">
        <f t="shared" ca="1" si="21"/>
        <v>2204</v>
      </c>
      <c r="O614" s="84" t="str">
        <f ca="1">IF(Tabla1[[#This Row],[|]]&gt;=0,"VENCIDA",IF(Tabla1[[#This Row],[|]]&gt;=-14,"POR VENCER","OK"))</f>
        <v>VENCIDA</v>
      </c>
      <c r="P614" s="90" t="s">
        <v>2019</v>
      </c>
      <c r="Q614" s="88" t="s">
        <v>312</v>
      </c>
      <c r="R614" s="88" t="s">
        <v>17</v>
      </c>
      <c r="S614" s="88"/>
      <c r="T614" s="88"/>
      <c r="U614" s="88"/>
      <c r="V614" s="88" t="s">
        <v>1944</v>
      </c>
      <c r="W614" s="92" t="s">
        <v>1112</v>
      </c>
      <c r="X614" s="88"/>
    </row>
    <row r="615" spans="1:24" s="43" customFormat="1" ht="32.25" customHeight="1" x14ac:dyDescent="0.2">
      <c r="A615" s="42">
        <v>654</v>
      </c>
      <c r="B615" s="93" t="s">
        <v>279</v>
      </c>
      <c r="C615" s="94">
        <v>654</v>
      </c>
      <c r="D615" s="93" t="str">
        <f t="shared" si="22"/>
        <v>SUPERMIX654</v>
      </c>
      <c r="E615" s="115" t="s">
        <v>2020</v>
      </c>
      <c r="F615" s="115" t="s">
        <v>2021</v>
      </c>
      <c r="G615" s="93" t="s">
        <v>2825</v>
      </c>
      <c r="H615" s="95">
        <v>44245205</v>
      </c>
      <c r="I615" s="95" t="s">
        <v>3788</v>
      </c>
      <c r="J615" s="93" t="s">
        <v>2022</v>
      </c>
      <c r="K615" s="93" t="s">
        <v>1954</v>
      </c>
      <c r="L615" s="96">
        <v>41948</v>
      </c>
      <c r="M615" s="117">
        <v>46260</v>
      </c>
      <c r="N615" s="93">
        <f t="shared" ca="1" si="21"/>
        <v>-73</v>
      </c>
      <c r="O615" s="84" t="str">
        <f ca="1">IF(Tabla1[[#This Row],[|]]&gt;=0,"VENCIDA",IF(Tabla1[[#This Row],[|]]&gt;=-14,"POR VENCER","OK"))</f>
        <v>OK</v>
      </c>
      <c r="P615" s="95" t="s">
        <v>1927</v>
      </c>
      <c r="Q615" s="93" t="s">
        <v>312</v>
      </c>
      <c r="R615" s="93" t="s">
        <v>317</v>
      </c>
      <c r="S615" s="93"/>
      <c r="T615" s="93"/>
      <c r="U615" s="93"/>
      <c r="V615" s="93" t="s">
        <v>1993</v>
      </c>
      <c r="W615" s="97" t="s">
        <v>1112</v>
      </c>
      <c r="X615" s="93"/>
    </row>
    <row r="616" spans="1:24" s="63" customFormat="1" ht="32.25" customHeight="1" x14ac:dyDescent="0.2">
      <c r="A616" s="202">
        <v>655</v>
      </c>
      <c r="B616" s="88" t="s">
        <v>279</v>
      </c>
      <c r="C616" s="89">
        <v>655</v>
      </c>
      <c r="D616" s="88" t="str">
        <f t="shared" si="22"/>
        <v>SUPERMIX655</v>
      </c>
      <c r="E616" s="58" t="s">
        <v>2029</v>
      </c>
      <c r="F616" s="58" t="s">
        <v>2030</v>
      </c>
      <c r="G616" s="88" t="s">
        <v>25</v>
      </c>
      <c r="H616" s="90">
        <v>44830203</v>
      </c>
      <c r="I616" s="90" t="s">
        <v>3787</v>
      </c>
      <c r="J616" s="88" t="s">
        <v>2031</v>
      </c>
      <c r="K616" s="88" t="s">
        <v>2032</v>
      </c>
      <c r="L616" s="91">
        <v>41472</v>
      </c>
      <c r="M616" s="91">
        <v>43638</v>
      </c>
      <c r="N616" s="88">
        <f t="shared" ca="1" si="21"/>
        <v>2549</v>
      </c>
      <c r="O616" s="84" t="str">
        <f ca="1">IF(Tabla1[[#This Row],[|]]&gt;=0,"VENCIDA",IF(Tabla1[[#This Row],[|]]&gt;=-14,"POR VENCER","OK"))</f>
        <v>VENCIDA</v>
      </c>
      <c r="P616" s="90" t="s">
        <v>824</v>
      </c>
      <c r="Q616" s="88" t="s">
        <v>312</v>
      </c>
      <c r="R616" s="88" t="s">
        <v>317</v>
      </c>
      <c r="S616" s="88"/>
      <c r="T616" s="88"/>
      <c r="U616" s="88"/>
      <c r="V616" s="88" t="s">
        <v>1981</v>
      </c>
      <c r="W616" s="92" t="s">
        <v>1943</v>
      </c>
      <c r="X616" s="88" t="s">
        <v>2866</v>
      </c>
    </row>
    <row r="617" spans="1:24" ht="32.25" customHeight="1" x14ac:dyDescent="0.2">
      <c r="A617" s="37">
        <v>656</v>
      </c>
      <c r="B617" s="100" t="s">
        <v>279</v>
      </c>
      <c r="C617" s="101">
        <v>656</v>
      </c>
      <c r="D617" s="100" t="str">
        <f t="shared" si="22"/>
        <v>SUPERMIX656</v>
      </c>
      <c r="E617" s="169" t="s">
        <v>2033</v>
      </c>
      <c r="F617" s="169" t="s">
        <v>2034</v>
      </c>
      <c r="G617" s="100" t="s">
        <v>341</v>
      </c>
      <c r="H617" s="143" t="s">
        <v>3789</v>
      </c>
      <c r="I617" s="102" t="s">
        <v>3788</v>
      </c>
      <c r="J617" s="100" t="s">
        <v>2035</v>
      </c>
      <c r="K617" s="100" t="s">
        <v>281</v>
      </c>
      <c r="L617" s="103">
        <v>38604</v>
      </c>
      <c r="M617" s="144">
        <v>44485</v>
      </c>
      <c r="N617" s="100">
        <f t="shared" ca="1" si="21"/>
        <v>1702</v>
      </c>
      <c r="O617" s="145" t="s">
        <v>3794</v>
      </c>
      <c r="P617" s="102" t="s">
        <v>3293</v>
      </c>
      <c r="Q617" s="100" t="s">
        <v>312</v>
      </c>
      <c r="R617" s="100" t="s">
        <v>317</v>
      </c>
      <c r="S617" s="100"/>
      <c r="T617" s="100"/>
      <c r="U617" s="100"/>
      <c r="V617" s="100" t="s">
        <v>2036</v>
      </c>
      <c r="W617" s="104" t="s">
        <v>2776</v>
      </c>
      <c r="X617" s="204" t="s">
        <v>597</v>
      </c>
    </row>
    <row r="618" spans="1:24" s="59" customFormat="1" ht="32.25" customHeight="1" x14ac:dyDescent="0.2">
      <c r="A618" s="200">
        <v>657</v>
      </c>
      <c r="B618" s="61" t="s">
        <v>279</v>
      </c>
      <c r="C618" s="87">
        <v>657</v>
      </c>
      <c r="D618" s="61" t="str">
        <f t="shared" si="22"/>
        <v>SUPERMIX657</v>
      </c>
      <c r="E618" s="82" t="s">
        <v>2037</v>
      </c>
      <c r="F618" s="82" t="s">
        <v>2038</v>
      </c>
      <c r="G618" s="61" t="s">
        <v>341</v>
      </c>
      <c r="H618" s="60">
        <v>40791591</v>
      </c>
      <c r="I618" s="60" t="s">
        <v>3787</v>
      </c>
      <c r="J618" s="61" t="s">
        <v>2039</v>
      </c>
      <c r="K618" s="61" t="s">
        <v>281</v>
      </c>
      <c r="L618" s="62">
        <v>41351</v>
      </c>
      <c r="M618" s="62">
        <v>44646</v>
      </c>
      <c r="N618" s="61">
        <f t="shared" ca="1" si="21"/>
        <v>1541</v>
      </c>
      <c r="O618" s="84" t="str">
        <f ca="1">IF(Tabla1[[#This Row],[|]]&gt;=0,"VENCIDA",IF(Tabla1[[#This Row],[|]]&gt;=-14,"POR VENCER","OK"))</f>
        <v>VENCIDA</v>
      </c>
      <c r="P618" s="60" t="s">
        <v>2838</v>
      </c>
      <c r="Q618" s="61" t="s">
        <v>312</v>
      </c>
      <c r="R618" s="61" t="s">
        <v>17</v>
      </c>
      <c r="S618" s="61"/>
      <c r="T618" s="61"/>
      <c r="U618" s="61"/>
      <c r="V618" s="61" t="s">
        <v>2036</v>
      </c>
      <c r="W618" s="86" t="s">
        <v>2776</v>
      </c>
      <c r="X618" s="61" t="s">
        <v>597</v>
      </c>
    </row>
    <row r="619" spans="1:24" s="56" customFormat="1" ht="32.25" customHeight="1" x14ac:dyDescent="0.2">
      <c r="A619" s="213">
        <v>658</v>
      </c>
      <c r="B619" s="146" t="s">
        <v>279</v>
      </c>
      <c r="C619" s="147">
        <v>658</v>
      </c>
      <c r="D619" s="146" t="str">
        <f t="shared" si="22"/>
        <v>SUPERMIX658</v>
      </c>
      <c r="E619" s="148" t="s">
        <v>2042</v>
      </c>
      <c r="F619" s="148" t="s">
        <v>2043</v>
      </c>
      <c r="G619" s="146" t="s">
        <v>341</v>
      </c>
      <c r="H619" s="149">
        <v>46499521</v>
      </c>
      <c r="I619" s="149" t="s">
        <v>3788</v>
      </c>
      <c r="J619" s="146" t="s">
        <v>2044</v>
      </c>
      <c r="K619" s="146" t="s">
        <v>3623</v>
      </c>
      <c r="L619" s="150">
        <v>42031</v>
      </c>
      <c r="M619" s="150">
        <v>45590</v>
      </c>
      <c r="N619" s="146">
        <f t="shared" ca="1" si="21"/>
        <v>597</v>
      </c>
      <c r="O619" s="142" t="str">
        <f ca="1">IF(Tabla1[[#This Row],[|]]&gt;=0,"VENCIDA",IF(Tabla1[[#This Row],[|]]&gt;=-14,"POR VENCER","OK"))</f>
        <v>VENCIDA</v>
      </c>
      <c r="P619" s="149" t="s">
        <v>3806</v>
      </c>
      <c r="Q619" s="146" t="s">
        <v>312</v>
      </c>
      <c r="R619" s="146" t="s">
        <v>317</v>
      </c>
      <c r="S619" s="61"/>
      <c r="T619" s="61"/>
      <c r="U619" s="61"/>
      <c r="V619" s="121" t="s">
        <v>282</v>
      </c>
      <c r="W619" s="151" t="s">
        <v>1017</v>
      </c>
      <c r="X619" s="204" t="s">
        <v>597</v>
      </c>
    </row>
    <row r="620" spans="1:24" s="63" customFormat="1" ht="32.25" customHeight="1" x14ac:dyDescent="0.2">
      <c r="A620" s="202">
        <v>659</v>
      </c>
      <c r="B620" s="88" t="s">
        <v>279</v>
      </c>
      <c r="C620" s="89">
        <v>659</v>
      </c>
      <c r="D620" s="88" t="str">
        <f t="shared" si="22"/>
        <v>SUPERMIX659</v>
      </c>
      <c r="E620" s="58" t="s">
        <v>2045</v>
      </c>
      <c r="F620" s="58" t="s">
        <v>2046</v>
      </c>
      <c r="G620" s="88" t="s">
        <v>25</v>
      </c>
      <c r="H620" s="90">
        <v>45482853</v>
      </c>
      <c r="I620" s="90" t="s">
        <v>3787</v>
      </c>
      <c r="J620" s="88" t="s">
        <v>2047</v>
      </c>
      <c r="K620" s="88" t="s">
        <v>293</v>
      </c>
      <c r="L620" s="91">
        <v>42611</v>
      </c>
      <c r="M620" s="91">
        <v>43706</v>
      </c>
      <c r="N620" s="88">
        <f t="shared" ca="1" si="21"/>
        <v>2481</v>
      </c>
      <c r="O620" s="84" t="str">
        <f ca="1">IF(Tabla1[[#This Row],[|]]&gt;=0,"VENCIDA",IF(Tabla1[[#This Row],[|]]&gt;=-14,"POR VENCER","OK"))</f>
        <v>VENCIDA</v>
      </c>
      <c r="P620" s="90" t="s">
        <v>2621</v>
      </c>
      <c r="Q620" s="88" t="s">
        <v>312</v>
      </c>
      <c r="R620" s="88" t="s">
        <v>17</v>
      </c>
      <c r="S620" s="88"/>
      <c r="T620" s="88"/>
      <c r="U620" s="88"/>
      <c r="V620" s="88" t="s">
        <v>306</v>
      </c>
      <c r="W620" s="92" t="s">
        <v>1112</v>
      </c>
      <c r="X620" s="88"/>
    </row>
    <row r="621" spans="1:24" s="63" customFormat="1" ht="32.25" customHeight="1" x14ac:dyDescent="0.2">
      <c r="A621" s="202">
        <v>660</v>
      </c>
      <c r="B621" s="88" t="s">
        <v>279</v>
      </c>
      <c r="C621" s="89">
        <v>660</v>
      </c>
      <c r="D621" s="88" t="str">
        <f t="shared" si="22"/>
        <v>SUPERMIX660</v>
      </c>
      <c r="E621" s="58" t="s">
        <v>2049</v>
      </c>
      <c r="F621" s="58" t="s">
        <v>2050</v>
      </c>
      <c r="G621" s="88" t="s">
        <v>25</v>
      </c>
      <c r="H621" s="90">
        <v>42157740</v>
      </c>
      <c r="I621" s="90" t="s">
        <v>3787</v>
      </c>
      <c r="J621" s="88" t="s">
        <v>2051</v>
      </c>
      <c r="K621" s="88" t="s">
        <v>281</v>
      </c>
      <c r="L621" s="91">
        <v>41845</v>
      </c>
      <c r="M621" s="91">
        <v>42941</v>
      </c>
      <c r="N621" s="88">
        <f t="shared" ca="1" si="21"/>
        <v>3246</v>
      </c>
      <c r="O621" s="84" t="str">
        <f ca="1">IF(Tabla1[[#This Row],[|]]&gt;=0,"VENCIDA",IF(Tabla1[[#This Row],[|]]&gt;=-14,"POR VENCER","OK"))</f>
        <v>VENCIDA</v>
      </c>
      <c r="P621" s="90" t="s">
        <v>2048</v>
      </c>
      <c r="Q621" s="88" t="s">
        <v>312</v>
      </c>
      <c r="R621" s="88" t="s">
        <v>17</v>
      </c>
      <c r="S621" s="88"/>
      <c r="T621" s="88"/>
      <c r="U621" s="88"/>
      <c r="V621" s="88" t="s">
        <v>306</v>
      </c>
      <c r="W621" s="92" t="s">
        <v>1112</v>
      </c>
      <c r="X621" s="88"/>
    </row>
    <row r="622" spans="1:24" s="63" customFormat="1" ht="32.25" customHeight="1" x14ac:dyDescent="0.2">
      <c r="A622" s="202">
        <v>661</v>
      </c>
      <c r="B622" s="88" t="s">
        <v>279</v>
      </c>
      <c r="C622" s="89">
        <v>661</v>
      </c>
      <c r="D622" s="88" t="str">
        <f t="shared" si="22"/>
        <v>SUPERMIX661</v>
      </c>
      <c r="E622" s="58" t="s">
        <v>2052</v>
      </c>
      <c r="F622" s="58" t="s">
        <v>2053</v>
      </c>
      <c r="G622" s="88" t="s">
        <v>25</v>
      </c>
      <c r="H622" s="90">
        <v>44233717</v>
      </c>
      <c r="I622" s="90" t="s">
        <v>3787</v>
      </c>
      <c r="J622" s="88" t="s">
        <v>2054</v>
      </c>
      <c r="K622" s="88" t="s">
        <v>2092</v>
      </c>
      <c r="L622" s="91" t="s">
        <v>2906</v>
      </c>
      <c r="M622" s="91">
        <v>46111</v>
      </c>
      <c r="N622" s="88">
        <f t="shared" ca="1" si="21"/>
        <v>76</v>
      </c>
      <c r="O622" s="84" t="str">
        <f ca="1">IF(Tabla1[[#This Row],[|]]&gt;=0,"VENCIDA",IF(Tabla1[[#This Row],[|]]&gt;=-14,"POR VENCER","OK"))</f>
        <v>VENCIDA</v>
      </c>
      <c r="P622" s="90" t="s">
        <v>3376</v>
      </c>
      <c r="Q622" s="88" t="s">
        <v>312</v>
      </c>
      <c r="R622" s="88" t="s">
        <v>317</v>
      </c>
      <c r="S622" s="88"/>
      <c r="T622" s="88"/>
      <c r="U622" s="88"/>
      <c r="V622" s="88" t="s">
        <v>2153</v>
      </c>
      <c r="W622" s="92" t="s">
        <v>511</v>
      </c>
      <c r="X622" s="88" t="s">
        <v>2822</v>
      </c>
    </row>
    <row r="623" spans="1:24" s="63" customFormat="1" ht="32.25" customHeight="1" x14ac:dyDescent="0.2">
      <c r="A623" s="202">
        <v>662</v>
      </c>
      <c r="B623" s="88" t="s">
        <v>279</v>
      </c>
      <c r="C623" s="89">
        <v>662</v>
      </c>
      <c r="D623" s="88" t="str">
        <f t="shared" si="22"/>
        <v>SUPERMIX662</v>
      </c>
      <c r="E623" s="58" t="s">
        <v>2056</v>
      </c>
      <c r="F623" s="58" t="s">
        <v>2057</v>
      </c>
      <c r="G623" s="88" t="s">
        <v>25</v>
      </c>
      <c r="H623" s="90">
        <v>40976274</v>
      </c>
      <c r="I623" s="90" t="s">
        <v>3787</v>
      </c>
      <c r="J623" s="88" t="s">
        <v>2058</v>
      </c>
      <c r="K623" s="88" t="s">
        <v>1954</v>
      </c>
      <c r="L623" s="91">
        <v>39218</v>
      </c>
      <c r="M623" s="91">
        <v>43806</v>
      </c>
      <c r="N623" s="88">
        <f t="shared" ca="1" si="21"/>
        <v>2381</v>
      </c>
      <c r="O623" s="84" t="str">
        <f ca="1">IF(Tabla1[[#This Row],[|]]&gt;=0,"VENCIDA",IF(Tabla1[[#This Row],[|]]&gt;=-14,"POR VENCER","OK"))</f>
        <v>VENCIDA</v>
      </c>
      <c r="P623" s="90" t="s">
        <v>597</v>
      </c>
      <c r="Q623" s="88" t="s">
        <v>312</v>
      </c>
      <c r="R623" s="88" t="s">
        <v>17</v>
      </c>
      <c r="S623" s="88"/>
      <c r="T623" s="88"/>
      <c r="U623" s="88"/>
      <c r="V623" s="88" t="s">
        <v>2055</v>
      </c>
      <c r="W623" s="92" t="s">
        <v>1112</v>
      </c>
      <c r="X623" s="88"/>
    </row>
    <row r="624" spans="1:24" s="63" customFormat="1" ht="32.25" customHeight="1" x14ac:dyDescent="0.2">
      <c r="A624" s="202">
        <v>663</v>
      </c>
      <c r="B624" s="88" t="s">
        <v>279</v>
      </c>
      <c r="C624" s="89">
        <v>663</v>
      </c>
      <c r="D624" s="88" t="str">
        <f t="shared" si="22"/>
        <v>SUPERMIX663</v>
      </c>
      <c r="E624" s="58" t="s">
        <v>2059</v>
      </c>
      <c r="F624" s="58" t="s">
        <v>2060</v>
      </c>
      <c r="G624" s="88" t="s">
        <v>25</v>
      </c>
      <c r="H624" s="90">
        <v>42601408</v>
      </c>
      <c r="I624" s="90" t="s">
        <v>3787</v>
      </c>
      <c r="J624" s="88" t="s">
        <v>2061</v>
      </c>
      <c r="K624" s="88" t="s">
        <v>1961</v>
      </c>
      <c r="L624" s="91">
        <v>41828</v>
      </c>
      <c r="M624" s="91">
        <v>44001</v>
      </c>
      <c r="N624" s="88">
        <f t="shared" ca="1" si="21"/>
        <v>2186</v>
      </c>
      <c r="O624" s="84" t="str">
        <f ca="1">IF(Tabla1[[#This Row],[|]]&gt;=0,"VENCIDA",IF(Tabla1[[#This Row],[|]]&gt;=-14,"POR VENCER","OK"))</f>
        <v>VENCIDA</v>
      </c>
      <c r="P624" s="90" t="s">
        <v>823</v>
      </c>
      <c r="Q624" s="88" t="s">
        <v>312</v>
      </c>
      <c r="R624" s="88" t="s">
        <v>317</v>
      </c>
      <c r="S624" s="88"/>
      <c r="T624" s="88"/>
      <c r="U624" s="88"/>
      <c r="V624" s="88" t="s">
        <v>2055</v>
      </c>
      <c r="W624" s="92" t="s">
        <v>525</v>
      </c>
      <c r="X624" s="88"/>
    </row>
    <row r="625" spans="1:24" s="43" customFormat="1" ht="32.25" customHeight="1" x14ac:dyDescent="0.2">
      <c r="A625" s="42">
        <v>664</v>
      </c>
      <c r="B625" s="93" t="s">
        <v>279</v>
      </c>
      <c r="C625" s="94">
        <v>664</v>
      </c>
      <c r="D625" s="93" t="str">
        <f t="shared" si="22"/>
        <v>SUPERMIX664</v>
      </c>
      <c r="E625" s="115" t="s">
        <v>2062</v>
      </c>
      <c r="F625" s="115" t="s">
        <v>2063</v>
      </c>
      <c r="G625" s="93" t="s">
        <v>25</v>
      </c>
      <c r="H625" s="95">
        <v>71457545</v>
      </c>
      <c r="I625" s="95" t="s">
        <v>3788</v>
      </c>
      <c r="J625" s="93" t="s">
        <v>2064</v>
      </c>
      <c r="K625" s="93" t="s">
        <v>3142</v>
      </c>
      <c r="L625" s="96">
        <v>42919</v>
      </c>
      <c r="M625" s="96">
        <v>47337</v>
      </c>
      <c r="N625" s="93">
        <f t="shared" ca="1" si="21"/>
        <v>-1150</v>
      </c>
      <c r="O625" s="84" t="str">
        <f ca="1">IF(Tabla1[[#This Row],[|]]&gt;=0,"VENCIDA",IF(Tabla1[[#This Row],[|]]&gt;=-14,"POR VENCER","OK"))</f>
        <v>OK</v>
      </c>
      <c r="P625" s="95" t="s">
        <v>3365</v>
      </c>
      <c r="Q625" s="93" t="s">
        <v>312</v>
      </c>
      <c r="R625" s="93" t="s">
        <v>17</v>
      </c>
      <c r="S625" s="93"/>
      <c r="T625" s="93"/>
      <c r="U625" s="93"/>
      <c r="V625" s="93" t="s">
        <v>2055</v>
      </c>
      <c r="W625" s="97" t="s">
        <v>444</v>
      </c>
      <c r="X625" s="93" t="s">
        <v>3366</v>
      </c>
    </row>
    <row r="626" spans="1:24" s="63" customFormat="1" ht="32.25" customHeight="1" x14ac:dyDescent="0.2">
      <c r="A626" s="202">
        <v>665</v>
      </c>
      <c r="B626" s="88" t="s">
        <v>279</v>
      </c>
      <c r="C626" s="89">
        <v>665</v>
      </c>
      <c r="D626" s="88" t="str">
        <f t="shared" si="22"/>
        <v>SUPERMIX665</v>
      </c>
      <c r="E626" s="58" t="s">
        <v>2065</v>
      </c>
      <c r="F626" s="58" t="s">
        <v>1971</v>
      </c>
      <c r="G626" s="88" t="s">
        <v>25</v>
      </c>
      <c r="H626" s="90">
        <v>43764996</v>
      </c>
      <c r="I626" s="90" t="s">
        <v>3787</v>
      </c>
      <c r="J626" s="88" t="s">
        <v>2066</v>
      </c>
      <c r="K626" s="88" t="s">
        <v>281</v>
      </c>
      <c r="L626" s="91">
        <v>42104</v>
      </c>
      <c r="M626" s="91">
        <v>43200</v>
      </c>
      <c r="N626" s="88">
        <f t="shared" ca="1" si="21"/>
        <v>2987</v>
      </c>
      <c r="O626" s="84" t="str">
        <f ca="1">IF(Tabla1[[#This Row],[|]]&gt;=0,"VENCIDA",IF(Tabla1[[#This Row],[|]]&gt;=-14,"POR VENCER","OK"))</f>
        <v>VENCIDA</v>
      </c>
      <c r="P626" s="90" t="s">
        <v>2067</v>
      </c>
      <c r="Q626" s="88" t="s">
        <v>312</v>
      </c>
      <c r="R626" s="88" t="s">
        <v>317</v>
      </c>
      <c r="S626" s="88"/>
      <c r="T626" s="88"/>
      <c r="U626" s="88"/>
      <c r="V626" s="88" t="s">
        <v>2055</v>
      </c>
      <c r="W626" s="92" t="s">
        <v>525</v>
      </c>
      <c r="X626" s="88"/>
    </row>
    <row r="627" spans="1:24" s="63" customFormat="1" ht="32.25" customHeight="1" x14ac:dyDescent="0.2">
      <c r="A627" s="202">
        <v>666</v>
      </c>
      <c r="B627" s="88" t="s">
        <v>279</v>
      </c>
      <c r="C627" s="89">
        <v>666</v>
      </c>
      <c r="D627" s="88" t="str">
        <f t="shared" si="22"/>
        <v>SUPERMIX666</v>
      </c>
      <c r="E627" s="58" t="s">
        <v>2068</v>
      </c>
      <c r="F627" s="58" t="s">
        <v>2069</v>
      </c>
      <c r="G627" s="88" t="s">
        <v>25</v>
      </c>
      <c r="H627" s="90">
        <v>41667273</v>
      </c>
      <c r="I627" s="90" t="s">
        <v>3787</v>
      </c>
      <c r="J627" s="88" t="s">
        <v>2070</v>
      </c>
      <c r="K627" s="88" t="s">
        <v>1954</v>
      </c>
      <c r="L627" s="91">
        <v>39351</v>
      </c>
      <c r="M627" s="91">
        <v>43825</v>
      </c>
      <c r="N627" s="88">
        <f t="shared" ca="1" si="21"/>
        <v>2362</v>
      </c>
      <c r="O627" s="84" t="str">
        <f ca="1">IF(Tabla1[[#This Row],[|]]&gt;=0,"VENCIDA",IF(Tabla1[[#This Row],[|]]&gt;=-14,"POR VENCER","OK"))</f>
        <v>VENCIDA</v>
      </c>
      <c r="P627" s="90" t="s">
        <v>2071</v>
      </c>
      <c r="Q627" s="88" t="s">
        <v>312</v>
      </c>
      <c r="R627" s="88" t="s">
        <v>317</v>
      </c>
      <c r="S627" s="88"/>
      <c r="T627" s="88"/>
      <c r="U627" s="88"/>
      <c r="V627" s="88" t="s">
        <v>2072</v>
      </c>
      <c r="W627" s="92" t="s">
        <v>1112</v>
      </c>
      <c r="X627" s="88"/>
    </row>
    <row r="628" spans="1:24" s="43" customFormat="1" ht="32.25" customHeight="1" x14ac:dyDescent="0.2">
      <c r="A628" s="42">
        <v>667</v>
      </c>
      <c r="B628" s="93" t="s">
        <v>279</v>
      </c>
      <c r="C628" s="94">
        <v>667</v>
      </c>
      <c r="D628" s="93" t="str">
        <f t="shared" si="22"/>
        <v>SUPERMIX667</v>
      </c>
      <c r="E628" s="115" t="s">
        <v>2077</v>
      </c>
      <c r="F628" s="115" t="s">
        <v>2078</v>
      </c>
      <c r="G628" s="93" t="s">
        <v>25</v>
      </c>
      <c r="H628" s="95">
        <v>45395825</v>
      </c>
      <c r="I628" s="95" t="s">
        <v>3788</v>
      </c>
      <c r="J628" s="93" t="s">
        <v>2079</v>
      </c>
      <c r="K628" s="93" t="s">
        <v>1961</v>
      </c>
      <c r="L628" s="96">
        <v>42662</v>
      </c>
      <c r="M628" s="96">
        <v>46714</v>
      </c>
      <c r="N628" s="93">
        <f t="shared" ca="1" si="21"/>
        <v>-527</v>
      </c>
      <c r="O628" s="84" t="str">
        <f ca="1">IF(Tabla1[[#This Row],[|]]&gt;=0,"VENCIDA",IF(Tabla1[[#This Row],[|]]&gt;=-14,"POR VENCER","OK"))</f>
        <v>OK</v>
      </c>
      <c r="P628" s="95" t="s">
        <v>640</v>
      </c>
      <c r="Q628" s="93" t="s">
        <v>312</v>
      </c>
      <c r="R628" s="93" t="s">
        <v>317</v>
      </c>
      <c r="S628" s="93"/>
      <c r="T628" s="93"/>
      <c r="U628" s="93"/>
      <c r="V628" s="93" t="s">
        <v>1939</v>
      </c>
      <c r="W628" s="97" t="s">
        <v>3691</v>
      </c>
      <c r="X628" s="93" t="s">
        <v>640</v>
      </c>
    </row>
    <row r="629" spans="1:24" s="63" customFormat="1" ht="32.25" customHeight="1" x14ac:dyDescent="0.2">
      <c r="A629" s="202">
        <v>668</v>
      </c>
      <c r="B629" s="88" t="s">
        <v>279</v>
      </c>
      <c r="C629" s="89">
        <v>668</v>
      </c>
      <c r="D629" s="88" t="str">
        <f t="shared" si="22"/>
        <v>SUPERMIX668</v>
      </c>
      <c r="E629" s="58" t="s">
        <v>2080</v>
      </c>
      <c r="F629" s="58" t="s">
        <v>2081</v>
      </c>
      <c r="G629" s="88" t="s">
        <v>25</v>
      </c>
      <c r="H629" s="90">
        <v>80361444</v>
      </c>
      <c r="I629" s="90" t="s">
        <v>3787</v>
      </c>
      <c r="J629" s="88" t="s">
        <v>2082</v>
      </c>
      <c r="K629" s="88" t="s">
        <v>281</v>
      </c>
      <c r="L629" s="91">
        <v>41936</v>
      </c>
      <c r="M629" s="91">
        <v>43032</v>
      </c>
      <c r="N629" s="88">
        <f t="shared" ca="1" si="21"/>
        <v>3155</v>
      </c>
      <c r="O629" s="84" t="str">
        <f ca="1">IF(Tabla1[[#This Row],[|]]&gt;=0,"VENCIDA",IF(Tabla1[[#This Row],[|]]&gt;=-14,"POR VENCER","OK"))</f>
        <v>VENCIDA</v>
      </c>
      <c r="P629" s="90" t="s">
        <v>624</v>
      </c>
      <c r="Q629" s="88" t="s">
        <v>312</v>
      </c>
      <c r="R629" s="88" t="s">
        <v>317</v>
      </c>
      <c r="S629" s="88"/>
      <c r="T629" s="88"/>
      <c r="U629" s="88"/>
      <c r="V629" s="88" t="s">
        <v>2076</v>
      </c>
      <c r="W629" s="92" t="s">
        <v>299</v>
      </c>
      <c r="X629" s="88"/>
    </row>
    <row r="630" spans="1:24" s="63" customFormat="1" ht="32.25" customHeight="1" x14ac:dyDescent="0.2">
      <c r="A630" s="202">
        <v>669</v>
      </c>
      <c r="B630" s="88" t="s">
        <v>279</v>
      </c>
      <c r="C630" s="89">
        <v>669</v>
      </c>
      <c r="D630" s="88" t="str">
        <f t="shared" si="22"/>
        <v>SUPERMIX669</v>
      </c>
      <c r="E630" s="58" t="s">
        <v>2083</v>
      </c>
      <c r="F630" s="58" t="s">
        <v>2084</v>
      </c>
      <c r="G630" s="88" t="s">
        <v>25</v>
      </c>
      <c r="H630" s="90">
        <v>45589816</v>
      </c>
      <c r="I630" s="90" t="s">
        <v>3787</v>
      </c>
      <c r="J630" s="88" t="s">
        <v>2085</v>
      </c>
      <c r="K630" s="88" t="s">
        <v>343</v>
      </c>
      <c r="L630" s="91">
        <v>42515</v>
      </c>
      <c r="M630" s="91">
        <v>46576</v>
      </c>
      <c r="N630" s="88">
        <f t="shared" ca="1" si="21"/>
        <v>-389</v>
      </c>
      <c r="O630" s="84" t="str">
        <f ca="1">IF(Tabla1[[#This Row],[|]]&gt;=0,"VENCIDA",IF(Tabla1[[#This Row],[|]]&gt;=-14,"POR VENCER","OK"))</f>
        <v>OK</v>
      </c>
      <c r="P630" s="90" t="s">
        <v>2827</v>
      </c>
      <c r="Q630" s="88" t="s">
        <v>312</v>
      </c>
      <c r="R630" s="88" t="s">
        <v>317</v>
      </c>
      <c r="S630" s="88"/>
      <c r="T630" s="88"/>
      <c r="U630" s="88"/>
      <c r="V630" s="88" t="s">
        <v>334</v>
      </c>
      <c r="W630" s="92" t="s">
        <v>971</v>
      </c>
      <c r="X630" s="88" t="s">
        <v>2894</v>
      </c>
    </row>
    <row r="631" spans="1:24" s="63" customFormat="1" ht="32.25" customHeight="1" x14ac:dyDescent="0.2">
      <c r="A631" s="202">
        <v>670</v>
      </c>
      <c r="B631" s="88" t="s">
        <v>279</v>
      </c>
      <c r="C631" s="89">
        <v>670</v>
      </c>
      <c r="D631" s="88" t="str">
        <f t="shared" si="22"/>
        <v>SUPERMIX670</v>
      </c>
      <c r="E631" s="58" t="s">
        <v>2086</v>
      </c>
      <c r="F631" s="58" t="s">
        <v>2087</v>
      </c>
      <c r="G631" s="88" t="s">
        <v>25</v>
      </c>
      <c r="H631" s="90">
        <v>45692880</v>
      </c>
      <c r="I631" s="90" t="s">
        <v>3787</v>
      </c>
      <c r="J631" s="88" t="s">
        <v>2088</v>
      </c>
      <c r="K631" s="88" t="s">
        <v>281</v>
      </c>
      <c r="L631" s="91">
        <v>42581</v>
      </c>
      <c r="M631" s="91">
        <v>43676</v>
      </c>
      <c r="N631" s="88">
        <f t="shared" ca="1" si="21"/>
        <v>2511</v>
      </c>
      <c r="O631" s="84" t="str">
        <f ca="1">IF(Tabla1[[#This Row],[|]]&gt;=0,"VENCIDA",IF(Tabla1[[#This Row],[|]]&gt;=-14,"POR VENCER","OK"))</f>
        <v>VENCIDA</v>
      </c>
      <c r="P631" s="90" t="s">
        <v>624</v>
      </c>
      <c r="Q631" s="88" t="s">
        <v>312</v>
      </c>
      <c r="R631" s="88" t="s">
        <v>317</v>
      </c>
      <c r="S631" s="88"/>
      <c r="T631" s="88"/>
      <c r="U631" s="88"/>
      <c r="V631" s="88" t="s">
        <v>2076</v>
      </c>
      <c r="W631" s="92" t="s">
        <v>299</v>
      </c>
      <c r="X631" s="88"/>
    </row>
    <row r="632" spans="1:24" s="63" customFormat="1" ht="32.25" customHeight="1" x14ac:dyDescent="0.2">
      <c r="A632" s="202">
        <v>671</v>
      </c>
      <c r="B632" s="88" t="s">
        <v>279</v>
      </c>
      <c r="C632" s="89">
        <v>671</v>
      </c>
      <c r="D632" s="88" t="str">
        <f t="shared" si="22"/>
        <v>SUPERMIX671</v>
      </c>
      <c r="E632" s="58" t="s">
        <v>2089</v>
      </c>
      <c r="F632" s="58" t="s">
        <v>2090</v>
      </c>
      <c r="G632" s="88" t="s">
        <v>25</v>
      </c>
      <c r="H632" s="90">
        <v>46325437</v>
      </c>
      <c r="I632" s="90" t="s">
        <v>3787</v>
      </c>
      <c r="J632" s="88" t="s">
        <v>2091</v>
      </c>
      <c r="K632" s="88" t="s">
        <v>2092</v>
      </c>
      <c r="L632" s="91">
        <v>41603</v>
      </c>
      <c r="M632" s="91">
        <v>45621</v>
      </c>
      <c r="N632" s="88">
        <f t="shared" ca="1" si="21"/>
        <v>566</v>
      </c>
      <c r="O632" s="84" t="str">
        <f ca="1">IF(Tabla1[[#This Row],[|]]&gt;=0,"VENCIDA",IF(Tabla1[[#This Row],[|]]&gt;=-14,"POR VENCER","OK"))</f>
        <v>VENCIDA</v>
      </c>
      <c r="P632" s="90" t="s">
        <v>3181</v>
      </c>
      <c r="Q632" s="88" t="s">
        <v>312</v>
      </c>
      <c r="R632" s="88" t="s">
        <v>17</v>
      </c>
      <c r="S632" s="88"/>
      <c r="T632" s="88"/>
      <c r="U632" s="88"/>
      <c r="V632" s="88" t="s">
        <v>2076</v>
      </c>
      <c r="W632" s="92" t="s">
        <v>2772</v>
      </c>
      <c r="X632" s="88" t="s">
        <v>327</v>
      </c>
    </row>
    <row r="633" spans="1:24" s="63" customFormat="1" ht="32.25" customHeight="1" x14ac:dyDescent="0.2">
      <c r="A633" s="202">
        <v>672</v>
      </c>
      <c r="B633" s="88" t="s">
        <v>279</v>
      </c>
      <c r="C633" s="89">
        <v>672</v>
      </c>
      <c r="D633" s="88" t="str">
        <f t="shared" si="22"/>
        <v>SUPERMIX672</v>
      </c>
      <c r="E633" s="58" t="s">
        <v>2107</v>
      </c>
      <c r="F633" s="58" t="s">
        <v>2093</v>
      </c>
      <c r="G633" s="88" t="s">
        <v>25</v>
      </c>
      <c r="H633" s="90">
        <v>43971654</v>
      </c>
      <c r="I633" s="90" t="s">
        <v>3787</v>
      </c>
      <c r="J633" s="88" t="s">
        <v>2094</v>
      </c>
      <c r="K633" s="88" t="s">
        <v>2095</v>
      </c>
      <c r="L633" s="91">
        <v>40962</v>
      </c>
      <c r="M633" s="91">
        <v>43156</v>
      </c>
      <c r="N633" s="88">
        <f t="shared" ca="1" si="21"/>
        <v>3031</v>
      </c>
      <c r="O633" s="84" t="str">
        <f ca="1">IF(Tabla1[[#This Row],[|]]&gt;=0,"VENCIDA",IF(Tabla1[[#This Row],[|]]&gt;=-14,"POR VENCER","OK"))</f>
        <v>VENCIDA</v>
      </c>
      <c r="P633" s="90" t="s">
        <v>760</v>
      </c>
      <c r="Q633" s="88" t="s">
        <v>312</v>
      </c>
      <c r="R633" s="88" t="s">
        <v>17</v>
      </c>
      <c r="S633" s="88"/>
      <c r="T633" s="88"/>
      <c r="U633" s="88"/>
      <c r="V633" s="88" t="s">
        <v>2076</v>
      </c>
      <c r="W633" s="92" t="s">
        <v>299</v>
      </c>
      <c r="X633" s="88"/>
    </row>
    <row r="634" spans="1:24" s="63" customFormat="1" ht="32.25" customHeight="1" x14ac:dyDescent="0.2">
      <c r="A634" s="202">
        <v>673</v>
      </c>
      <c r="B634" s="88" t="s">
        <v>279</v>
      </c>
      <c r="C634" s="89">
        <v>673</v>
      </c>
      <c r="D634" s="88" t="str">
        <f t="shared" si="22"/>
        <v>SUPERMIX673</v>
      </c>
      <c r="E634" s="58" t="s">
        <v>2096</v>
      </c>
      <c r="F634" s="58" t="s">
        <v>2097</v>
      </c>
      <c r="G634" s="88" t="s">
        <v>25</v>
      </c>
      <c r="H634" s="90">
        <v>47369295</v>
      </c>
      <c r="I634" s="90" t="s">
        <v>3787</v>
      </c>
      <c r="J634" s="88" t="s">
        <v>2098</v>
      </c>
      <c r="K634" s="88" t="s">
        <v>1954</v>
      </c>
      <c r="L634" s="91">
        <v>43679</v>
      </c>
      <c r="M634" s="91">
        <v>44775</v>
      </c>
      <c r="N634" s="88">
        <f t="shared" ca="1" si="21"/>
        <v>1412</v>
      </c>
      <c r="O634" s="84" t="str">
        <f ca="1">IF(Tabla1[[#This Row],[|]]&gt;=0,"VENCIDA",IF(Tabla1[[#This Row],[|]]&gt;=-14,"POR VENCER","OK"))</f>
        <v>VENCIDA</v>
      </c>
      <c r="P634" s="90" t="s">
        <v>640</v>
      </c>
      <c r="Q634" s="88" t="s">
        <v>312</v>
      </c>
      <c r="R634" s="88" t="s">
        <v>317</v>
      </c>
      <c r="S634" s="88"/>
      <c r="T634" s="88"/>
      <c r="U634" s="88"/>
      <c r="V634" s="88" t="s">
        <v>2076</v>
      </c>
      <c r="W634" s="92" t="s">
        <v>299</v>
      </c>
      <c r="X634" s="88" t="s">
        <v>640</v>
      </c>
    </row>
    <row r="635" spans="1:24" s="63" customFormat="1" ht="32.25" customHeight="1" x14ac:dyDescent="0.2">
      <c r="A635" s="202">
        <v>674</v>
      </c>
      <c r="B635" s="88" t="s">
        <v>279</v>
      </c>
      <c r="C635" s="89">
        <v>674</v>
      </c>
      <c r="D635" s="88" t="str">
        <f t="shared" si="22"/>
        <v>SUPERMIX674</v>
      </c>
      <c r="E635" s="58" t="s">
        <v>2099</v>
      </c>
      <c r="F635" s="58" t="s">
        <v>570</v>
      </c>
      <c r="G635" s="88" t="s">
        <v>25</v>
      </c>
      <c r="H635" s="90">
        <v>70816425</v>
      </c>
      <c r="I635" s="90" t="s">
        <v>3787</v>
      </c>
      <c r="J635" s="88" t="s">
        <v>2100</v>
      </c>
      <c r="K635" s="88" t="s">
        <v>343</v>
      </c>
      <c r="L635" s="91">
        <v>42236</v>
      </c>
      <c r="M635" s="91">
        <v>43332</v>
      </c>
      <c r="N635" s="88">
        <f t="shared" ca="1" si="21"/>
        <v>2855</v>
      </c>
      <c r="O635" s="84" t="str">
        <f ca="1">IF(Tabla1[[#This Row],[|]]&gt;=0,"VENCIDA",IF(Tabla1[[#This Row],[|]]&gt;=-14,"POR VENCER","OK"))</f>
        <v>VENCIDA</v>
      </c>
      <c r="P635" s="90" t="s">
        <v>1038</v>
      </c>
      <c r="Q635" s="88" t="s">
        <v>312</v>
      </c>
      <c r="R635" s="88" t="s">
        <v>317</v>
      </c>
      <c r="S635" s="88"/>
      <c r="T635" s="88"/>
      <c r="U635" s="88"/>
      <c r="V635" s="88" t="s">
        <v>2076</v>
      </c>
      <c r="W635" s="92" t="s">
        <v>299</v>
      </c>
      <c r="X635" s="88"/>
    </row>
    <row r="636" spans="1:24" s="63" customFormat="1" ht="32.25" customHeight="1" x14ac:dyDescent="0.2">
      <c r="A636" s="202">
        <v>675</v>
      </c>
      <c r="B636" s="88" t="s">
        <v>279</v>
      </c>
      <c r="C636" s="89">
        <v>675</v>
      </c>
      <c r="D636" s="88" t="str">
        <f t="shared" si="22"/>
        <v>SUPERMIX675</v>
      </c>
      <c r="E636" s="58" t="s">
        <v>2101</v>
      </c>
      <c r="F636" s="58" t="s">
        <v>2102</v>
      </c>
      <c r="G636" s="88" t="s">
        <v>25</v>
      </c>
      <c r="H636" s="90">
        <v>29736409</v>
      </c>
      <c r="I636" s="90" t="s">
        <v>3787</v>
      </c>
      <c r="J636" s="88" t="s">
        <v>2103</v>
      </c>
      <c r="K636" s="88" t="s">
        <v>281</v>
      </c>
      <c r="L636" s="91">
        <v>39580</v>
      </c>
      <c r="M636" s="91">
        <v>42930</v>
      </c>
      <c r="N636" s="88">
        <f t="shared" ca="1" si="21"/>
        <v>3257</v>
      </c>
      <c r="O636" s="84" t="str">
        <f ca="1">IF(Tabla1[[#This Row],[|]]&gt;=0,"VENCIDA",IF(Tabla1[[#This Row],[|]]&gt;=-14,"POR VENCER","OK"))</f>
        <v>VENCIDA</v>
      </c>
      <c r="P636" s="90" t="s">
        <v>624</v>
      </c>
      <c r="Q636" s="88" t="s">
        <v>312</v>
      </c>
      <c r="R636" s="88" t="s">
        <v>17</v>
      </c>
      <c r="S636" s="88"/>
      <c r="T636" s="88"/>
      <c r="U636" s="88"/>
      <c r="V636" s="88" t="s">
        <v>2076</v>
      </c>
      <c r="W636" s="92" t="s">
        <v>299</v>
      </c>
      <c r="X636" s="88"/>
    </row>
    <row r="637" spans="1:24" s="63" customFormat="1" ht="32.25" customHeight="1" x14ac:dyDescent="0.2">
      <c r="A637" s="202">
        <v>676</v>
      </c>
      <c r="B637" s="88" t="s">
        <v>279</v>
      </c>
      <c r="C637" s="89">
        <v>676</v>
      </c>
      <c r="D637" s="88" t="str">
        <f t="shared" si="22"/>
        <v>SUPERMIX676</v>
      </c>
      <c r="E637" s="58" t="s">
        <v>80</v>
      </c>
      <c r="F637" s="58" t="s">
        <v>2105</v>
      </c>
      <c r="G637" s="88" t="s">
        <v>2825</v>
      </c>
      <c r="H637" s="90">
        <v>71949127</v>
      </c>
      <c r="I637" s="90" t="s">
        <v>3787</v>
      </c>
      <c r="J637" s="88" t="s">
        <v>2106</v>
      </c>
      <c r="K637" s="88" t="s">
        <v>3662</v>
      </c>
      <c r="L637" s="91">
        <v>43402</v>
      </c>
      <c r="M637" s="91">
        <v>46575</v>
      </c>
      <c r="N637" s="88">
        <f t="shared" ca="1" si="21"/>
        <v>-388</v>
      </c>
      <c r="O637" s="84" t="str">
        <f ca="1">IF(Tabla1[[#This Row],[|]]&gt;=0,"VENCIDA",IF(Tabla1[[#This Row],[|]]&gt;=-14,"POR VENCER","OK"))</f>
        <v>OK</v>
      </c>
      <c r="P637" s="90" t="s">
        <v>2787</v>
      </c>
      <c r="Q637" s="88" t="s">
        <v>312</v>
      </c>
      <c r="R637" s="88" t="s">
        <v>317</v>
      </c>
      <c r="S637" s="88"/>
      <c r="T637" s="88"/>
      <c r="U637" s="88"/>
      <c r="V637" s="88" t="s">
        <v>1939</v>
      </c>
      <c r="W637" s="92" t="s">
        <v>1017</v>
      </c>
      <c r="X637" s="88" t="s">
        <v>640</v>
      </c>
    </row>
    <row r="638" spans="1:24" s="63" customFormat="1" ht="32.25" customHeight="1" x14ac:dyDescent="0.2">
      <c r="A638" s="202">
        <v>677</v>
      </c>
      <c r="B638" s="88" t="s">
        <v>279</v>
      </c>
      <c r="C638" s="89">
        <v>677</v>
      </c>
      <c r="D638" s="88" t="str">
        <f t="shared" si="22"/>
        <v>SUPERMIX677</v>
      </c>
      <c r="E638" s="58" t="s">
        <v>2108</v>
      </c>
      <c r="F638" s="58" t="s">
        <v>895</v>
      </c>
      <c r="G638" s="88" t="s">
        <v>25</v>
      </c>
      <c r="H638" s="90">
        <v>45506975</v>
      </c>
      <c r="I638" s="90" t="s">
        <v>3787</v>
      </c>
      <c r="J638" s="88" t="s">
        <v>2109</v>
      </c>
      <c r="K638" s="88" t="s">
        <v>343</v>
      </c>
      <c r="L638" s="91">
        <v>41155</v>
      </c>
      <c r="M638" s="91">
        <v>43366</v>
      </c>
      <c r="N638" s="88">
        <f t="shared" ca="1" si="21"/>
        <v>2821</v>
      </c>
      <c r="O638" s="84" t="str">
        <f ca="1">IF(Tabla1[[#This Row],[|]]&gt;=0,"VENCIDA",IF(Tabla1[[#This Row],[|]]&gt;=-14,"POR VENCER","OK"))</f>
        <v>VENCIDA</v>
      </c>
      <c r="P638" s="90" t="s">
        <v>640</v>
      </c>
      <c r="Q638" s="88" t="s">
        <v>312</v>
      </c>
      <c r="R638" s="88" t="s">
        <v>317</v>
      </c>
      <c r="S638" s="88"/>
      <c r="T638" s="88"/>
      <c r="U638" s="88"/>
      <c r="V638" s="88" t="s">
        <v>2076</v>
      </c>
      <c r="W638" s="92" t="s">
        <v>299</v>
      </c>
      <c r="X638" s="88"/>
    </row>
    <row r="639" spans="1:24" s="63" customFormat="1" ht="32.25" customHeight="1" x14ac:dyDescent="0.2">
      <c r="A639" s="202">
        <v>678</v>
      </c>
      <c r="B639" s="88" t="s">
        <v>279</v>
      </c>
      <c r="C639" s="89">
        <v>678</v>
      </c>
      <c r="D639" s="88" t="str">
        <f t="shared" si="22"/>
        <v>SUPERMIX678</v>
      </c>
      <c r="E639" s="58" t="s">
        <v>2110</v>
      </c>
      <c r="F639" s="58" t="s">
        <v>2111</v>
      </c>
      <c r="G639" s="88" t="s">
        <v>25</v>
      </c>
      <c r="H639" s="90">
        <v>80467448</v>
      </c>
      <c r="I639" s="90" t="s">
        <v>3787</v>
      </c>
      <c r="J639" s="88" t="s">
        <v>2112</v>
      </c>
      <c r="K639" s="88" t="s">
        <v>293</v>
      </c>
      <c r="L639" s="91">
        <v>41159</v>
      </c>
      <c r="M639" s="91">
        <v>44436</v>
      </c>
      <c r="N639" s="88">
        <f t="shared" ca="1" si="21"/>
        <v>1751</v>
      </c>
      <c r="O639" s="84" t="str">
        <f ca="1">IF(Tabla1[[#This Row],[|]]&gt;=0,"VENCIDA",IF(Tabla1[[#This Row],[|]]&gt;=-14,"POR VENCER","OK"))</f>
        <v>VENCIDA</v>
      </c>
      <c r="P639" s="90" t="s">
        <v>624</v>
      </c>
      <c r="Q639" s="88" t="s">
        <v>312</v>
      </c>
      <c r="R639" s="88" t="s">
        <v>317</v>
      </c>
      <c r="S639" s="88"/>
      <c r="T639" s="88"/>
      <c r="U639" s="88"/>
      <c r="V639" s="88" t="s">
        <v>2076</v>
      </c>
      <c r="W639" s="92" t="s">
        <v>299</v>
      </c>
      <c r="X639" s="88"/>
    </row>
    <row r="640" spans="1:24" s="63" customFormat="1" ht="32.25" customHeight="1" x14ac:dyDescent="0.2">
      <c r="A640" s="202">
        <v>679</v>
      </c>
      <c r="B640" s="88" t="s">
        <v>279</v>
      </c>
      <c r="C640" s="89">
        <v>679</v>
      </c>
      <c r="D640" s="88" t="str">
        <f t="shared" si="22"/>
        <v>SUPERMIX679</v>
      </c>
      <c r="E640" s="58" t="s">
        <v>2121</v>
      </c>
      <c r="F640" s="58" t="s">
        <v>2118</v>
      </c>
      <c r="G640" s="88" t="s">
        <v>25</v>
      </c>
      <c r="H640" s="90">
        <v>43535234</v>
      </c>
      <c r="I640" s="90" t="s">
        <v>3787</v>
      </c>
      <c r="J640" s="88" t="s">
        <v>2119</v>
      </c>
      <c r="K640" s="88" t="s">
        <v>281</v>
      </c>
      <c r="L640" s="91">
        <v>41929</v>
      </c>
      <c r="M640" s="91">
        <v>43025</v>
      </c>
      <c r="N640" s="88">
        <f t="shared" ca="1" si="21"/>
        <v>3162</v>
      </c>
      <c r="O640" s="84" t="str">
        <f ca="1">IF(Tabla1[[#This Row],[|]]&gt;=0,"VENCIDA",IF(Tabla1[[#This Row],[|]]&gt;=-14,"POR VENCER","OK"))</f>
        <v>VENCIDA</v>
      </c>
      <c r="P640" s="90" t="s">
        <v>1059</v>
      </c>
      <c r="Q640" s="88" t="s">
        <v>312</v>
      </c>
      <c r="R640" s="88" t="s">
        <v>317</v>
      </c>
      <c r="S640" s="88"/>
      <c r="T640" s="88"/>
      <c r="U640" s="88"/>
      <c r="V640" s="88" t="s">
        <v>2120</v>
      </c>
      <c r="W640" s="92" t="s">
        <v>1112</v>
      </c>
      <c r="X640" s="88"/>
    </row>
    <row r="641" spans="1:24" s="63" customFormat="1" ht="32.25" customHeight="1" x14ac:dyDescent="0.2">
      <c r="A641" s="202">
        <v>680</v>
      </c>
      <c r="B641" s="88" t="s">
        <v>279</v>
      </c>
      <c r="C641" s="89">
        <v>680</v>
      </c>
      <c r="D641" s="88" t="str">
        <f t="shared" si="22"/>
        <v>SUPERMIX680</v>
      </c>
      <c r="E641" s="58" t="s">
        <v>2123</v>
      </c>
      <c r="F641" s="58" t="s">
        <v>2124</v>
      </c>
      <c r="G641" s="88" t="s">
        <v>25</v>
      </c>
      <c r="H641" s="90">
        <v>40709223</v>
      </c>
      <c r="I641" s="90" t="s">
        <v>3787</v>
      </c>
      <c r="J641" s="88" t="s">
        <v>2125</v>
      </c>
      <c r="K641" s="88" t="s">
        <v>1954</v>
      </c>
      <c r="L641" s="91">
        <v>40463</v>
      </c>
      <c r="M641" s="91">
        <v>44817</v>
      </c>
      <c r="N641" s="88">
        <f t="shared" ca="1" si="21"/>
        <v>1370</v>
      </c>
      <c r="O641" s="84" t="str">
        <f ca="1">IF(Tabla1[[#This Row],[|]]&gt;=0,"VENCIDA",IF(Tabla1[[#This Row],[|]]&gt;=-14,"POR VENCER","OK"))</f>
        <v>VENCIDA</v>
      </c>
      <c r="P641" s="90" t="s">
        <v>2847</v>
      </c>
      <c r="Q641" s="88" t="s">
        <v>312</v>
      </c>
      <c r="R641" s="88" t="s">
        <v>317</v>
      </c>
      <c r="S641" s="88"/>
      <c r="T641" s="88"/>
      <c r="U641" s="88"/>
      <c r="V641" s="88" t="s">
        <v>2072</v>
      </c>
      <c r="W641" s="92" t="s">
        <v>1112</v>
      </c>
      <c r="X641" s="88" t="s">
        <v>3382</v>
      </c>
    </row>
    <row r="642" spans="1:24" s="63" customFormat="1" ht="32.25" customHeight="1" x14ac:dyDescent="0.2">
      <c r="A642" s="202">
        <v>681</v>
      </c>
      <c r="B642" s="88" t="s">
        <v>279</v>
      </c>
      <c r="C642" s="89">
        <v>681</v>
      </c>
      <c r="D642" s="88" t="str">
        <f t="shared" si="22"/>
        <v>SUPERMIX681</v>
      </c>
      <c r="E642" s="58" t="s">
        <v>2126</v>
      </c>
      <c r="F642" s="58" t="s">
        <v>2127</v>
      </c>
      <c r="G642" s="88" t="s">
        <v>25</v>
      </c>
      <c r="H642" s="90">
        <v>41362517</v>
      </c>
      <c r="I642" s="90" t="s">
        <v>3787</v>
      </c>
      <c r="J642" s="88" t="s">
        <v>2128</v>
      </c>
      <c r="K642" s="88" t="s">
        <v>343</v>
      </c>
      <c r="L642" s="91">
        <v>40970</v>
      </c>
      <c r="M642" s="91">
        <v>44360</v>
      </c>
      <c r="N642" s="88">
        <f t="shared" ref="N642:N679" ca="1" si="23">TODAY()-M642</f>
        <v>1827</v>
      </c>
      <c r="O642" s="84" t="str">
        <f ca="1">IF(Tabla1[[#This Row],[|]]&gt;=0,"VENCIDA",IF(Tabla1[[#This Row],[|]]&gt;=-14,"POR VENCER","OK"))</f>
        <v>VENCIDA</v>
      </c>
      <c r="P642" s="90" t="s">
        <v>824</v>
      </c>
      <c r="Q642" s="88" t="s">
        <v>312</v>
      </c>
      <c r="R642" s="88" t="s">
        <v>317</v>
      </c>
      <c r="S642" s="88"/>
      <c r="T642" s="88"/>
      <c r="U642" s="88"/>
      <c r="V642" s="88" t="s">
        <v>2072</v>
      </c>
      <c r="W642" s="92" t="s">
        <v>1112</v>
      </c>
      <c r="X642" s="88"/>
    </row>
    <row r="643" spans="1:24" s="43" customFormat="1" ht="32.25" customHeight="1" x14ac:dyDescent="0.2">
      <c r="A643" s="42">
        <v>682</v>
      </c>
      <c r="B643" s="93" t="s">
        <v>279</v>
      </c>
      <c r="C643" s="94">
        <v>682</v>
      </c>
      <c r="D643" s="93" t="str">
        <f t="shared" si="22"/>
        <v>SUPERMIX682</v>
      </c>
      <c r="E643" s="115" t="s">
        <v>2129</v>
      </c>
      <c r="F643" s="115" t="s">
        <v>2130</v>
      </c>
      <c r="G643" s="93" t="s">
        <v>25</v>
      </c>
      <c r="H643" s="95" t="s">
        <v>2131</v>
      </c>
      <c r="I643" s="95" t="s">
        <v>3788</v>
      </c>
      <c r="J643" s="93" t="s">
        <v>2132</v>
      </c>
      <c r="K643" s="93" t="s">
        <v>1954</v>
      </c>
      <c r="L643" s="96">
        <v>36958</v>
      </c>
      <c r="M643" s="96">
        <v>46259</v>
      </c>
      <c r="N643" s="93">
        <f t="shared" ca="1" si="23"/>
        <v>-72</v>
      </c>
      <c r="O643" s="84" t="str">
        <f ca="1">IF(Tabla1[[#This Row],[|]]&gt;=0,"VENCIDA",IF(Tabla1[[#This Row],[|]]&gt;=-14,"POR VENCER","OK"))</f>
        <v>OK</v>
      </c>
      <c r="P643" s="95" t="s">
        <v>2133</v>
      </c>
      <c r="Q643" s="93" t="s">
        <v>312</v>
      </c>
      <c r="R643" s="93" t="s">
        <v>317</v>
      </c>
      <c r="S643" s="93"/>
      <c r="T643" s="93"/>
      <c r="U643" s="93"/>
      <c r="V643" s="93" t="s">
        <v>2072</v>
      </c>
      <c r="W643" s="97" t="s">
        <v>1112</v>
      </c>
      <c r="X643" s="93"/>
    </row>
    <row r="644" spans="1:24" s="63" customFormat="1" ht="32.25" customHeight="1" x14ac:dyDescent="0.2">
      <c r="A644" s="202">
        <v>683</v>
      </c>
      <c r="B644" s="88" t="s">
        <v>279</v>
      </c>
      <c r="C644" s="89">
        <v>683</v>
      </c>
      <c r="D644" s="88" t="str">
        <f t="shared" si="22"/>
        <v>SUPERMIX683</v>
      </c>
      <c r="E644" s="58" t="s">
        <v>2134</v>
      </c>
      <c r="F644" s="58" t="s">
        <v>2135</v>
      </c>
      <c r="G644" s="88" t="s">
        <v>25</v>
      </c>
      <c r="H644" s="90" t="s">
        <v>2136</v>
      </c>
      <c r="I644" s="90" t="s">
        <v>3787</v>
      </c>
      <c r="J644" s="88" t="s">
        <v>2137</v>
      </c>
      <c r="K644" s="88" t="s">
        <v>281</v>
      </c>
      <c r="L644" s="91">
        <v>39309</v>
      </c>
      <c r="M644" s="91">
        <v>43679</v>
      </c>
      <c r="N644" s="88">
        <f t="shared" ca="1" si="23"/>
        <v>2508</v>
      </c>
      <c r="O644" s="84" t="str">
        <f ca="1">IF(Tabla1[[#This Row],[|]]&gt;=0,"VENCIDA",IF(Tabla1[[#This Row],[|]]&gt;=-14,"POR VENCER","OK"))</f>
        <v>VENCIDA</v>
      </c>
      <c r="P644" s="90" t="s">
        <v>2133</v>
      </c>
      <c r="Q644" s="88" t="s">
        <v>312</v>
      </c>
      <c r="R644" s="88" t="s">
        <v>317</v>
      </c>
      <c r="S644" s="88"/>
      <c r="T644" s="88"/>
      <c r="U644" s="88"/>
      <c r="V644" s="88" t="s">
        <v>2072</v>
      </c>
      <c r="W644" s="92" t="s">
        <v>1112</v>
      </c>
      <c r="X644" s="88"/>
    </row>
    <row r="645" spans="1:24" s="63" customFormat="1" ht="32.25" customHeight="1" x14ac:dyDescent="0.2">
      <c r="A645" s="202">
        <v>684</v>
      </c>
      <c r="B645" s="88" t="s">
        <v>279</v>
      </c>
      <c r="C645" s="89">
        <v>684</v>
      </c>
      <c r="D645" s="88" t="str">
        <f t="shared" si="22"/>
        <v>SUPERMIX684</v>
      </c>
      <c r="E645" s="58" t="s">
        <v>2138</v>
      </c>
      <c r="F645" s="58" t="s">
        <v>2139</v>
      </c>
      <c r="G645" s="88" t="s">
        <v>25</v>
      </c>
      <c r="H645" s="90">
        <v>44143819</v>
      </c>
      <c r="I645" s="90" t="s">
        <v>3787</v>
      </c>
      <c r="J645" s="88" t="s">
        <v>2140</v>
      </c>
      <c r="K645" s="88" t="s">
        <v>281</v>
      </c>
      <c r="L645" s="91">
        <v>42321</v>
      </c>
      <c r="M645" s="91">
        <v>44619</v>
      </c>
      <c r="N645" s="88">
        <f t="shared" ca="1" si="23"/>
        <v>1568</v>
      </c>
      <c r="O645" s="84" t="str">
        <f ca="1">IF(Tabla1[[#This Row],[|]]&gt;=0,"VENCIDA",IF(Tabla1[[#This Row],[|]]&gt;=-14,"POR VENCER","OK"))</f>
        <v>VENCIDA</v>
      </c>
      <c r="P645" s="90" t="s">
        <v>3077</v>
      </c>
      <c r="Q645" s="88" t="s">
        <v>312</v>
      </c>
      <c r="R645" s="88" t="s">
        <v>17</v>
      </c>
      <c r="S645" s="88"/>
      <c r="T645" s="88"/>
      <c r="U645" s="88"/>
      <c r="V645" s="88" t="s">
        <v>2072</v>
      </c>
      <c r="W645" s="92" t="s">
        <v>2776</v>
      </c>
      <c r="X645" s="88" t="s">
        <v>597</v>
      </c>
    </row>
    <row r="646" spans="1:24" s="63" customFormat="1" ht="32.25" customHeight="1" x14ac:dyDescent="0.2">
      <c r="A646" s="202">
        <v>685</v>
      </c>
      <c r="B646" s="88" t="s">
        <v>279</v>
      </c>
      <c r="C646" s="89">
        <v>685</v>
      </c>
      <c r="D646" s="88" t="str">
        <f t="shared" si="22"/>
        <v>SUPERMIX685</v>
      </c>
      <c r="E646" s="58" t="s">
        <v>2141</v>
      </c>
      <c r="F646" s="58" t="s">
        <v>2142</v>
      </c>
      <c r="G646" s="88" t="s">
        <v>25</v>
      </c>
      <c r="H646" s="90">
        <v>43404690</v>
      </c>
      <c r="I646" s="90" t="s">
        <v>3787</v>
      </c>
      <c r="J646" s="88" t="s">
        <v>2143</v>
      </c>
      <c r="K646" s="88" t="s">
        <v>1954</v>
      </c>
      <c r="L646" s="91">
        <v>41569</v>
      </c>
      <c r="M646" s="91">
        <v>43758</v>
      </c>
      <c r="N646" s="88">
        <f t="shared" ca="1" si="23"/>
        <v>2429</v>
      </c>
      <c r="O646" s="84" t="str">
        <f ca="1">IF(Tabla1[[#This Row],[|]]&gt;=0,"VENCIDA",IF(Tabla1[[#This Row],[|]]&gt;=-14,"POR VENCER","OK"))</f>
        <v>VENCIDA</v>
      </c>
      <c r="P646" s="90" t="s">
        <v>2133</v>
      </c>
      <c r="Q646" s="88" t="s">
        <v>312</v>
      </c>
      <c r="R646" s="88" t="s">
        <v>317</v>
      </c>
      <c r="S646" s="88"/>
      <c r="T646" s="88"/>
      <c r="U646" s="88"/>
      <c r="V646" s="88" t="s">
        <v>2072</v>
      </c>
      <c r="W646" s="92" t="s">
        <v>1112</v>
      </c>
      <c r="X646" s="88"/>
    </row>
    <row r="647" spans="1:24" s="63" customFormat="1" ht="32.25" customHeight="1" x14ac:dyDescent="0.2">
      <c r="A647" s="202">
        <v>686</v>
      </c>
      <c r="B647" s="88" t="s">
        <v>279</v>
      </c>
      <c r="C647" s="89">
        <v>686</v>
      </c>
      <c r="D647" s="88" t="str">
        <f t="shared" si="22"/>
        <v>SUPERMIX686</v>
      </c>
      <c r="E647" s="58" t="s">
        <v>210</v>
      </c>
      <c r="F647" s="58" t="s">
        <v>2144</v>
      </c>
      <c r="G647" s="88" t="s">
        <v>25</v>
      </c>
      <c r="H647" s="90">
        <v>4200044</v>
      </c>
      <c r="I647" s="90" t="s">
        <v>3787</v>
      </c>
      <c r="J647" s="88" t="s">
        <v>2145</v>
      </c>
      <c r="K647" s="88" t="s">
        <v>281</v>
      </c>
      <c r="L647" s="91">
        <v>42074</v>
      </c>
      <c r="M647" s="91">
        <v>46293</v>
      </c>
      <c r="N647" s="88">
        <f t="shared" ca="1" si="23"/>
        <v>-106</v>
      </c>
      <c r="O647" s="84" t="str">
        <f ca="1">IF(Tabla1[[#This Row],[|]]&gt;=0,"VENCIDA",IF(Tabla1[[#This Row],[|]]&gt;=-14,"POR VENCER","OK"))</f>
        <v>OK</v>
      </c>
      <c r="P647" s="90" t="s">
        <v>2133</v>
      </c>
      <c r="Q647" s="88" t="s">
        <v>312</v>
      </c>
      <c r="R647" s="88" t="s">
        <v>317</v>
      </c>
      <c r="S647" s="88"/>
      <c r="T647" s="88"/>
      <c r="U647" s="88"/>
      <c r="V647" s="88" t="s">
        <v>2072</v>
      </c>
      <c r="W647" s="92" t="s">
        <v>1112</v>
      </c>
      <c r="X647" s="88"/>
    </row>
    <row r="648" spans="1:24" s="63" customFormat="1" ht="32.25" customHeight="1" x14ac:dyDescent="0.2">
      <c r="A648" s="202">
        <v>687</v>
      </c>
      <c r="B648" s="88" t="s">
        <v>279</v>
      </c>
      <c r="C648" s="89">
        <v>687</v>
      </c>
      <c r="D648" s="88" t="str">
        <f t="shared" ref="D648:D711" si="24">CONCATENATE(B648,C648)</f>
        <v>SUPERMIX687</v>
      </c>
      <c r="E648" s="58" t="s">
        <v>2154</v>
      </c>
      <c r="F648" s="58" t="s">
        <v>2155</v>
      </c>
      <c r="G648" s="88" t="s">
        <v>25</v>
      </c>
      <c r="H648" s="90">
        <v>29714222</v>
      </c>
      <c r="I648" s="90" t="s">
        <v>3787</v>
      </c>
      <c r="J648" s="88" t="s">
        <v>2156</v>
      </c>
      <c r="K648" s="88" t="s">
        <v>3142</v>
      </c>
      <c r="L648" s="91">
        <v>37386</v>
      </c>
      <c r="M648" s="91">
        <v>44226</v>
      </c>
      <c r="N648" s="88">
        <f t="shared" ca="1" si="23"/>
        <v>1961</v>
      </c>
      <c r="O648" s="84" t="str">
        <f ca="1">IF(Tabla1[[#This Row],[|]]&gt;=0,"VENCIDA",IF(Tabla1[[#This Row],[|]]&gt;=-14,"POR VENCER","OK"))</f>
        <v>VENCIDA</v>
      </c>
      <c r="P648" s="90" t="s">
        <v>1059</v>
      </c>
      <c r="Q648" s="88" t="s">
        <v>312</v>
      </c>
      <c r="R648" s="88" t="s">
        <v>17</v>
      </c>
      <c r="S648" s="88"/>
      <c r="T648" s="88"/>
      <c r="U648" s="88"/>
      <c r="V648" s="88" t="s">
        <v>836</v>
      </c>
      <c r="W648" s="92" t="s">
        <v>1267</v>
      </c>
      <c r="X648" s="88"/>
    </row>
    <row r="649" spans="1:24" s="63" customFormat="1" ht="32.25" customHeight="1" x14ac:dyDescent="0.2">
      <c r="A649" s="202">
        <v>688</v>
      </c>
      <c r="B649" s="88" t="s">
        <v>279</v>
      </c>
      <c r="C649" s="89">
        <v>688</v>
      </c>
      <c r="D649" s="88" t="str">
        <f t="shared" si="24"/>
        <v>SUPERMIX688</v>
      </c>
      <c r="E649" s="58" t="s">
        <v>210</v>
      </c>
      <c r="F649" s="58" t="s">
        <v>678</v>
      </c>
      <c r="G649" s="88" t="s">
        <v>25</v>
      </c>
      <c r="H649" s="90">
        <v>41975786</v>
      </c>
      <c r="I649" s="90" t="s">
        <v>3787</v>
      </c>
      <c r="J649" s="88" t="s">
        <v>679</v>
      </c>
      <c r="K649" s="88" t="s">
        <v>281</v>
      </c>
      <c r="L649" s="91">
        <v>39057</v>
      </c>
      <c r="M649" s="91">
        <v>44708</v>
      </c>
      <c r="N649" s="88">
        <f t="shared" ca="1" si="23"/>
        <v>1479</v>
      </c>
      <c r="O649" s="84" t="str">
        <f ca="1">IF(Tabla1[[#This Row],[|]]&gt;=0,"VENCIDA",IF(Tabla1[[#This Row],[|]]&gt;=-14,"POR VENCER","OK"))</f>
        <v>VENCIDA</v>
      </c>
      <c r="P649" s="90" t="s">
        <v>3347</v>
      </c>
      <c r="Q649" s="88" t="s">
        <v>312</v>
      </c>
      <c r="R649" s="88" t="s">
        <v>317</v>
      </c>
      <c r="S649" s="88"/>
      <c r="T649" s="88"/>
      <c r="U649" s="88"/>
      <c r="V649" s="88" t="s">
        <v>2072</v>
      </c>
      <c r="W649" s="92" t="s">
        <v>2776</v>
      </c>
      <c r="X649" s="88" t="s">
        <v>2819</v>
      </c>
    </row>
    <row r="650" spans="1:24" s="63" customFormat="1" ht="32.25" customHeight="1" x14ac:dyDescent="0.2">
      <c r="A650" s="202">
        <v>689</v>
      </c>
      <c r="B650" s="88" t="s">
        <v>279</v>
      </c>
      <c r="C650" s="89">
        <v>689</v>
      </c>
      <c r="D650" s="88" t="str">
        <f t="shared" si="24"/>
        <v>SUPERMIX689</v>
      </c>
      <c r="E650" s="58" t="s">
        <v>2150</v>
      </c>
      <c r="F650" s="58" t="s">
        <v>2151</v>
      </c>
      <c r="G650" s="88" t="s">
        <v>25</v>
      </c>
      <c r="H650" s="90">
        <v>29723537</v>
      </c>
      <c r="I650" s="90" t="s">
        <v>3787</v>
      </c>
      <c r="J650" s="88" t="s">
        <v>2152</v>
      </c>
      <c r="K650" s="88" t="s">
        <v>1961</v>
      </c>
      <c r="L650" s="91">
        <v>41634</v>
      </c>
      <c r="M650" s="91">
        <v>43785</v>
      </c>
      <c r="N650" s="88">
        <f t="shared" ca="1" si="23"/>
        <v>2402</v>
      </c>
      <c r="O650" s="84" t="str">
        <f ca="1">IF(Tabla1[[#This Row],[|]]&gt;=0,"VENCIDA",IF(Tabla1[[#This Row],[|]]&gt;=-14,"POR VENCER","OK"))</f>
        <v>VENCIDA</v>
      </c>
      <c r="P650" s="90" t="s">
        <v>823</v>
      </c>
      <c r="Q650" s="88" t="s">
        <v>312</v>
      </c>
      <c r="R650" s="88" t="s">
        <v>317</v>
      </c>
      <c r="S650" s="88"/>
      <c r="T650" s="88"/>
      <c r="U650" s="88"/>
      <c r="V650" s="88" t="s">
        <v>2153</v>
      </c>
      <c r="W650" s="92" t="s">
        <v>525</v>
      </c>
      <c r="X650" s="88"/>
    </row>
    <row r="651" spans="1:24" s="45" customFormat="1" ht="32.25" customHeight="1" x14ac:dyDescent="0.2">
      <c r="A651" s="212">
        <v>690</v>
      </c>
      <c r="B651" s="121" t="s">
        <v>279</v>
      </c>
      <c r="C651" s="139">
        <v>690</v>
      </c>
      <c r="D651" s="121" t="str">
        <f t="shared" si="24"/>
        <v>SUPERMIX690</v>
      </c>
      <c r="E651" s="140" t="s">
        <v>2146</v>
      </c>
      <c r="F651" s="140" t="s">
        <v>2147</v>
      </c>
      <c r="G651" s="121" t="s">
        <v>310</v>
      </c>
      <c r="H651" s="120">
        <v>43419773</v>
      </c>
      <c r="I651" s="120" t="s">
        <v>3788</v>
      </c>
      <c r="J651" s="121" t="s">
        <v>2148</v>
      </c>
      <c r="K651" s="121" t="s">
        <v>1954</v>
      </c>
      <c r="L651" s="141">
        <v>41789</v>
      </c>
      <c r="M651" s="141">
        <v>46245</v>
      </c>
      <c r="N651" s="121">
        <f t="shared" ca="1" si="23"/>
        <v>-58</v>
      </c>
      <c r="O651" s="142" t="str">
        <f ca="1">IF(Tabla1[[#This Row],[|]]&gt;=0,"VENCIDA",IF(Tabla1[[#This Row],[|]]&gt;=-14,"POR VENCER","OK"))</f>
        <v>OK</v>
      </c>
      <c r="P651" s="120" t="s">
        <v>3886</v>
      </c>
      <c r="Q651" s="121" t="s">
        <v>312</v>
      </c>
      <c r="R651" s="121" t="s">
        <v>317</v>
      </c>
      <c r="S651" s="88"/>
      <c r="T651" s="88"/>
      <c r="U651" s="88"/>
      <c r="V651" s="121" t="s">
        <v>1928</v>
      </c>
      <c r="W651" s="122" t="s">
        <v>1112</v>
      </c>
      <c r="X651" s="121" t="s">
        <v>597</v>
      </c>
    </row>
    <row r="652" spans="1:24" s="63" customFormat="1" ht="32.25" customHeight="1" x14ac:dyDescent="0.2">
      <c r="A652" s="202">
        <v>691</v>
      </c>
      <c r="B652" s="88" t="s">
        <v>279</v>
      </c>
      <c r="C652" s="89">
        <v>691</v>
      </c>
      <c r="D652" s="88" t="str">
        <f t="shared" si="24"/>
        <v>SUPERMIX691</v>
      </c>
      <c r="E652" s="58" t="s">
        <v>2157</v>
      </c>
      <c r="F652" s="58" t="s">
        <v>2158</v>
      </c>
      <c r="G652" s="88" t="s">
        <v>25</v>
      </c>
      <c r="H652" s="90">
        <v>29729942</v>
      </c>
      <c r="I652" s="90" t="s">
        <v>3787</v>
      </c>
      <c r="J652" s="88" t="s">
        <v>2159</v>
      </c>
      <c r="K652" s="88" t="s">
        <v>281</v>
      </c>
      <c r="L652" s="91">
        <v>37272</v>
      </c>
      <c r="M652" s="91">
        <v>43014</v>
      </c>
      <c r="N652" s="88">
        <f t="shared" ca="1" si="23"/>
        <v>3173</v>
      </c>
      <c r="O652" s="84" t="str">
        <f ca="1">IF(Tabla1[[#This Row],[|]]&gt;=0,"VENCIDA",IF(Tabla1[[#This Row],[|]]&gt;=-14,"POR VENCER","OK"))</f>
        <v>VENCIDA</v>
      </c>
      <c r="P652" s="90" t="s">
        <v>624</v>
      </c>
      <c r="Q652" s="88" t="s">
        <v>312</v>
      </c>
      <c r="R652" s="88" t="s">
        <v>17</v>
      </c>
      <c r="S652" s="88"/>
      <c r="T652" s="88"/>
      <c r="U652" s="88"/>
      <c r="V652" s="88" t="s">
        <v>1826</v>
      </c>
      <c r="W652" s="92" t="s">
        <v>299</v>
      </c>
      <c r="X652" s="88"/>
    </row>
    <row r="653" spans="1:24" s="63" customFormat="1" ht="32.25" customHeight="1" x14ac:dyDescent="0.2">
      <c r="A653" s="202">
        <v>693</v>
      </c>
      <c r="B653" s="88" t="s">
        <v>279</v>
      </c>
      <c r="C653" s="89">
        <v>693</v>
      </c>
      <c r="D653" s="88" t="str">
        <f t="shared" si="24"/>
        <v>SUPERMIX693</v>
      </c>
      <c r="E653" s="58" t="s">
        <v>2163</v>
      </c>
      <c r="F653" s="58" t="s">
        <v>2164</v>
      </c>
      <c r="G653" s="88" t="s">
        <v>25</v>
      </c>
      <c r="H653" s="90">
        <v>43447971</v>
      </c>
      <c r="I653" s="90" t="s">
        <v>3787</v>
      </c>
      <c r="J653" s="88" t="s">
        <v>2165</v>
      </c>
      <c r="K653" s="88" t="s">
        <v>1954</v>
      </c>
      <c r="L653" s="91">
        <v>41590</v>
      </c>
      <c r="M653" s="91">
        <v>43786</v>
      </c>
      <c r="N653" s="88">
        <f t="shared" ca="1" si="23"/>
        <v>2401</v>
      </c>
      <c r="O653" s="84" t="str">
        <f ca="1">IF(Tabla1[[#This Row],[|]]&gt;=0,"VENCIDA",IF(Tabla1[[#This Row],[|]]&gt;=-14,"POR VENCER","OK"))</f>
        <v>VENCIDA</v>
      </c>
      <c r="P653" s="90" t="s">
        <v>624</v>
      </c>
      <c r="Q653" s="88" t="s">
        <v>312</v>
      </c>
      <c r="R653" s="88" t="s">
        <v>17</v>
      </c>
      <c r="S653" s="88"/>
      <c r="T653" s="88"/>
      <c r="U653" s="88"/>
      <c r="V653" s="88" t="s">
        <v>2168</v>
      </c>
      <c r="W653" s="92" t="s">
        <v>1112</v>
      </c>
      <c r="X653" s="88"/>
    </row>
    <row r="654" spans="1:24" s="63" customFormat="1" ht="32.25" customHeight="1" x14ac:dyDescent="0.2">
      <c r="A654" s="202">
        <v>694</v>
      </c>
      <c r="B654" s="88" t="s">
        <v>279</v>
      </c>
      <c r="C654" s="89">
        <v>694</v>
      </c>
      <c r="D654" s="88" t="str">
        <f t="shared" si="24"/>
        <v>SUPERMIX694</v>
      </c>
      <c r="E654" s="58" t="s">
        <v>2166</v>
      </c>
      <c r="F654" s="58" t="s">
        <v>176</v>
      </c>
      <c r="G654" s="88" t="s">
        <v>25</v>
      </c>
      <c r="H654" s="90">
        <v>29600923</v>
      </c>
      <c r="I654" s="90" t="s">
        <v>3787</v>
      </c>
      <c r="J654" s="88" t="s">
        <v>2167</v>
      </c>
      <c r="K654" s="88" t="s">
        <v>1954</v>
      </c>
      <c r="L654" s="91">
        <v>36921</v>
      </c>
      <c r="M654" s="91">
        <v>43738</v>
      </c>
      <c r="N654" s="88">
        <f t="shared" ca="1" si="23"/>
        <v>2449</v>
      </c>
      <c r="O654" s="84" t="str">
        <f ca="1">IF(Tabla1[[#This Row],[|]]&gt;=0,"VENCIDA",IF(Tabla1[[#This Row],[|]]&gt;=-14,"POR VENCER","OK"))</f>
        <v>VENCIDA</v>
      </c>
      <c r="P654" s="90" t="s">
        <v>624</v>
      </c>
      <c r="Q654" s="88" t="s">
        <v>312</v>
      </c>
      <c r="R654" s="88" t="s">
        <v>317</v>
      </c>
      <c r="S654" s="88"/>
      <c r="T654" s="88"/>
      <c r="U654" s="88"/>
      <c r="V654" s="88" t="s">
        <v>2168</v>
      </c>
      <c r="W654" s="92" t="s">
        <v>1112</v>
      </c>
      <c r="X654" s="88"/>
    </row>
    <row r="655" spans="1:24" s="63" customFormat="1" ht="32.25" customHeight="1" x14ac:dyDescent="0.2">
      <c r="A655" s="202">
        <v>695</v>
      </c>
      <c r="B655" s="88" t="s">
        <v>279</v>
      </c>
      <c r="C655" s="89">
        <v>695</v>
      </c>
      <c r="D655" s="88" t="str">
        <f t="shared" si="24"/>
        <v>SUPERMIX695</v>
      </c>
      <c r="E655" s="58" t="s">
        <v>2169</v>
      </c>
      <c r="F655" s="58" t="s">
        <v>819</v>
      </c>
      <c r="G655" s="88" t="s">
        <v>25</v>
      </c>
      <c r="H655" s="90">
        <v>40674515</v>
      </c>
      <c r="I655" s="90" t="s">
        <v>3787</v>
      </c>
      <c r="J655" s="88" t="s">
        <v>2170</v>
      </c>
      <c r="K655" s="88" t="s">
        <v>281</v>
      </c>
      <c r="L655" s="91">
        <v>42153</v>
      </c>
      <c r="M655" s="91">
        <v>43249</v>
      </c>
      <c r="N655" s="88">
        <f t="shared" ca="1" si="23"/>
        <v>2938</v>
      </c>
      <c r="O655" s="84" t="str">
        <f ca="1">IF(Tabla1[[#This Row],[|]]&gt;=0,"VENCIDA",IF(Tabla1[[#This Row],[|]]&gt;=-14,"POR VENCER","OK"))</f>
        <v>VENCIDA</v>
      </c>
      <c r="P655" s="90" t="s">
        <v>624</v>
      </c>
      <c r="Q655" s="88" t="s">
        <v>312</v>
      </c>
      <c r="R655" s="88" t="s">
        <v>317</v>
      </c>
      <c r="S655" s="88"/>
      <c r="T655" s="88"/>
      <c r="U655" s="88"/>
      <c r="V655" s="88" t="s">
        <v>2168</v>
      </c>
      <c r="W655" s="92" t="s">
        <v>1112</v>
      </c>
      <c r="X655" s="88"/>
    </row>
    <row r="656" spans="1:24" s="63" customFormat="1" ht="32.25" customHeight="1" x14ac:dyDescent="0.2">
      <c r="A656" s="202">
        <v>696</v>
      </c>
      <c r="B656" s="88" t="s">
        <v>279</v>
      </c>
      <c r="C656" s="89">
        <v>696</v>
      </c>
      <c r="D656" s="88" t="str">
        <f t="shared" si="24"/>
        <v>SUPERMIX696</v>
      </c>
      <c r="E656" s="58" t="s">
        <v>2171</v>
      </c>
      <c r="F656" s="58" t="s">
        <v>2172</v>
      </c>
      <c r="G656" s="88" t="s">
        <v>25</v>
      </c>
      <c r="H656" s="90">
        <v>30675594</v>
      </c>
      <c r="I656" s="90" t="s">
        <v>3787</v>
      </c>
      <c r="J656" s="88" t="s">
        <v>2173</v>
      </c>
      <c r="K656" s="88" t="s">
        <v>1954</v>
      </c>
      <c r="L656" s="91">
        <v>38489</v>
      </c>
      <c r="M656" s="91">
        <v>43938</v>
      </c>
      <c r="N656" s="88">
        <f t="shared" ca="1" si="23"/>
        <v>2249</v>
      </c>
      <c r="O656" s="84" t="str">
        <f ca="1">IF(Tabla1[[#This Row],[|]]&gt;=0,"VENCIDA",IF(Tabla1[[#This Row],[|]]&gt;=-14,"POR VENCER","OK"))</f>
        <v>VENCIDA</v>
      </c>
      <c r="P656" s="90" t="s">
        <v>624</v>
      </c>
      <c r="Q656" s="88" t="s">
        <v>312</v>
      </c>
      <c r="R656" s="88" t="s">
        <v>17</v>
      </c>
      <c r="S656" s="88"/>
      <c r="T656" s="88"/>
      <c r="U656" s="88"/>
      <c r="V656" s="88" t="s">
        <v>2168</v>
      </c>
      <c r="W656" s="92" t="s">
        <v>1112</v>
      </c>
      <c r="X656" s="88"/>
    </row>
    <row r="657" spans="1:24" s="63" customFormat="1" ht="32.25" customHeight="1" x14ac:dyDescent="0.2">
      <c r="A657" s="202">
        <v>697</v>
      </c>
      <c r="B657" s="88" t="s">
        <v>279</v>
      </c>
      <c r="C657" s="89">
        <v>697</v>
      </c>
      <c r="D657" s="88" t="str">
        <f t="shared" si="24"/>
        <v>SUPERMIX697</v>
      </c>
      <c r="E657" s="58" t="s">
        <v>2174</v>
      </c>
      <c r="F657" s="58" t="s">
        <v>2175</v>
      </c>
      <c r="G657" s="88" t="s">
        <v>25</v>
      </c>
      <c r="H657" s="90">
        <v>45214365</v>
      </c>
      <c r="I657" s="90" t="s">
        <v>3787</v>
      </c>
      <c r="J657" s="88" t="s">
        <v>2176</v>
      </c>
      <c r="K657" s="88" t="s">
        <v>281</v>
      </c>
      <c r="L657" s="91">
        <v>42167</v>
      </c>
      <c r="M657" s="91">
        <v>43263</v>
      </c>
      <c r="N657" s="88">
        <f t="shared" ca="1" si="23"/>
        <v>2924</v>
      </c>
      <c r="O657" s="84" t="str">
        <f ca="1">IF(Tabla1[[#This Row],[|]]&gt;=0,"VENCIDA",IF(Tabla1[[#This Row],[|]]&gt;=-14,"POR VENCER","OK"))</f>
        <v>VENCIDA</v>
      </c>
      <c r="P657" s="90" t="s">
        <v>624</v>
      </c>
      <c r="Q657" s="88" t="s">
        <v>312</v>
      </c>
      <c r="R657" s="88" t="s">
        <v>317</v>
      </c>
      <c r="S657" s="88"/>
      <c r="T657" s="88"/>
      <c r="U657" s="88"/>
      <c r="V657" s="88" t="s">
        <v>2168</v>
      </c>
      <c r="W657" s="92" t="s">
        <v>1112</v>
      </c>
      <c r="X657" s="88"/>
    </row>
    <row r="658" spans="1:24" s="63" customFormat="1" ht="32.25" customHeight="1" x14ac:dyDescent="0.2">
      <c r="A658" s="202">
        <v>698</v>
      </c>
      <c r="B658" s="88" t="s">
        <v>279</v>
      </c>
      <c r="C658" s="89">
        <v>698</v>
      </c>
      <c r="D658" s="88" t="str">
        <f t="shared" si="24"/>
        <v>SUPERMIX698</v>
      </c>
      <c r="E658" s="58" t="s">
        <v>2177</v>
      </c>
      <c r="F658" s="58" t="s">
        <v>2178</v>
      </c>
      <c r="G658" s="88" t="s">
        <v>310</v>
      </c>
      <c r="H658" s="90">
        <v>42991411</v>
      </c>
      <c r="I658" s="90" t="s">
        <v>3787</v>
      </c>
      <c r="J658" s="88" t="s">
        <v>2179</v>
      </c>
      <c r="K658" s="88" t="s">
        <v>281</v>
      </c>
      <c r="L658" s="91">
        <v>42234</v>
      </c>
      <c r="M658" s="91">
        <v>46204</v>
      </c>
      <c r="N658" s="88">
        <f t="shared" ca="1" si="23"/>
        <v>-17</v>
      </c>
      <c r="O658" s="84" t="str">
        <f ca="1">IF(Tabla1[[#This Row],[|]]&gt;=0,"VENCIDA",IF(Tabla1[[#This Row],[|]]&gt;=-14,"POR VENCER","OK"))</f>
        <v>OK</v>
      </c>
      <c r="P658" s="90" t="s">
        <v>624</v>
      </c>
      <c r="Q658" s="88" t="s">
        <v>312</v>
      </c>
      <c r="R658" s="88" t="s">
        <v>317</v>
      </c>
      <c r="S658" s="88"/>
      <c r="T658" s="88"/>
      <c r="U658" s="88"/>
      <c r="V658" s="88" t="s">
        <v>2168</v>
      </c>
      <c r="W658" s="92" t="s">
        <v>1112</v>
      </c>
      <c r="X658" s="88" t="s">
        <v>624</v>
      </c>
    </row>
    <row r="659" spans="1:24" s="63" customFormat="1" ht="32.25" customHeight="1" x14ac:dyDescent="0.2">
      <c r="A659" s="202">
        <v>699</v>
      </c>
      <c r="B659" s="88" t="s">
        <v>279</v>
      </c>
      <c r="C659" s="89">
        <v>699</v>
      </c>
      <c r="D659" s="88" t="str">
        <f t="shared" si="24"/>
        <v>SUPERMIX699</v>
      </c>
      <c r="E659" s="58" t="s">
        <v>1000</v>
      </c>
      <c r="F659" s="58" t="s">
        <v>1001</v>
      </c>
      <c r="G659" s="88" t="s">
        <v>25</v>
      </c>
      <c r="H659" s="90">
        <v>41608305</v>
      </c>
      <c r="I659" s="90" t="s">
        <v>3787</v>
      </c>
      <c r="J659" s="88" t="s">
        <v>1002</v>
      </c>
      <c r="K659" s="88" t="s">
        <v>281</v>
      </c>
      <c r="L659" s="91">
        <v>40736</v>
      </c>
      <c r="M659" s="91">
        <v>44036</v>
      </c>
      <c r="N659" s="88">
        <f t="shared" ca="1" si="23"/>
        <v>2151</v>
      </c>
      <c r="O659" s="84" t="str">
        <f ca="1">IF(Tabla1[[#This Row],[|]]&gt;=0,"VENCIDA",IF(Tabla1[[#This Row],[|]]&gt;=-14,"POR VENCER","OK"))</f>
        <v>VENCIDA</v>
      </c>
      <c r="P659" s="90" t="s">
        <v>2224</v>
      </c>
      <c r="Q659" s="88" t="s">
        <v>312</v>
      </c>
      <c r="R659" s="88" t="s">
        <v>17</v>
      </c>
      <c r="S659" s="88"/>
      <c r="T659" s="88"/>
      <c r="U659" s="88"/>
      <c r="V659" s="88" t="s">
        <v>1702</v>
      </c>
      <c r="W659" s="92" t="s">
        <v>1112</v>
      </c>
      <c r="X659" s="88"/>
    </row>
    <row r="660" spans="1:24" s="63" customFormat="1" ht="32.25" customHeight="1" x14ac:dyDescent="0.2">
      <c r="A660" s="202">
        <v>700</v>
      </c>
      <c r="B660" s="88" t="s">
        <v>279</v>
      </c>
      <c r="C660" s="89">
        <v>700</v>
      </c>
      <c r="D660" s="88" t="str">
        <f t="shared" si="24"/>
        <v>SUPERMIX700</v>
      </c>
      <c r="E660" s="58" t="s">
        <v>2180</v>
      </c>
      <c r="F660" s="58" t="s">
        <v>1491</v>
      </c>
      <c r="G660" s="88" t="s">
        <v>25</v>
      </c>
      <c r="H660" s="90">
        <v>29700033</v>
      </c>
      <c r="I660" s="90" t="s">
        <v>3787</v>
      </c>
      <c r="J660" s="88" t="s">
        <v>2181</v>
      </c>
      <c r="K660" s="88" t="s">
        <v>281</v>
      </c>
      <c r="L660" s="91">
        <v>37799</v>
      </c>
      <c r="M660" s="91">
        <v>44169</v>
      </c>
      <c r="N660" s="88">
        <f t="shared" ca="1" si="23"/>
        <v>2018</v>
      </c>
      <c r="O660" s="84" t="str">
        <f ca="1">IF(Tabla1[[#This Row],[|]]&gt;=0,"VENCIDA",IF(Tabla1[[#This Row],[|]]&gt;=-14,"POR VENCER","OK"))</f>
        <v>VENCIDA</v>
      </c>
      <c r="P660" s="90" t="s">
        <v>624</v>
      </c>
      <c r="Q660" s="88" t="s">
        <v>312</v>
      </c>
      <c r="R660" s="88" t="s">
        <v>17</v>
      </c>
      <c r="S660" s="88"/>
      <c r="T660" s="88"/>
      <c r="U660" s="88"/>
      <c r="V660" s="88" t="s">
        <v>1702</v>
      </c>
      <c r="W660" s="92" t="s">
        <v>1112</v>
      </c>
      <c r="X660" s="88"/>
    </row>
    <row r="661" spans="1:24" s="63" customFormat="1" ht="32.25" customHeight="1" x14ac:dyDescent="0.2">
      <c r="A661" s="202">
        <v>701</v>
      </c>
      <c r="B661" s="88" t="s">
        <v>279</v>
      </c>
      <c r="C661" s="89">
        <v>701</v>
      </c>
      <c r="D661" s="88" t="str">
        <f t="shared" si="24"/>
        <v>SUPERMIX701</v>
      </c>
      <c r="E661" s="58" t="s">
        <v>2183</v>
      </c>
      <c r="F661" s="58" t="s">
        <v>2184</v>
      </c>
      <c r="G661" s="88" t="s">
        <v>25</v>
      </c>
      <c r="H661" s="90">
        <v>41768994</v>
      </c>
      <c r="I661" s="90" t="s">
        <v>3787</v>
      </c>
      <c r="J661" s="88" t="s">
        <v>2185</v>
      </c>
      <c r="K661" s="88" t="s">
        <v>343</v>
      </c>
      <c r="L661" s="91">
        <v>42387</v>
      </c>
      <c r="M661" s="91">
        <v>43483</v>
      </c>
      <c r="N661" s="88">
        <f t="shared" ca="1" si="23"/>
        <v>2704</v>
      </c>
      <c r="O661" s="84" t="str">
        <f ca="1">IF(Tabla1[[#This Row],[|]]&gt;=0,"VENCIDA",IF(Tabla1[[#This Row],[|]]&gt;=-14,"POR VENCER","OK"))</f>
        <v>VENCIDA</v>
      </c>
      <c r="P661" s="90" t="s">
        <v>824</v>
      </c>
      <c r="Q661" s="88" t="s">
        <v>312</v>
      </c>
      <c r="R661" s="88" t="s">
        <v>317</v>
      </c>
      <c r="S661" s="88"/>
      <c r="T661" s="88"/>
      <c r="U661" s="88"/>
      <c r="V661" s="88" t="s">
        <v>2189</v>
      </c>
      <c r="W661" s="92" t="s">
        <v>1112</v>
      </c>
      <c r="X661" s="88"/>
    </row>
    <row r="662" spans="1:24" s="63" customFormat="1" ht="32.25" customHeight="1" x14ac:dyDescent="0.2">
      <c r="A662" s="202">
        <v>702</v>
      </c>
      <c r="B662" s="88" t="s">
        <v>279</v>
      </c>
      <c r="C662" s="89">
        <v>702</v>
      </c>
      <c r="D662" s="88" t="str">
        <f t="shared" si="24"/>
        <v>SUPERMIX702</v>
      </c>
      <c r="E662" s="58" t="s">
        <v>2186</v>
      </c>
      <c r="F662" s="58" t="s">
        <v>2187</v>
      </c>
      <c r="G662" s="88" t="s">
        <v>25</v>
      </c>
      <c r="H662" s="90">
        <v>45435764</v>
      </c>
      <c r="I662" s="90" t="s">
        <v>3787</v>
      </c>
      <c r="J662" s="88" t="s">
        <v>2188</v>
      </c>
      <c r="K662" s="88" t="s">
        <v>343</v>
      </c>
      <c r="L662" s="91">
        <v>42628</v>
      </c>
      <c r="M662" s="91">
        <v>43723</v>
      </c>
      <c r="N662" s="88">
        <f t="shared" ca="1" si="23"/>
        <v>2464</v>
      </c>
      <c r="O662" s="84" t="str">
        <f ca="1">IF(Tabla1[[#This Row],[|]]&gt;=0,"VENCIDA",IF(Tabla1[[#This Row],[|]]&gt;=-14,"POR VENCER","OK"))</f>
        <v>VENCIDA</v>
      </c>
      <c r="P662" s="90" t="s">
        <v>824</v>
      </c>
      <c r="Q662" s="88" t="s">
        <v>312</v>
      </c>
      <c r="R662" s="88" t="s">
        <v>317</v>
      </c>
      <c r="S662" s="88"/>
      <c r="T662" s="88"/>
      <c r="U662" s="88"/>
      <c r="V662" s="88" t="s">
        <v>2189</v>
      </c>
      <c r="W662" s="92" t="s">
        <v>1112</v>
      </c>
      <c r="X662" s="88"/>
    </row>
    <row r="663" spans="1:24" s="63" customFormat="1" ht="32.25" customHeight="1" x14ac:dyDescent="0.2">
      <c r="A663" s="202">
        <v>703</v>
      </c>
      <c r="B663" s="88" t="s">
        <v>279</v>
      </c>
      <c r="C663" s="89">
        <v>703</v>
      </c>
      <c r="D663" s="88" t="str">
        <f t="shared" si="24"/>
        <v>SUPERMIX703</v>
      </c>
      <c r="E663" s="58" t="s">
        <v>2190</v>
      </c>
      <c r="F663" s="58" t="s">
        <v>2191</v>
      </c>
      <c r="G663" s="88" t="s">
        <v>25</v>
      </c>
      <c r="H663" s="90" t="s">
        <v>2192</v>
      </c>
      <c r="I663" s="90" t="s">
        <v>3787</v>
      </c>
      <c r="J663" s="88" t="s">
        <v>2193</v>
      </c>
      <c r="K663" s="88" t="s">
        <v>3142</v>
      </c>
      <c r="L663" s="91">
        <v>43113</v>
      </c>
      <c r="M663" s="91">
        <v>44209</v>
      </c>
      <c r="N663" s="88">
        <f t="shared" ca="1" si="23"/>
        <v>1978</v>
      </c>
      <c r="O663" s="84" t="str">
        <f ca="1">IF(Tabla1[[#This Row],[|]]&gt;=0,"VENCIDA",IF(Tabla1[[#This Row],[|]]&gt;=-14,"POR VENCER","OK"))</f>
        <v>VENCIDA</v>
      </c>
      <c r="P663" s="90" t="s">
        <v>824</v>
      </c>
      <c r="Q663" s="88" t="s">
        <v>312</v>
      </c>
      <c r="R663" s="88" t="s">
        <v>17</v>
      </c>
      <c r="S663" s="88"/>
      <c r="T663" s="88"/>
      <c r="U663" s="88"/>
      <c r="V663" s="88" t="s">
        <v>2194</v>
      </c>
      <c r="W663" s="92" t="s">
        <v>1267</v>
      </c>
      <c r="X663" s="88"/>
    </row>
    <row r="664" spans="1:24" s="63" customFormat="1" ht="32.25" customHeight="1" x14ac:dyDescent="0.2">
      <c r="A664" s="202">
        <v>704</v>
      </c>
      <c r="B664" s="88" t="s">
        <v>279</v>
      </c>
      <c r="C664" s="89">
        <v>704</v>
      </c>
      <c r="D664" s="88" t="str">
        <f t="shared" si="24"/>
        <v>SUPERMIX704</v>
      </c>
      <c r="E664" s="58" t="s">
        <v>2195</v>
      </c>
      <c r="F664" s="58" t="s">
        <v>2196</v>
      </c>
      <c r="G664" s="88" t="s">
        <v>25</v>
      </c>
      <c r="H664" s="90">
        <v>29684588</v>
      </c>
      <c r="I664" s="90" t="s">
        <v>3787</v>
      </c>
      <c r="J664" s="88" t="s">
        <v>2197</v>
      </c>
      <c r="K664" s="88" t="s">
        <v>281</v>
      </c>
      <c r="L664" s="91">
        <v>37372</v>
      </c>
      <c r="M664" s="91">
        <v>44061</v>
      </c>
      <c r="N664" s="88">
        <f t="shared" ca="1" si="23"/>
        <v>2126</v>
      </c>
      <c r="O664" s="84" t="str">
        <f ca="1">IF(Tabla1[[#This Row],[|]]&gt;=0,"VENCIDA",IF(Tabla1[[#This Row],[|]]&gt;=-14,"POR VENCER","OK"))</f>
        <v>VENCIDA</v>
      </c>
      <c r="P664" s="90" t="s">
        <v>2198</v>
      </c>
      <c r="Q664" s="88" t="s">
        <v>312</v>
      </c>
      <c r="R664" s="88" t="s">
        <v>17</v>
      </c>
      <c r="S664" s="88"/>
      <c r="T664" s="88"/>
      <c r="U664" s="88"/>
      <c r="V664" s="88" t="s">
        <v>2076</v>
      </c>
      <c r="W664" s="92" t="s">
        <v>299</v>
      </c>
      <c r="X664" s="88"/>
    </row>
    <row r="665" spans="1:24" s="63" customFormat="1" ht="32.25" customHeight="1" x14ac:dyDescent="0.2">
      <c r="A665" s="202">
        <v>705</v>
      </c>
      <c r="B665" s="88" t="s">
        <v>279</v>
      </c>
      <c r="C665" s="89">
        <v>705</v>
      </c>
      <c r="D665" s="88" t="str">
        <f t="shared" si="24"/>
        <v>SUPERMIX705</v>
      </c>
      <c r="E665" s="58" t="s">
        <v>2199</v>
      </c>
      <c r="F665" s="58" t="s">
        <v>2200</v>
      </c>
      <c r="G665" s="88" t="s">
        <v>25</v>
      </c>
      <c r="H665" s="90">
        <v>45819677</v>
      </c>
      <c r="I665" s="90" t="s">
        <v>3787</v>
      </c>
      <c r="J665" s="88" t="s">
        <v>2201</v>
      </c>
      <c r="K665" s="88" t="s">
        <v>343</v>
      </c>
      <c r="L665" s="91">
        <v>42200</v>
      </c>
      <c r="M665" s="91">
        <v>43296</v>
      </c>
      <c r="N665" s="88">
        <f t="shared" ca="1" si="23"/>
        <v>2891</v>
      </c>
      <c r="O665" s="84" t="str">
        <f ca="1">IF(Tabla1[[#This Row],[|]]&gt;=0,"VENCIDA",IF(Tabla1[[#This Row],[|]]&gt;=-14,"POR VENCER","OK"))</f>
        <v>VENCIDA</v>
      </c>
      <c r="P665" s="90" t="s">
        <v>824</v>
      </c>
      <c r="Q665" s="88" t="s">
        <v>312</v>
      </c>
      <c r="R665" s="88" t="s">
        <v>17</v>
      </c>
      <c r="S665" s="88"/>
      <c r="T665" s="88"/>
      <c r="U665" s="88"/>
      <c r="V665" s="88" t="s">
        <v>2189</v>
      </c>
      <c r="W665" s="92" t="s">
        <v>1112</v>
      </c>
      <c r="X665" s="88"/>
    </row>
    <row r="666" spans="1:24" s="43" customFormat="1" ht="32.25" customHeight="1" x14ac:dyDescent="0.2">
      <c r="A666" s="42">
        <v>706</v>
      </c>
      <c r="B666" s="93" t="s">
        <v>279</v>
      </c>
      <c r="C666" s="94">
        <v>706</v>
      </c>
      <c r="D666" s="93" t="str">
        <f t="shared" si="24"/>
        <v>SUPERMIX706</v>
      </c>
      <c r="E666" s="115" t="s">
        <v>2202</v>
      </c>
      <c r="F666" s="115" t="s">
        <v>2203</v>
      </c>
      <c r="G666" s="93" t="s">
        <v>25</v>
      </c>
      <c r="H666" s="95" t="s">
        <v>2204</v>
      </c>
      <c r="I666" s="95" t="s">
        <v>3788</v>
      </c>
      <c r="J666" s="93" t="s">
        <v>2205</v>
      </c>
      <c r="K666" s="93" t="s">
        <v>1954</v>
      </c>
      <c r="L666" s="96">
        <v>38546</v>
      </c>
      <c r="M666" s="117">
        <v>46694</v>
      </c>
      <c r="N666" s="93">
        <f t="shared" ca="1" si="23"/>
        <v>-507</v>
      </c>
      <c r="O666" s="84" t="str">
        <f ca="1">IF(Tabla1[[#This Row],[|]]&gt;=0,"VENCIDA",IF(Tabla1[[#This Row],[|]]&gt;=-14,"POR VENCER","OK"))</f>
        <v>OK</v>
      </c>
      <c r="P666" s="95" t="s">
        <v>2206</v>
      </c>
      <c r="Q666" s="93" t="s">
        <v>312</v>
      </c>
      <c r="R666" s="93" t="s">
        <v>17</v>
      </c>
      <c r="S666" s="93"/>
      <c r="T666" s="93"/>
      <c r="U666" s="93"/>
      <c r="V666" s="93" t="s">
        <v>2120</v>
      </c>
      <c r="W666" s="97" t="s">
        <v>1112</v>
      </c>
      <c r="X666" s="93" t="s">
        <v>597</v>
      </c>
    </row>
    <row r="667" spans="1:24" s="63" customFormat="1" ht="32.25" customHeight="1" x14ac:dyDescent="0.2">
      <c r="A667" s="202">
        <v>707</v>
      </c>
      <c r="B667" s="88" t="s">
        <v>279</v>
      </c>
      <c r="C667" s="89">
        <v>707</v>
      </c>
      <c r="D667" s="88" t="str">
        <f t="shared" si="24"/>
        <v>SUPERMIX707</v>
      </c>
      <c r="E667" s="58" t="s">
        <v>630</v>
      </c>
      <c r="F667" s="58" t="s">
        <v>2207</v>
      </c>
      <c r="G667" s="88" t="s">
        <v>25</v>
      </c>
      <c r="H667" s="90">
        <v>29640155</v>
      </c>
      <c r="I667" s="90" t="s">
        <v>3787</v>
      </c>
      <c r="J667" s="88" t="s">
        <v>2208</v>
      </c>
      <c r="K667" s="88" t="s">
        <v>281</v>
      </c>
      <c r="L667" s="91">
        <v>41523</v>
      </c>
      <c r="M667" s="91">
        <v>44841</v>
      </c>
      <c r="N667" s="88">
        <f t="shared" ca="1" si="23"/>
        <v>1346</v>
      </c>
      <c r="O667" s="84" t="str">
        <f ca="1">IF(Tabla1[[#This Row],[|]]&gt;=0,"VENCIDA",IF(Tabla1[[#This Row],[|]]&gt;=-14,"POR VENCER","OK"))</f>
        <v>VENCIDA</v>
      </c>
      <c r="P667" s="90" t="s">
        <v>3079</v>
      </c>
      <c r="Q667" s="88" t="s">
        <v>312</v>
      </c>
      <c r="R667" s="88" t="s">
        <v>317</v>
      </c>
      <c r="S667" s="88"/>
      <c r="T667" s="88"/>
      <c r="U667" s="88"/>
      <c r="V667" s="88" t="s">
        <v>1928</v>
      </c>
      <c r="W667" s="92" t="s">
        <v>2776</v>
      </c>
      <c r="X667" s="88" t="s">
        <v>597</v>
      </c>
    </row>
    <row r="668" spans="1:24" s="63" customFormat="1" ht="32.25" customHeight="1" x14ac:dyDescent="0.2">
      <c r="A668" s="202">
        <v>708</v>
      </c>
      <c r="B668" s="88" t="s">
        <v>279</v>
      </c>
      <c r="C668" s="89">
        <v>708</v>
      </c>
      <c r="D668" s="88" t="str">
        <f t="shared" si="24"/>
        <v>SUPERMIX708</v>
      </c>
      <c r="E668" s="58" t="s">
        <v>2209</v>
      </c>
      <c r="F668" s="58" t="s">
        <v>2210</v>
      </c>
      <c r="G668" s="88" t="s">
        <v>25</v>
      </c>
      <c r="H668" s="90">
        <v>42631661</v>
      </c>
      <c r="I668" s="90" t="s">
        <v>3787</v>
      </c>
      <c r="J668" s="88" t="s">
        <v>2211</v>
      </c>
      <c r="K668" s="88" t="s">
        <v>281</v>
      </c>
      <c r="L668" s="91">
        <v>40829</v>
      </c>
      <c r="M668" s="91">
        <v>44053</v>
      </c>
      <c r="N668" s="88">
        <f t="shared" ca="1" si="23"/>
        <v>2134</v>
      </c>
      <c r="O668" s="84" t="str">
        <f ca="1">IF(Tabla1[[#This Row],[|]]&gt;=0,"VENCIDA",IF(Tabla1[[#This Row],[|]]&gt;=-14,"POR VENCER","OK"))</f>
        <v>VENCIDA</v>
      </c>
      <c r="P668" s="90" t="s">
        <v>2149</v>
      </c>
      <c r="Q668" s="88" t="s">
        <v>312</v>
      </c>
      <c r="R668" s="88" t="s">
        <v>317</v>
      </c>
      <c r="S668" s="88"/>
      <c r="T668" s="88"/>
      <c r="U668" s="88"/>
      <c r="V668" s="88" t="s">
        <v>1928</v>
      </c>
      <c r="W668" s="92" t="s">
        <v>1112</v>
      </c>
      <c r="X668" s="88"/>
    </row>
    <row r="669" spans="1:24" s="63" customFormat="1" ht="32.25" customHeight="1" x14ac:dyDescent="0.2">
      <c r="A669" s="202">
        <v>709</v>
      </c>
      <c r="B669" s="88" t="s">
        <v>279</v>
      </c>
      <c r="C669" s="89">
        <v>709</v>
      </c>
      <c r="D669" s="88" t="str">
        <f t="shared" si="24"/>
        <v>SUPERMIX709</v>
      </c>
      <c r="E669" s="58" t="s">
        <v>2212</v>
      </c>
      <c r="F669" s="58" t="s">
        <v>2213</v>
      </c>
      <c r="G669" s="88" t="s">
        <v>25</v>
      </c>
      <c r="H669" s="90">
        <v>46045051</v>
      </c>
      <c r="I669" s="90" t="s">
        <v>3787</v>
      </c>
      <c r="J669" s="88" t="s">
        <v>2214</v>
      </c>
      <c r="K669" s="88" t="s">
        <v>281</v>
      </c>
      <c r="L669" s="91">
        <v>42614</v>
      </c>
      <c r="M669" s="91">
        <v>44810</v>
      </c>
      <c r="N669" s="88">
        <f t="shared" ca="1" si="23"/>
        <v>1377</v>
      </c>
      <c r="O669" s="84" t="str">
        <f ca="1">IF(Tabla1[[#This Row],[|]]&gt;=0,"VENCIDA",IF(Tabla1[[#This Row],[|]]&gt;=-14,"POR VENCER","OK"))</f>
        <v>VENCIDA</v>
      </c>
      <c r="P669" s="90" t="s">
        <v>2847</v>
      </c>
      <c r="Q669" s="88" t="s">
        <v>312</v>
      </c>
      <c r="R669" s="88" t="s">
        <v>317</v>
      </c>
      <c r="S669" s="88"/>
      <c r="T669" s="88"/>
      <c r="U669" s="88"/>
      <c r="V669" s="88" t="s">
        <v>352</v>
      </c>
      <c r="W669" s="92" t="s">
        <v>2776</v>
      </c>
      <c r="X669" s="88" t="s">
        <v>3127</v>
      </c>
    </row>
    <row r="670" spans="1:24" s="63" customFormat="1" ht="32.25" customHeight="1" x14ac:dyDescent="0.2">
      <c r="A670" s="202">
        <v>710</v>
      </c>
      <c r="B670" s="88" t="s">
        <v>279</v>
      </c>
      <c r="C670" s="89">
        <v>710</v>
      </c>
      <c r="D670" s="88" t="str">
        <f t="shared" si="24"/>
        <v>SUPERMIX710</v>
      </c>
      <c r="E670" s="58" t="s">
        <v>2215</v>
      </c>
      <c r="F670" s="58" t="s">
        <v>2216</v>
      </c>
      <c r="G670" s="88" t="s">
        <v>25</v>
      </c>
      <c r="H670" s="90">
        <v>29363613</v>
      </c>
      <c r="I670" s="90" t="s">
        <v>3787</v>
      </c>
      <c r="J670" s="88" t="s">
        <v>2217</v>
      </c>
      <c r="K670" s="88" t="s">
        <v>2092</v>
      </c>
      <c r="L670" s="91">
        <v>40466</v>
      </c>
      <c r="M670" s="91">
        <v>43785</v>
      </c>
      <c r="N670" s="88">
        <f t="shared" ca="1" si="23"/>
        <v>2402</v>
      </c>
      <c r="O670" s="84" t="str">
        <f ca="1">IF(Tabla1[[#This Row],[|]]&gt;=0,"VENCIDA",IF(Tabla1[[#This Row],[|]]&gt;=-14,"POR VENCER","OK"))</f>
        <v>VENCIDA</v>
      </c>
      <c r="P670" s="90" t="s">
        <v>2426</v>
      </c>
      <c r="Q670" s="88" t="s">
        <v>312</v>
      </c>
      <c r="R670" s="88" t="s">
        <v>17</v>
      </c>
      <c r="S670" s="88"/>
      <c r="T670" s="88"/>
      <c r="U670" s="88"/>
      <c r="V670" s="88" t="s">
        <v>1928</v>
      </c>
      <c r="W670" s="92" t="s">
        <v>1112</v>
      </c>
      <c r="X670" s="88"/>
    </row>
    <row r="671" spans="1:24" s="63" customFormat="1" ht="32.25" customHeight="1" x14ac:dyDescent="0.2">
      <c r="A671" s="202">
        <v>711</v>
      </c>
      <c r="B671" s="88" t="s">
        <v>279</v>
      </c>
      <c r="C671" s="89">
        <v>711</v>
      </c>
      <c r="D671" s="88" t="str">
        <f t="shared" si="24"/>
        <v>SUPERMIX711</v>
      </c>
      <c r="E671" s="58" t="s">
        <v>2218</v>
      </c>
      <c r="F671" s="58" t="s">
        <v>570</v>
      </c>
      <c r="G671" s="88" t="s">
        <v>25</v>
      </c>
      <c r="H671" s="90">
        <v>41760308</v>
      </c>
      <c r="I671" s="90" t="s">
        <v>3787</v>
      </c>
      <c r="J671" s="88" t="s">
        <v>2219</v>
      </c>
      <c r="K671" s="88" t="s">
        <v>281</v>
      </c>
      <c r="L671" s="91">
        <v>41537</v>
      </c>
      <c r="M671" s="91">
        <v>43721</v>
      </c>
      <c r="N671" s="88">
        <f t="shared" ca="1" si="23"/>
        <v>2466</v>
      </c>
      <c r="O671" s="84" t="str">
        <f ca="1">IF(Tabla1[[#This Row],[|]]&gt;=0,"VENCIDA",IF(Tabla1[[#This Row],[|]]&gt;=-14,"POR VENCER","OK"))</f>
        <v>VENCIDA</v>
      </c>
      <c r="P671" s="90" t="s">
        <v>2220</v>
      </c>
      <c r="Q671" s="88" t="s">
        <v>312</v>
      </c>
      <c r="R671" s="88" t="s">
        <v>317</v>
      </c>
      <c r="S671" s="88"/>
      <c r="T671" s="88"/>
      <c r="U671" s="88"/>
      <c r="V671" s="88" t="s">
        <v>1928</v>
      </c>
      <c r="W671" s="92" t="s">
        <v>1112</v>
      </c>
      <c r="X671" s="88"/>
    </row>
    <row r="672" spans="1:24" s="59" customFormat="1" ht="32.25" customHeight="1" x14ac:dyDescent="0.2">
      <c r="A672" s="200">
        <v>712</v>
      </c>
      <c r="B672" s="61" t="s">
        <v>279</v>
      </c>
      <c r="C672" s="87">
        <v>712</v>
      </c>
      <c r="D672" s="61" t="str">
        <f t="shared" si="24"/>
        <v>SUPERMIX712</v>
      </c>
      <c r="E672" s="82" t="s">
        <v>2221</v>
      </c>
      <c r="F672" s="82" t="s">
        <v>2222</v>
      </c>
      <c r="G672" s="61" t="s">
        <v>341</v>
      </c>
      <c r="H672" s="60">
        <v>40018615</v>
      </c>
      <c r="I672" s="60" t="s">
        <v>3787</v>
      </c>
      <c r="J672" s="61" t="s">
        <v>2223</v>
      </c>
      <c r="K672" s="61" t="s">
        <v>281</v>
      </c>
      <c r="L672" s="62">
        <v>39651</v>
      </c>
      <c r="M672" s="62">
        <v>44096</v>
      </c>
      <c r="N672" s="61">
        <f t="shared" ca="1" si="23"/>
        <v>2091</v>
      </c>
      <c r="O672" s="84" t="str">
        <f ca="1">IF(Tabla1[[#This Row],[|]]&gt;=0,"VENCIDA",IF(Tabla1[[#This Row],[|]]&gt;=-14,"POR VENCER","OK"))</f>
        <v>VENCIDA</v>
      </c>
      <c r="P672" s="60" t="s">
        <v>2220</v>
      </c>
      <c r="Q672" s="61" t="s">
        <v>312</v>
      </c>
      <c r="R672" s="61" t="s">
        <v>317</v>
      </c>
      <c r="S672" s="61"/>
      <c r="T672" s="61"/>
      <c r="U672" s="61"/>
      <c r="V672" s="61" t="s">
        <v>1928</v>
      </c>
      <c r="W672" s="86" t="s">
        <v>1112</v>
      </c>
      <c r="X672" s="61"/>
    </row>
    <row r="673" spans="1:24" s="45" customFormat="1" ht="32.25" customHeight="1" x14ac:dyDescent="0.2">
      <c r="A673" s="212">
        <v>713</v>
      </c>
      <c r="B673" s="121" t="s">
        <v>279</v>
      </c>
      <c r="C673" s="139">
        <v>713</v>
      </c>
      <c r="D673" s="121" t="str">
        <f t="shared" si="24"/>
        <v>SUPERMIX713</v>
      </c>
      <c r="E673" s="140" t="s">
        <v>2227</v>
      </c>
      <c r="F673" s="140" t="s">
        <v>23</v>
      </c>
      <c r="G673" s="121" t="s">
        <v>25</v>
      </c>
      <c r="H673" s="120">
        <v>23929100</v>
      </c>
      <c r="I673" s="120" t="s">
        <v>3788</v>
      </c>
      <c r="J673" s="121" t="s">
        <v>2228</v>
      </c>
      <c r="K673" s="121" t="s">
        <v>3624</v>
      </c>
      <c r="L673" s="141">
        <v>34411</v>
      </c>
      <c r="M673" s="141">
        <v>46909</v>
      </c>
      <c r="N673" s="121">
        <f t="shared" ca="1" si="23"/>
        <v>-722</v>
      </c>
      <c r="O673" s="142" t="str">
        <f ca="1">IF(Tabla1[[#This Row],[|]]&gt;=0,"VENCIDA",IF(Tabla1[[#This Row],[|]]&gt;=-14,"POR VENCER","OK"))</f>
        <v>OK</v>
      </c>
      <c r="P673" s="120" t="s">
        <v>624</v>
      </c>
      <c r="Q673" s="121" t="s">
        <v>312</v>
      </c>
      <c r="R673" s="121" t="s">
        <v>317</v>
      </c>
      <c r="S673" s="88"/>
      <c r="T673" s="88"/>
      <c r="U673" s="88"/>
      <c r="V673" s="121" t="s">
        <v>2076</v>
      </c>
      <c r="W673" s="122" t="s">
        <v>4195</v>
      </c>
      <c r="X673" s="121" t="s">
        <v>624</v>
      </c>
    </row>
    <row r="674" spans="1:24" s="63" customFormat="1" ht="32.25" customHeight="1" x14ac:dyDescent="0.2">
      <c r="A674" s="202">
        <v>714</v>
      </c>
      <c r="B674" s="88" t="s">
        <v>279</v>
      </c>
      <c r="C674" s="89">
        <v>714</v>
      </c>
      <c r="D674" s="88" t="str">
        <f t="shared" si="24"/>
        <v>SUPERMIX714</v>
      </c>
      <c r="E674" s="58" t="s">
        <v>2229</v>
      </c>
      <c r="F674" s="58" t="s">
        <v>1403</v>
      </c>
      <c r="G674" s="88" t="s">
        <v>25</v>
      </c>
      <c r="H674" s="90">
        <v>42546617</v>
      </c>
      <c r="I674" s="90" t="s">
        <v>3787</v>
      </c>
      <c r="J674" s="88" t="s">
        <v>2230</v>
      </c>
      <c r="K674" s="88" t="s">
        <v>1954</v>
      </c>
      <c r="L674" s="91">
        <v>40941</v>
      </c>
      <c r="M674" s="91">
        <v>43114</v>
      </c>
      <c r="N674" s="88">
        <f t="shared" ca="1" si="23"/>
        <v>3073</v>
      </c>
      <c r="O674" s="84" t="str">
        <f ca="1">IF(Tabla1[[#This Row],[|]]&gt;=0,"VENCIDA",IF(Tabla1[[#This Row],[|]]&gt;=-14,"POR VENCER","OK"))</f>
        <v>VENCIDA</v>
      </c>
      <c r="P674" s="90" t="s">
        <v>2422</v>
      </c>
      <c r="Q674" s="88" t="s">
        <v>312</v>
      </c>
      <c r="R674" s="88" t="s">
        <v>317</v>
      </c>
      <c r="S674" s="88"/>
      <c r="T674" s="88"/>
      <c r="U674" s="88"/>
      <c r="V674" s="88" t="s">
        <v>2076</v>
      </c>
      <c r="W674" s="92" t="s">
        <v>299</v>
      </c>
      <c r="X674" s="88"/>
    </row>
    <row r="675" spans="1:24" s="63" customFormat="1" ht="32.25" customHeight="1" x14ac:dyDescent="0.2">
      <c r="A675" s="202">
        <v>715</v>
      </c>
      <c r="B675" s="88" t="s">
        <v>279</v>
      </c>
      <c r="C675" s="89">
        <v>715</v>
      </c>
      <c r="D675" s="88" t="str">
        <f t="shared" si="24"/>
        <v>SUPERMIX715</v>
      </c>
      <c r="E675" s="58" t="s">
        <v>210</v>
      </c>
      <c r="F675" s="58" t="s">
        <v>2232</v>
      </c>
      <c r="G675" s="88" t="s">
        <v>25</v>
      </c>
      <c r="H675" s="90">
        <v>46010677</v>
      </c>
      <c r="I675" s="90" t="s">
        <v>3787</v>
      </c>
      <c r="J675" s="88" t="s">
        <v>2233</v>
      </c>
      <c r="K675" s="88" t="s">
        <v>343</v>
      </c>
      <c r="L675" s="91">
        <v>42558</v>
      </c>
      <c r="M675" s="91">
        <v>44019</v>
      </c>
      <c r="N675" s="88">
        <f t="shared" ca="1" si="23"/>
        <v>2168</v>
      </c>
      <c r="O675" s="84" t="str">
        <f ca="1">IF(Tabla1[[#This Row],[|]]&gt;=0,"VENCIDA",IF(Tabla1[[#This Row],[|]]&gt;=-14,"POR VENCER","OK"))</f>
        <v>VENCIDA</v>
      </c>
      <c r="P675" s="90" t="s">
        <v>2161</v>
      </c>
      <c r="Q675" s="88" t="s">
        <v>312</v>
      </c>
      <c r="R675" s="88" t="s">
        <v>317</v>
      </c>
      <c r="S675" s="88"/>
      <c r="T675" s="88"/>
      <c r="U675" s="88"/>
      <c r="V675" s="88" t="s">
        <v>2055</v>
      </c>
      <c r="W675" s="92" t="s">
        <v>525</v>
      </c>
      <c r="X675" s="88"/>
    </row>
    <row r="676" spans="1:24" s="63" customFormat="1" ht="32.25" customHeight="1" x14ac:dyDescent="0.2">
      <c r="A676" s="202">
        <v>716</v>
      </c>
      <c r="B676" s="88" t="s">
        <v>279</v>
      </c>
      <c r="C676" s="89">
        <v>716</v>
      </c>
      <c r="D676" s="88" t="str">
        <f t="shared" si="24"/>
        <v>SUPERMIX716</v>
      </c>
      <c r="E676" s="58" t="s">
        <v>2235</v>
      </c>
      <c r="F676" s="58" t="s">
        <v>2236</v>
      </c>
      <c r="G676" s="88" t="s">
        <v>25</v>
      </c>
      <c r="H676" s="90">
        <v>45143060</v>
      </c>
      <c r="I676" s="90" t="s">
        <v>3787</v>
      </c>
      <c r="J676" s="88" t="s">
        <v>2237</v>
      </c>
      <c r="K676" s="88" t="s">
        <v>3142</v>
      </c>
      <c r="L676" s="91">
        <v>41129</v>
      </c>
      <c r="M676" s="91">
        <v>44051</v>
      </c>
      <c r="N676" s="88">
        <f t="shared" ca="1" si="23"/>
        <v>2136</v>
      </c>
      <c r="O676" s="84" t="str">
        <f ca="1">IF(Tabla1[[#This Row],[|]]&gt;=0,"VENCIDA",IF(Tabla1[[#This Row],[|]]&gt;=-14,"POR VENCER","OK"))</f>
        <v>VENCIDA</v>
      </c>
      <c r="P676" s="90" t="s">
        <v>2161</v>
      </c>
      <c r="Q676" s="88" t="s">
        <v>312</v>
      </c>
      <c r="R676" s="88" t="s">
        <v>317</v>
      </c>
      <c r="S676" s="88"/>
      <c r="T676" s="88"/>
      <c r="U676" s="88"/>
      <c r="V676" s="88" t="s">
        <v>2162</v>
      </c>
      <c r="W676" s="92" t="s">
        <v>902</v>
      </c>
      <c r="X676" s="88"/>
    </row>
    <row r="677" spans="1:24" s="63" customFormat="1" ht="32.25" customHeight="1" x14ac:dyDescent="0.2">
      <c r="A677" s="202">
        <v>717</v>
      </c>
      <c r="B677" s="88" t="s">
        <v>279</v>
      </c>
      <c r="C677" s="89">
        <v>717</v>
      </c>
      <c r="D677" s="88" t="str">
        <f t="shared" si="24"/>
        <v>SUPERMIX717</v>
      </c>
      <c r="E677" s="58" t="s">
        <v>2110</v>
      </c>
      <c r="F677" s="58" t="s">
        <v>1162</v>
      </c>
      <c r="G677" s="88" t="s">
        <v>25</v>
      </c>
      <c r="H677" s="90">
        <v>43451337</v>
      </c>
      <c r="I677" s="90" t="s">
        <v>3787</v>
      </c>
      <c r="J677" s="88" t="s">
        <v>1163</v>
      </c>
      <c r="K677" s="88" t="s">
        <v>1954</v>
      </c>
      <c r="L677" s="91">
        <v>42123</v>
      </c>
      <c r="M677" s="91">
        <v>46191</v>
      </c>
      <c r="N677" s="88">
        <f t="shared" ca="1" si="23"/>
        <v>-4</v>
      </c>
      <c r="O677" s="84" t="str">
        <f ca="1">IF(Tabla1[[#This Row],[|]]&gt;=0,"VENCIDA",IF(Tabla1[[#This Row],[|]]&gt;=-14,"POR VENCER","OK"))</f>
        <v>POR VENCER</v>
      </c>
      <c r="P677" s="90" t="s">
        <v>3268</v>
      </c>
      <c r="Q677" s="88" t="s">
        <v>312</v>
      </c>
      <c r="R677" s="88" t="s">
        <v>317</v>
      </c>
      <c r="S677" s="88"/>
      <c r="T677" s="88"/>
      <c r="U677" s="88"/>
      <c r="V677" s="88" t="s">
        <v>2076</v>
      </c>
      <c r="W677" s="92" t="s">
        <v>3515</v>
      </c>
      <c r="X677" s="88" t="s">
        <v>321</v>
      </c>
    </row>
    <row r="678" spans="1:24" s="63" customFormat="1" ht="32.25" customHeight="1" x14ac:dyDescent="0.2">
      <c r="A678" s="202">
        <v>718</v>
      </c>
      <c r="B678" s="88" t="s">
        <v>279</v>
      </c>
      <c r="C678" s="89">
        <v>718</v>
      </c>
      <c r="D678" s="88" t="str">
        <f t="shared" si="24"/>
        <v>SUPERMIX718</v>
      </c>
      <c r="E678" s="58" t="s">
        <v>2238</v>
      </c>
      <c r="F678" s="58" t="s">
        <v>2239</v>
      </c>
      <c r="G678" s="88" t="s">
        <v>25</v>
      </c>
      <c r="H678" s="90">
        <v>43714655</v>
      </c>
      <c r="I678" s="90" t="s">
        <v>3787</v>
      </c>
      <c r="J678" s="88" t="s">
        <v>2249</v>
      </c>
      <c r="K678" s="88" t="s">
        <v>2250</v>
      </c>
      <c r="L678" s="91">
        <v>41621</v>
      </c>
      <c r="M678" s="91">
        <v>43818</v>
      </c>
      <c r="N678" s="88">
        <f t="shared" ca="1" si="23"/>
        <v>2369</v>
      </c>
      <c r="O678" s="84" t="str">
        <f ca="1">IF(Tabla1[[#This Row],[|]]&gt;=0,"VENCIDA",IF(Tabla1[[#This Row],[|]]&gt;=-14,"POR VENCER","OK"))</f>
        <v>VENCIDA</v>
      </c>
      <c r="P678" s="90" t="s">
        <v>1059</v>
      </c>
      <c r="Q678" s="88" t="s">
        <v>312</v>
      </c>
      <c r="R678" s="88" t="s">
        <v>317</v>
      </c>
      <c r="S678" s="88"/>
      <c r="T678" s="88"/>
      <c r="U678" s="88"/>
      <c r="V678" s="88" t="s">
        <v>2251</v>
      </c>
      <c r="W678" s="92" t="s">
        <v>1112</v>
      </c>
      <c r="X678" s="88"/>
    </row>
    <row r="679" spans="1:24" s="63" customFormat="1" ht="32.25" customHeight="1" x14ac:dyDescent="0.2">
      <c r="A679" s="202">
        <v>719</v>
      </c>
      <c r="B679" s="88" t="s">
        <v>279</v>
      </c>
      <c r="C679" s="89">
        <v>719</v>
      </c>
      <c r="D679" s="88" t="str">
        <f t="shared" si="24"/>
        <v>SUPERMIX719</v>
      </c>
      <c r="E679" s="58" t="s">
        <v>2240</v>
      </c>
      <c r="F679" s="58" t="s">
        <v>2241</v>
      </c>
      <c r="G679" s="88" t="s">
        <v>25</v>
      </c>
      <c r="H679" s="90">
        <v>29739117</v>
      </c>
      <c r="I679" s="90" t="s">
        <v>3787</v>
      </c>
      <c r="J679" s="88" t="s">
        <v>2242</v>
      </c>
      <c r="K679" s="88" t="s">
        <v>281</v>
      </c>
      <c r="L679" s="91">
        <v>38877</v>
      </c>
      <c r="M679" s="91">
        <v>43464</v>
      </c>
      <c r="N679" s="88">
        <f t="shared" ca="1" si="23"/>
        <v>2723</v>
      </c>
      <c r="O679" s="84" t="str">
        <f ca="1">IF(Tabla1[[#This Row],[|]]&gt;=0,"VENCIDA",IF(Tabla1[[#This Row],[|]]&gt;=-14,"POR VENCER","OK"))</f>
        <v>VENCIDA</v>
      </c>
      <c r="P679" s="90" t="s">
        <v>624</v>
      </c>
      <c r="Q679" s="88" t="s">
        <v>312</v>
      </c>
      <c r="R679" s="88" t="s">
        <v>317</v>
      </c>
      <c r="S679" s="88"/>
      <c r="T679" s="88"/>
      <c r="U679" s="88"/>
      <c r="V679" s="88" t="s">
        <v>2076</v>
      </c>
      <c r="W679" s="92" t="s">
        <v>299</v>
      </c>
      <c r="X679" s="88"/>
    </row>
    <row r="680" spans="1:24" s="63" customFormat="1" ht="32.25" customHeight="1" x14ac:dyDescent="0.2">
      <c r="A680" s="202">
        <v>720</v>
      </c>
      <c r="B680" s="88" t="s">
        <v>279</v>
      </c>
      <c r="C680" s="89">
        <v>720</v>
      </c>
      <c r="D680" s="88" t="str">
        <f t="shared" si="24"/>
        <v>SUPERMIX720</v>
      </c>
      <c r="E680" s="58" t="s">
        <v>2243</v>
      </c>
      <c r="F680" s="58" t="s">
        <v>2244</v>
      </c>
      <c r="G680" s="88" t="s">
        <v>25</v>
      </c>
      <c r="H680" s="90">
        <v>29242374</v>
      </c>
      <c r="I680" s="90" t="s">
        <v>3787</v>
      </c>
      <c r="J680" s="88" t="s">
        <v>2252</v>
      </c>
      <c r="K680" s="88" t="s">
        <v>1954</v>
      </c>
      <c r="L680" s="91">
        <v>42947</v>
      </c>
      <c r="M680" s="91">
        <v>44043</v>
      </c>
      <c r="N680" s="88">
        <f ca="1">TODAY()-M677</f>
        <v>-4</v>
      </c>
      <c r="O680" s="84" t="str">
        <f ca="1">IF(Tabla1[[#This Row],[|]]&gt;=0,"VENCIDA",IF(Tabla1[[#This Row],[|]]&gt;=-14,"POR VENCER","OK"))</f>
        <v>POR VENCER</v>
      </c>
      <c r="P680" s="90" t="s">
        <v>2253</v>
      </c>
      <c r="Q680" s="88" t="s">
        <v>312</v>
      </c>
      <c r="R680" s="88" t="s">
        <v>17</v>
      </c>
      <c r="S680" s="88"/>
      <c r="T680" s="88"/>
      <c r="U680" s="88"/>
      <c r="V680" s="88" t="s">
        <v>2055</v>
      </c>
      <c r="W680" s="92" t="s">
        <v>525</v>
      </c>
      <c r="X680" s="88"/>
    </row>
    <row r="681" spans="1:24" s="63" customFormat="1" ht="32.25" customHeight="1" x14ac:dyDescent="0.2">
      <c r="A681" s="202">
        <v>721</v>
      </c>
      <c r="B681" s="88" t="s">
        <v>279</v>
      </c>
      <c r="C681" s="89">
        <v>721</v>
      </c>
      <c r="D681" s="88" t="str">
        <f t="shared" si="24"/>
        <v>SUPERMIX721</v>
      </c>
      <c r="E681" s="58" t="s">
        <v>2245</v>
      </c>
      <c r="F681" s="58" t="s">
        <v>2246</v>
      </c>
      <c r="G681" s="88" t="s">
        <v>25</v>
      </c>
      <c r="H681" s="90">
        <v>46908404</v>
      </c>
      <c r="I681" s="90" t="s">
        <v>3787</v>
      </c>
      <c r="J681" s="88" t="s">
        <v>2247</v>
      </c>
      <c r="K681" s="88" t="s">
        <v>368</v>
      </c>
      <c r="L681" s="91">
        <v>40890</v>
      </c>
      <c r="M681" s="91">
        <v>43098</v>
      </c>
      <c r="N681" s="88">
        <f t="shared" ref="N681:N744" ca="1" si="25">TODAY()-M681</f>
        <v>3089</v>
      </c>
      <c r="O681" s="84" t="str">
        <f ca="1">IF(Tabla1[[#This Row],[|]]&gt;=0,"VENCIDA",IF(Tabla1[[#This Row],[|]]&gt;=-14,"POR VENCER","OK"))</f>
        <v>VENCIDA</v>
      </c>
      <c r="P681" s="90" t="s">
        <v>2248</v>
      </c>
      <c r="Q681" s="88" t="s">
        <v>312</v>
      </c>
      <c r="R681" s="88" t="s">
        <v>317</v>
      </c>
      <c r="S681" s="88"/>
      <c r="T681" s="88"/>
      <c r="U681" s="88"/>
      <c r="V681" s="88" t="s">
        <v>1981</v>
      </c>
      <c r="W681" s="92" t="s">
        <v>1943</v>
      </c>
      <c r="X681" s="88"/>
    </row>
    <row r="682" spans="1:24" s="63" customFormat="1" ht="32.25" customHeight="1" x14ac:dyDescent="0.2">
      <c r="A682" s="202">
        <v>722</v>
      </c>
      <c r="B682" s="88" t="s">
        <v>279</v>
      </c>
      <c r="C682" s="89">
        <v>722</v>
      </c>
      <c r="D682" s="88" t="str">
        <f t="shared" si="24"/>
        <v>SUPERMIX722</v>
      </c>
      <c r="E682" s="58" t="s">
        <v>2254</v>
      </c>
      <c r="F682" s="58" t="s">
        <v>2255</v>
      </c>
      <c r="G682" s="88" t="s">
        <v>25</v>
      </c>
      <c r="H682" s="90">
        <v>45379545</v>
      </c>
      <c r="I682" s="90" t="s">
        <v>3787</v>
      </c>
      <c r="J682" s="88" t="s">
        <v>2256</v>
      </c>
      <c r="K682" s="88" t="s">
        <v>2257</v>
      </c>
      <c r="L682" s="91">
        <v>41183</v>
      </c>
      <c r="M682" s="91">
        <v>44471</v>
      </c>
      <c r="N682" s="88">
        <f t="shared" ca="1" si="25"/>
        <v>1716</v>
      </c>
      <c r="O682" s="84" t="str">
        <f ca="1">IF(Tabla1[[#This Row],[|]]&gt;=0,"VENCIDA",IF(Tabla1[[#This Row],[|]]&gt;=-14,"POR VENCER","OK"))</f>
        <v>VENCIDA</v>
      </c>
      <c r="P682" s="90" t="s">
        <v>2248</v>
      </c>
      <c r="Q682" s="88" t="s">
        <v>312</v>
      </c>
      <c r="R682" s="88" t="s">
        <v>317</v>
      </c>
      <c r="S682" s="88"/>
      <c r="T682" s="88"/>
      <c r="U682" s="88"/>
      <c r="V682" s="88" t="s">
        <v>334</v>
      </c>
      <c r="W682" s="92" t="s">
        <v>971</v>
      </c>
      <c r="X682" s="88"/>
    </row>
    <row r="683" spans="1:24" s="63" customFormat="1" ht="32.25" customHeight="1" x14ac:dyDescent="0.2">
      <c r="A683" s="202">
        <v>723</v>
      </c>
      <c r="B683" s="88" t="s">
        <v>279</v>
      </c>
      <c r="C683" s="89">
        <v>723</v>
      </c>
      <c r="D683" s="88" t="str">
        <f t="shared" si="24"/>
        <v>SUPERMIX723</v>
      </c>
      <c r="E683" s="58" t="s">
        <v>2258</v>
      </c>
      <c r="F683" s="58" t="s">
        <v>2259</v>
      </c>
      <c r="G683" s="88" t="s">
        <v>25</v>
      </c>
      <c r="H683" s="90">
        <v>43691920</v>
      </c>
      <c r="I683" s="90" t="s">
        <v>3787</v>
      </c>
      <c r="J683" s="88" t="s">
        <v>2260</v>
      </c>
      <c r="K683" s="88" t="s">
        <v>2261</v>
      </c>
      <c r="L683" s="91">
        <v>41751</v>
      </c>
      <c r="M683" s="91">
        <v>43891</v>
      </c>
      <c r="N683" s="88">
        <f t="shared" ca="1" si="25"/>
        <v>2296</v>
      </c>
      <c r="O683" s="84" t="str">
        <f ca="1">IF(Tabla1[[#This Row],[|]]&gt;=0,"VENCIDA",IF(Tabla1[[#This Row],[|]]&gt;=-14,"POR VENCER","OK"))</f>
        <v>VENCIDA</v>
      </c>
      <c r="P683" s="90" t="s">
        <v>2790</v>
      </c>
      <c r="Q683" s="88" t="s">
        <v>312</v>
      </c>
      <c r="R683" s="88" t="s">
        <v>317</v>
      </c>
      <c r="S683" s="88"/>
      <c r="T683" s="88"/>
      <c r="U683" s="88"/>
      <c r="V683" s="88" t="s">
        <v>1826</v>
      </c>
      <c r="W683" s="92" t="s">
        <v>299</v>
      </c>
      <c r="X683" s="88" t="s">
        <v>624</v>
      </c>
    </row>
    <row r="684" spans="1:24" s="63" customFormat="1" ht="32.25" customHeight="1" x14ac:dyDescent="0.2">
      <c r="A684" s="202">
        <v>724</v>
      </c>
      <c r="B684" s="88" t="s">
        <v>279</v>
      </c>
      <c r="C684" s="89">
        <v>724</v>
      </c>
      <c r="D684" s="88" t="str">
        <f t="shared" si="24"/>
        <v>SUPERMIX724</v>
      </c>
      <c r="E684" s="58" t="s">
        <v>2262</v>
      </c>
      <c r="F684" s="58" t="s">
        <v>1023</v>
      </c>
      <c r="G684" s="88" t="s">
        <v>25</v>
      </c>
      <c r="H684" s="90">
        <v>43411944</v>
      </c>
      <c r="I684" s="90" t="s">
        <v>3787</v>
      </c>
      <c r="J684" s="88" t="s">
        <v>2264</v>
      </c>
      <c r="K684" s="88" t="s">
        <v>2263</v>
      </c>
      <c r="L684" s="91">
        <v>41936</v>
      </c>
      <c r="M684" s="91">
        <v>44107</v>
      </c>
      <c r="N684" s="88">
        <f t="shared" ca="1" si="25"/>
        <v>2080</v>
      </c>
      <c r="O684" s="84" t="str">
        <f ca="1">IF(Tabla1[[#This Row],[|]]&gt;=0,"VENCIDA",IF(Tabla1[[#This Row],[|]]&gt;=-14,"POR VENCER","OK"))</f>
        <v>VENCIDA</v>
      </c>
      <c r="P684" s="90" t="s">
        <v>970</v>
      </c>
      <c r="Q684" s="88" t="s">
        <v>312</v>
      </c>
      <c r="R684" s="88" t="s">
        <v>317</v>
      </c>
      <c r="S684" s="88"/>
      <c r="T684" s="88"/>
      <c r="U684" s="88"/>
      <c r="V684" s="88" t="s">
        <v>1702</v>
      </c>
      <c r="W684" s="92" t="s">
        <v>1112</v>
      </c>
      <c r="X684" s="88"/>
    </row>
    <row r="685" spans="1:24" s="63" customFormat="1" ht="32.25" customHeight="1" x14ac:dyDescent="0.2">
      <c r="A685" s="202">
        <v>725</v>
      </c>
      <c r="B685" s="88" t="s">
        <v>279</v>
      </c>
      <c r="C685" s="89">
        <v>725</v>
      </c>
      <c r="D685" s="88" t="str">
        <f t="shared" si="24"/>
        <v>SUPERMIX725</v>
      </c>
      <c r="E685" s="58" t="s">
        <v>2265</v>
      </c>
      <c r="F685" s="58" t="s">
        <v>2266</v>
      </c>
      <c r="G685" s="88" t="s">
        <v>25</v>
      </c>
      <c r="H685" s="90">
        <v>46128787</v>
      </c>
      <c r="I685" s="90" t="s">
        <v>3787</v>
      </c>
      <c r="J685" s="88" t="s">
        <v>2267</v>
      </c>
      <c r="K685" s="88" t="s">
        <v>1954</v>
      </c>
      <c r="L685" s="91">
        <v>42787</v>
      </c>
      <c r="M685" s="91">
        <v>43882</v>
      </c>
      <c r="N685" s="88">
        <f t="shared" ca="1" si="25"/>
        <v>2305</v>
      </c>
      <c r="O685" s="84" t="str">
        <f ca="1">IF(Tabla1[[#This Row],[|]]&gt;=0,"VENCIDA",IF(Tabla1[[#This Row],[|]]&gt;=-14,"POR VENCER","OK"))</f>
        <v>VENCIDA</v>
      </c>
      <c r="P685" s="90" t="s">
        <v>597</v>
      </c>
      <c r="Q685" s="88" t="s">
        <v>312</v>
      </c>
      <c r="R685" s="88" t="s">
        <v>317</v>
      </c>
      <c r="S685" s="88"/>
      <c r="T685" s="88"/>
      <c r="U685" s="88"/>
      <c r="V685" s="88" t="s">
        <v>928</v>
      </c>
      <c r="W685" s="92" t="s">
        <v>1112</v>
      </c>
      <c r="X685" s="88"/>
    </row>
    <row r="686" spans="1:24" s="63" customFormat="1" ht="32.25" customHeight="1" x14ac:dyDescent="0.2">
      <c r="A686" s="202">
        <v>726</v>
      </c>
      <c r="B686" s="88" t="s">
        <v>279</v>
      </c>
      <c r="C686" s="89">
        <v>726</v>
      </c>
      <c r="D686" s="88" t="str">
        <f t="shared" si="24"/>
        <v>SUPERMIX726</v>
      </c>
      <c r="E686" s="58" t="s">
        <v>2265</v>
      </c>
      <c r="F686" s="58" t="s">
        <v>2268</v>
      </c>
      <c r="G686" s="88" t="s">
        <v>25</v>
      </c>
      <c r="H686" s="90">
        <v>46114121</v>
      </c>
      <c r="I686" s="90" t="s">
        <v>3787</v>
      </c>
      <c r="J686" s="88" t="s">
        <v>2269</v>
      </c>
      <c r="K686" s="88" t="s">
        <v>2092</v>
      </c>
      <c r="L686" s="91">
        <v>41621</v>
      </c>
      <c r="M686" s="91">
        <v>43808</v>
      </c>
      <c r="N686" s="88">
        <f t="shared" ca="1" si="25"/>
        <v>2379</v>
      </c>
      <c r="O686" s="84" t="str">
        <f ca="1">IF(Tabla1[[#This Row],[|]]&gt;=0,"VENCIDA",IF(Tabla1[[#This Row],[|]]&gt;=-14,"POR VENCER","OK"))</f>
        <v>VENCIDA</v>
      </c>
      <c r="P686" s="90" t="s">
        <v>597</v>
      </c>
      <c r="Q686" s="88" t="s">
        <v>312</v>
      </c>
      <c r="R686" s="88" t="s">
        <v>317</v>
      </c>
      <c r="S686" s="88"/>
      <c r="T686" s="88"/>
      <c r="U686" s="88"/>
      <c r="V686" s="88" t="s">
        <v>928</v>
      </c>
      <c r="W686" s="92" t="s">
        <v>1112</v>
      </c>
      <c r="X686" s="88"/>
    </row>
    <row r="687" spans="1:24" s="63" customFormat="1" ht="32.25" customHeight="1" x14ac:dyDescent="0.2">
      <c r="A687" s="202">
        <v>727</v>
      </c>
      <c r="B687" s="88" t="s">
        <v>279</v>
      </c>
      <c r="C687" s="89">
        <v>727</v>
      </c>
      <c r="D687" s="88" t="str">
        <f t="shared" si="24"/>
        <v>SUPERMIX727</v>
      </c>
      <c r="E687" s="58" t="s">
        <v>2270</v>
      </c>
      <c r="F687" s="58" t="s">
        <v>2271</v>
      </c>
      <c r="G687" s="88" t="s">
        <v>25</v>
      </c>
      <c r="H687" s="90">
        <v>43309431</v>
      </c>
      <c r="I687" s="90" t="s">
        <v>3787</v>
      </c>
      <c r="J687" s="88" t="s">
        <v>2272</v>
      </c>
      <c r="K687" s="88" t="s">
        <v>2263</v>
      </c>
      <c r="L687" s="91">
        <v>42310</v>
      </c>
      <c r="M687" s="91">
        <v>43406</v>
      </c>
      <c r="N687" s="88">
        <f t="shared" ca="1" si="25"/>
        <v>2781</v>
      </c>
      <c r="O687" s="84" t="str">
        <f ca="1">IF(Tabla1[[#This Row],[|]]&gt;=0,"VENCIDA",IF(Tabla1[[#This Row],[|]]&gt;=-14,"POR VENCER","OK"))</f>
        <v>VENCIDA</v>
      </c>
      <c r="P687" s="90" t="s">
        <v>1059</v>
      </c>
      <c r="Q687" s="88" t="s">
        <v>312</v>
      </c>
      <c r="R687" s="88" t="s">
        <v>317</v>
      </c>
      <c r="S687" s="88"/>
      <c r="T687" s="88"/>
      <c r="U687" s="88"/>
      <c r="V687" s="88" t="s">
        <v>825</v>
      </c>
      <c r="W687" s="92" t="s">
        <v>850</v>
      </c>
      <c r="X687" s="88"/>
    </row>
    <row r="688" spans="1:24" s="63" customFormat="1" ht="32.25" customHeight="1" x14ac:dyDescent="0.2">
      <c r="A688" s="202">
        <v>728</v>
      </c>
      <c r="B688" s="88" t="s">
        <v>279</v>
      </c>
      <c r="C688" s="89">
        <v>728</v>
      </c>
      <c r="D688" s="88" t="str">
        <f t="shared" si="24"/>
        <v>SUPERMIX728</v>
      </c>
      <c r="E688" s="58" t="s">
        <v>2273</v>
      </c>
      <c r="F688" s="58" t="s">
        <v>176</v>
      </c>
      <c r="G688" s="88" t="s">
        <v>25</v>
      </c>
      <c r="H688" s="90">
        <v>47085629</v>
      </c>
      <c r="I688" s="90" t="s">
        <v>3787</v>
      </c>
      <c r="J688" s="88" t="s">
        <v>2274</v>
      </c>
      <c r="K688" s="88" t="s">
        <v>2092</v>
      </c>
      <c r="L688" s="91">
        <v>42837</v>
      </c>
      <c r="M688" s="91">
        <v>43933</v>
      </c>
      <c r="N688" s="88">
        <f t="shared" ca="1" si="25"/>
        <v>2254</v>
      </c>
      <c r="O688" s="84" t="str">
        <f ca="1">IF(Tabla1[[#This Row],[|]]&gt;=0,"VENCIDA",IF(Tabla1[[#This Row],[|]]&gt;=-14,"POR VENCER","OK"))</f>
        <v>VENCIDA</v>
      </c>
      <c r="P688" s="90" t="s">
        <v>597</v>
      </c>
      <c r="Q688" s="88" t="s">
        <v>312</v>
      </c>
      <c r="R688" s="88" t="s">
        <v>317</v>
      </c>
      <c r="S688" s="88"/>
      <c r="T688" s="88"/>
      <c r="U688" s="88"/>
      <c r="V688" s="88" t="s">
        <v>928</v>
      </c>
      <c r="W688" s="92" t="s">
        <v>1112</v>
      </c>
      <c r="X688" s="88"/>
    </row>
    <row r="689" spans="1:24" s="59" customFormat="1" ht="32.25" customHeight="1" x14ac:dyDescent="0.2">
      <c r="A689" s="200">
        <v>729</v>
      </c>
      <c r="B689" s="61" t="s">
        <v>279</v>
      </c>
      <c r="C689" s="87">
        <v>729</v>
      </c>
      <c r="D689" s="61" t="str">
        <f t="shared" si="24"/>
        <v>SUPERMIX729</v>
      </c>
      <c r="E689" s="82" t="s">
        <v>2275</v>
      </c>
      <c r="F689" s="82" t="s">
        <v>2276</v>
      </c>
      <c r="G689" s="61" t="s">
        <v>341</v>
      </c>
      <c r="H689" s="60">
        <v>43161416</v>
      </c>
      <c r="I689" s="60" t="s">
        <v>3787</v>
      </c>
      <c r="J689" s="61" t="s">
        <v>2277</v>
      </c>
      <c r="K689" s="61" t="s">
        <v>3142</v>
      </c>
      <c r="L689" s="62">
        <v>40893</v>
      </c>
      <c r="M689" s="62">
        <v>43815</v>
      </c>
      <c r="N689" s="61">
        <f t="shared" ca="1" si="25"/>
        <v>2372</v>
      </c>
      <c r="O689" s="84" t="str">
        <f ca="1">IF(Tabla1[[#This Row],[|]]&gt;=0,"VENCIDA",IF(Tabla1[[#This Row],[|]]&gt;=-14,"POR VENCER","OK"))</f>
        <v>VENCIDA</v>
      </c>
      <c r="P689" s="60" t="s">
        <v>824</v>
      </c>
      <c r="Q689" s="61" t="s">
        <v>312</v>
      </c>
      <c r="R689" s="61" t="s">
        <v>317</v>
      </c>
      <c r="S689" s="61"/>
      <c r="T689" s="61"/>
      <c r="U689" s="61"/>
      <c r="V689" s="61" t="s">
        <v>1981</v>
      </c>
      <c r="W689" s="86" t="s">
        <v>1943</v>
      </c>
      <c r="X689" s="61"/>
    </row>
    <row r="690" spans="1:24" s="63" customFormat="1" ht="32.25" customHeight="1" x14ac:dyDescent="0.2">
      <c r="A690" s="202">
        <v>730</v>
      </c>
      <c r="B690" s="88" t="s">
        <v>279</v>
      </c>
      <c r="C690" s="89">
        <v>730</v>
      </c>
      <c r="D690" s="88" t="str">
        <f t="shared" si="24"/>
        <v>SUPERMIX730</v>
      </c>
      <c r="E690" s="58" t="s">
        <v>2279</v>
      </c>
      <c r="F690" s="58" t="s">
        <v>2280</v>
      </c>
      <c r="G690" s="88" t="s">
        <v>25</v>
      </c>
      <c r="H690" s="90">
        <v>42568344</v>
      </c>
      <c r="I690" s="90" t="s">
        <v>3787</v>
      </c>
      <c r="J690" s="88" t="s">
        <v>2281</v>
      </c>
      <c r="K690" s="88" t="s">
        <v>2257</v>
      </c>
      <c r="L690" s="91">
        <v>42290</v>
      </c>
      <c r="M690" s="91">
        <v>43386</v>
      </c>
      <c r="N690" s="88">
        <f t="shared" ca="1" si="25"/>
        <v>2801</v>
      </c>
      <c r="O690" s="84" t="str">
        <f ca="1">IF(Tabla1[[#This Row],[|]]&gt;=0,"VENCIDA",IF(Tabla1[[#This Row],[|]]&gt;=-14,"POR VENCER","OK"))</f>
        <v>VENCIDA</v>
      </c>
      <c r="P690" s="90" t="s">
        <v>2278</v>
      </c>
      <c r="Q690" s="88" t="s">
        <v>312</v>
      </c>
      <c r="R690" s="88" t="s">
        <v>17</v>
      </c>
      <c r="S690" s="88"/>
      <c r="T690" s="88"/>
      <c r="U690" s="88"/>
      <c r="V690" s="88" t="s">
        <v>1957</v>
      </c>
      <c r="W690" s="92" t="s">
        <v>850</v>
      </c>
      <c r="X690" s="88"/>
    </row>
    <row r="691" spans="1:24" s="63" customFormat="1" ht="32.25" customHeight="1" x14ac:dyDescent="0.2">
      <c r="A691" s="202">
        <v>731</v>
      </c>
      <c r="B691" s="88" t="s">
        <v>279</v>
      </c>
      <c r="C691" s="89">
        <v>731</v>
      </c>
      <c r="D691" s="88" t="str">
        <f t="shared" si="24"/>
        <v>SUPERMIX731</v>
      </c>
      <c r="E691" s="58" t="s">
        <v>2282</v>
      </c>
      <c r="F691" s="58" t="s">
        <v>2283</v>
      </c>
      <c r="G691" s="88" t="s">
        <v>25</v>
      </c>
      <c r="H691" s="90">
        <v>30962421</v>
      </c>
      <c r="I691" s="90" t="s">
        <v>3787</v>
      </c>
      <c r="J691" s="88" t="s">
        <v>2284</v>
      </c>
      <c r="K691" s="88" t="s">
        <v>2263</v>
      </c>
      <c r="L691" s="91">
        <v>41368</v>
      </c>
      <c r="M691" s="91">
        <v>43540</v>
      </c>
      <c r="N691" s="88">
        <f t="shared" ca="1" si="25"/>
        <v>2647</v>
      </c>
      <c r="O691" s="84" t="str">
        <f ca="1">IF(Tabla1[[#This Row],[|]]&gt;=0,"VENCIDA",IF(Tabla1[[#This Row],[|]]&gt;=-14,"POR VENCER","OK"))</f>
        <v>VENCIDA</v>
      </c>
      <c r="P691" s="90" t="s">
        <v>624</v>
      </c>
      <c r="Q691" s="88" t="s">
        <v>312</v>
      </c>
      <c r="R691" s="88" t="s">
        <v>317</v>
      </c>
      <c r="S691" s="88"/>
      <c r="T691" s="88"/>
      <c r="U691" s="88"/>
      <c r="V691" s="88" t="s">
        <v>2076</v>
      </c>
      <c r="W691" s="92" t="s">
        <v>299</v>
      </c>
      <c r="X691" s="88"/>
    </row>
    <row r="692" spans="1:24" s="63" customFormat="1" ht="32.25" customHeight="1" x14ac:dyDescent="0.2">
      <c r="A692" s="202">
        <v>732</v>
      </c>
      <c r="B692" s="88" t="s">
        <v>279</v>
      </c>
      <c r="C692" s="89">
        <v>732</v>
      </c>
      <c r="D692" s="88" t="str">
        <f t="shared" si="24"/>
        <v>SUPERMIX732</v>
      </c>
      <c r="E692" s="58" t="s">
        <v>2285</v>
      </c>
      <c r="F692" s="58" t="s">
        <v>2286</v>
      </c>
      <c r="G692" s="88" t="s">
        <v>25</v>
      </c>
      <c r="H692" s="90">
        <v>45674100</v>
      </c>
      <c r="I692" s="90" t="s">
        <v>3787</v>
      </c>
      <c r="J692" s="88" t="s">
        <v>2287</v>
      </c>
      <c r="K692" s="88" t="s">
        <v>2263</v>
      </c>
      <c r="L692" s="91">
        <v>42514</v>
      </c>
      <c r="M692" s="91">
        <v>44704</v>
      </c>
      <c r="N692" s="88">
        <f t="shared" ca="1" si="25"/>
        <v>1483</v>
      </c>
      <c r="O692" s="84" t="str">
        <f ca="1">IF(Tabla1[[#This Row],[|]]&gt;=0,"VENCIDA",IF(Tabla1[[#This Row],[|]]&gt;=-14,"POR VENCER","OK"))</f>
        <v>VENCIDA</v>
      </c>
      <c r="P692" s="90" t="s">
        <v>2830</v>
      </c>
      <c r="Q692" s="88" t="s">
        <v>312</v>
      </c>
      <c r="R692" s="88" t="s">
        <v>317</v>
      </c>
      <c r="S692" s="88"/>
      <c r="T692" s="88"/>
      <c r="U692" s="88"/>
      <c r="V692" s="88" t="s">
        <v>2711</v>
      </c>
      <c r="W692" s="92" t="s">
        <v>2772</v>
      </c>
      <c r="X692" s="88" t="s">
        <v>3021</v>
      </c>
    </row>
    <row r="693" spans="1:24" s="63" customFormat="1" ht="32.25" customHeight="1" x14ac:dyDescent="0.2">
      <c r="A693" s="202">
        <v>733</v>
      </c>
      <c r="B693" s="88" t="s">
        <v>279</v>
      </c>
      <c r="C693" s="89">
        <v>733</v>
      </c>
      <c r="D693" s="88" t="str">
        <f t="shared" si="24"/>
        <v>SUPERMIX733</v>
      </c>
      <c r="E693" s="58" t="s">
        <v>2288</v>
      </c>
      <c r="F693" s="58" t="s">
        <v>2289</v>
      </c>
      <c r="G693" s="88" t="s">
        <v>25</v>
      </c>
      <c r="H693" s="90">
        <v>29709661</v>
      </c>
      <c r="I693" s="90" t="s">
        <v>3787</v>
      </c>
      <c r="J693" s="90" t="s">
        <v>2290</v>
      </c>
      <c r="K693" s="88" t="s">
        <v>2263</v>
      </c>
      <c r="L693" s="91">
        <v>41354</v>
      </c>
      <c r="M693" s="91">
        <v>43546</v>
      </c>
      <c r="N693" s="88">
        <f t="shared" ca="1" si="25"/>
        <v>2641</v>
      </c>
      <c r="O693" s="84" t="str">
        <f ca="1">IF(Tabla1[[#This Row],[|]]&gt;=0,"VENCIDA",IF(Tabla1[[#This Row],[|]]&gt;=-14,"POR VENCER","OK"))</f>
        <v>VENCIDA</v>
      </c>
      <c r="P693" s="90" t="s">
        <v>624</v>
      </c>
      <c r="Q693" s="88" t="s">
        <v>312</v>
      </c>
      <c r="R693" s="88" t="s">
        <v>317</v>
      </c>
      <c r="S693" s="88"/>
      <c r="T693" s="88"/>
      <c r="U693" s="88"/>
      <c r="V693" s="88" t="s">
        <v>2076</v>
      </c>
      <c r="W693" s="92" t="s">
        <v>299</v>
      </c>
      <c r="X693" s="88"/>
    </row>
    <row r="694" spans="1:24" s="63" customFormat="1" ht="32.25" customHeight="1" x14ac:dyDescent="0.2">
      <c r="A694" s="202">
        <v>734</v>
      </c>
      <c r="B694" s="88" t="s">
        <v>279</v>
      </c>
      <c r="C694" s="89">
        <v>734</v>
      </c>
      <c r="D694" s="88" t="str">
        <f t="shared" si="24"/>
        <v>SUPERMIX734</v>
      </c>
      <c r="E694" s="58" t="s">
        <v>2291</v>
      </c>
      <c r="F694" s="58" t="s">
        <v>2292</v>
      </c>
      <c r="G694" s="88" t="s">
        <v>25</v>
      </c>
      <c r="H694" s="90">
        <v>45907338</v>
      </c>
      <c r="I694" s="90" t="s">
        <v>3787</v>
      </c>
      <c r="J694" s="88" t="s">
        <v>2293</v>
      </c>
      <c r="K694" s="88" t="s">
        <v>3142</v>
      </c>
      <c r="L694" s="91">
        <v>41599</v>
      </c>
      <c r="M694" s="91">
        <v>44521</v>
      </c>
      <c r="N694" s="88">
        <f t="shared" ca="1" si="25"/>
        <v>1666</v>
      </c>
      <c r="O694" s="84" t="str">
        <f ca="1">IF(Tabla1[[#This Row],[|]]&gt;=0,"VENCIDA",IF(Tabla1[[#This Row],[|]]&gt;=-14,"POR VENCER","OK"))</f>
        <v>VENCIDA</v>
      </c>
      <c r="P694" s="90" t="s">
        <v>2294</v>
      </c>
      <c r="Q694" s="88" t="s">
        <v>312</v>
      </c>
      <c r="R694" s="88" t="s">
        <v>17</v>
      </c>
      <c r="S694" s="88"/>
      <c r="T694" s="88"/>
      <c r="U694" s="88"/>
      <c r="V694" s="88" t="s">
        <v>836</v>
      </c>
      <c r="W694" s="92" t="s">
        <v>314</v>
      </c>
      <c r="X694" s="88"/>
    </row>
    <row r="695" spans="1:24" s="43" customFormat="1" ht="32.25" customHeight="1" x14ac:dyDescent="0.2">
      <c r="A695" s="42">
        <v>735</v>
      </c>
      <c r="B695" s="93" t="s">
        <v>279</v>
      </c>
      <c r="C695" s="94">
        <v>735</v>
      </c>
      <c r="D695" s="93" t="str">
        <f t="shared" si="24"/>
        <v>SUPERMIX735</v>
      </c>
      <c r="E695" s="115" t="s">
        <v>2295</v>
      </c>
      <c r="F695" s="115" t="s">
        <v>2296</v>
      </c>
      <c r="G695" s="93" t="s">
        <v>25</v>
      </c>
      <c r="H695" s="95">
        <v>29644771</v>
      </c>
      <c r="I695" s="95" t="s">
        <v>3788</v>
      </c>
      <c r="J695" s="93" t="s">
        <v>2297</v>
      </c>
      <c r="K695" s="93" t="s">
        <v>1954</v>
      </c>
      <c r="L695" s="96">
        <v>41787</v>
      </c>
      <c r="M695" s="96">
        <v>46245</v>
      </c>
      <c r="N695" s="93">
        <f t="shared" ca="1" si="25"/>
        <v>-58</v>
      </c>
      <c r="O695" s="84" t="str">
        <f ca="1">IF(Tabla1[[#This Row],[|]]&gt;=0,"VENCIDA",IF(Tabla1[[#This Row],[|]]&gt;=-14,"POR VENCER","OK"))</f>
        <v>OK</v>
      </c>
      <c r="P695" s="95" t="s">
        <v>3958</v>
      </c>
      <c r="Q695" s="93" t="s">
        <v>312</v>
      </c>
      <c r="R695" s="93" t="s">
        <v>17</v>
      </c>
      <c r="S695" s="93"/>
      <c r="T695" s="93"/>
      <c r="U695" s="93"/>
      <c r="V695" s="93" t="s">
        <v>2298</v>
      </c>
      <c r="W695" s="97" t="s">
        <v>299</v>
      </c>
      <c r="X695" s="93" t="s">
        <v>624</v>
      </c>
    </row>
    <row r="696" spans="1:24" s="63" customFormat="1" ht="32.25" customHeight="1" x14ac:dyDescent="0.2">
      <c r="A696" s="202">
        <v>736</v>
      </c>
      <c r="B696" s="88" t="s">
        <v>279</v>
      </c>
      <c r="C696" s="89">
        <v>736</v>
      </c>
      <c r="D696" s="88" t="str">
        <f t="shared" si="24"/>
        <v>SUPERMIX736</v>
      </c>
      <c r="E696" s="58" t="s">
        <v>2299</v>
      </c>
      <c r="F696" s="58" t="s">
        <v>22</v>
      </c>
      <c r="G696" s="88" t="s">
        <v>25</v>
      </c>
      <c r="H696" s="90">
        <v>41802774</v>
      </c>
      <c r="I696" s="90" t="s">
        <v>3787</v>
      </c>
      <c r="J696" s="88" t="s">
        <v>2300</v>
      </c>
      <c r="K696" s="88" t="s">
        <v>2263</v>
      </c>
      <c r="L696" s="91">
        <v>41509</v>
      </c>
      <c r="M696" s="91">
        <v>43692</v>
      </c>
      <c r="N696" s="88">
        <f t="shared" ca="1" si="25"/>
        <v>2495</v>
      </c>
      <c r="O696" s="84" t="str">
        <f ca="1">IF(Tabla1[[#This Row],[|]]&gt;=0,"VENCIDA",IF(Tabla1[[#This Row],[|]]&gt;=-14,"POR VENCER","OK"))</f>
        <v>VENCIDA</v>
      </c>
      <c r="P696" s="90" t="s">
        <v>624</v>
      </c>
      <c r="Q696" s="88" t="s">
        <v>312</v>
      </c>
      <c r="R696" s="88" t="s">
        <v>317</v>
      </c>
      <c r="S696" s="88"/>
      <c r="T696" s="88"/>
      <c r="U696" s="88"/>
      <c r="V696" s="88" t="s">
        <v>2298</v>
      </c>
      <c r="W696" s="92" t="s">
        <v>299</v>
      </c>
      <c r="X696" s="88"/>
    </row>
    <row r="697" spans="1:24" s="63" customFormat="1" ht="32.25" customHeight="1" x14ac:dyDescent="0.2">
      <c r="A697" s="202">
        <v>737</v>
      </c>
      <c r="B697" s="88" t="s">
        <v>279</v>
      </c>
      <c r="C697" s="89">
        <v>737</v>
      </c>
      <c r="D697" s="88" t="str">
        <f t="shared" si="24"/>
        <v>SUPERMIX737</v>
      </c>
      <c r="E697" s="58" t="s">
        <v>2301</v>
      </c>
      <c r="F697" s="58" t="s">
        <v>2302</v>
      </c>
      <c r="G697" s="88" t="s">
        <v>25</v>
      </c>
      <c r="H697" s="90">
        <v>47247378</v>
      </c>
      <c r="I697" s="90" t="s">
        <v>3787</v>
      </c>
      <c r="J697" s="88" t="s">
        <v>2303</v>
      </c>
      <c r="K697" s="88" t="s">
        <v>1961</v>
      </c>
      <c r="L697" s="91">
        <v>41808</v>
      </c>
      <c r="M697" s="91">
        <v>43970</v>
      </c>
      <c r="N697" s="88">
        <f t="shared" ca="1" si="25"/>
        <v>2217</v>
      </c>
      <c r="O697" s="84" t="str">
        <f ca="1">IF(Tabla1[[#This Row],[|]]&gt;=0,"VENCIDA",IF(Tabla1[[#This Row],[|]]&gt;=-14,"POR VENCER","OK"))</f>
        <v>VENCIDA</v>
      </c>
      <c r="P697" s="90" t="s">
        <v>640</v>
      </c>
      <c r="Q697" s="88" t="s">
        <v>312</v>
      </c>
      <c r="R697" s="88" t="s">
        <v>317</v>
      </c>
      <c r="S697" s="88"/>
      <c r="T697" s="88"/>
      <c r="U697" s="88"/>
      <c r="V697" s="88" t="s">
        <v>2298</v>
      </c>
      <c r="W697" s="92" t="s">
        <v>299</v>
      </c>
      <c r="X697" s="88"/>
    </row>
    <row r="698" spans="1:24" s="63" customFormat="1" ht="32.25" customHeight="1" x14ac:dyDescent="0.2">
      <c r="A698" s="202">
        <v>738</v>
      </c>
      <c r="B698" s="88" t="s">
        <v>279</v>
      </c>
      <c r="C698" s="89">
        <v>738</v>
      </c>
      <c r="D698" s="88" t="str">
        <f t="shared" si="24"/>
        <v>SUPERMIX738</v>
      </c>
      <c r="E698" s="58" t="s">
        <v>2304</v>
      </c>
      <c r="F698" s="58" t="s">
        <v>2305</v>
      </c>
      <c r="G698" s="88" t="s">
        <v>25</v>
      </c>
      <c r="H698" s="90">
        <v>46668324</v>
      </c>
      <c r="I698" s="90" t="s">
        <v>3787</v>
      </c>
      <c r="J698" s="88" t="s">
        <v>2306</v>
      </c>
      <c r="K698" s="88" t="s">
        <v>2307</v>
      </c>
      <c r="L698" s="91">
        <v>42207</v>
      </c>
      <c r="M698" s="91">
        <v>44382</v>
      </c>
      <c r="N698" s="88">
        <f t="shared" ca="1" si="25"/>
        <v>1805</v>
      </c>
      <c r="O698" s="84" t="str">
        <f ca="1">IF(Tabla1[[#This Row],[|]]&gt;=0,"VENCIDA",IF(Tabla1[[#This Row],[|]]&gt;=-14,"POR VENCER","OK"))</f>
        <v>VENCIDA</v>
      </c>
      <c r="P698" s="90" t="s">
        <v>640</v>
      </c>
      <c r="Q698" s="88" t="s">
        <v>312</v>
      </c>
      <c r="R698" s="88" t="s">
        <v>317</v>
      </c>
      <c r="S698" s="88"/>
      <c r="T698" s="88"/>
      <c r="U698" s="88"/>
      <c r="V698" s="88" t="s">
        <v>2298</v>
      </c>
      <c r="W698" s="92" t="s">
        <v>2772</v>
      </c>
      <c r="X698" s="88"/>
    </row>
    <row r="699" spans="1:24" s="63" customFormat="1" ht="32.25" customHeight="1" x14ac:dyDescent="0.2">
      <c r="A699" s="202">
        <v>739</v>
      </c>
      <c r="B699" s="88" t="s">
        <v>279</v>
      </c>
      <c r="C699" s="89">
        <v>739</v>
      </c>
      <c r="D699" s="88" t="str">
        <f t="shared" si="24"/>
        <v>SUPERMIX739</v>
      </c>
      <c r="E699" s="58" t="s">
        <v>2308</v>
      </c>
      <c r="F699" s="58" t="s">
        <v>2309</v>
      </c>
      <c r="G699" s="88" t="s">
        <v>25</v>
      </c>
      <c r="H699" s="90">
        <v>43698791</v>
      </c>
      <c r="I699" s="90" t="s">
        <v>3787</v>
      </c>
      <c r="J699" s="88" t="s">
        <v>2310</v>
      </c>
      <c r="K699" s="88" t="s">
        <v>2257</v>
      </c>
      <c r="L699" s="91">
        <v>41394</v>
      </c>
      <c r="M699" s="91">
        <v>43556</v>
      </c>
      <c r="N699" s="88">
        <f t="shared" ca="1" si="25"/>
        <v>2631</v>
      </c>
      <c r="O699" s="84" t="str">
        <f ca="1">IF(Tabla1[[#This Row],[|]]&gt;=0,"VENCIDA",IF(Tabla1[[#This Row],[|]]&gt;=-14,"POR VENCER","OK"))</f>
        <v>VENCIDA</v>
      </c>
      <c r="P699" s="90" t="s">
        <v>640</v>
      </c>
      <c r="Q699" s="88" t="s">
        <v>312</v>
      </c>
      <c r="R699" s="88" t="s">
        <v>17</v>
      </c>
      <c r="S699" s="88"/>
      <c r="T699" s="88"/>
      <c r="U699" s="88"/>
      <c r="V699" s="88" t="s">
        <v>2298</v>
      </c>
      <c r="W699" s="92" t="s">
        <v>299</v>
      </c>
      <c r="X699" s="88"/>
    </row>
    <row r="700" spans="1:24" s="63" customFormat="1" ht="32.25" customHeight="1" x14ac:dyDescent="0.2">
      <c r="A700" s="202">
        <v>740</v>
      </c>
      <c r="B700" s="88" t="s">
        <v>279</v>
      </c>
      <c r="C700" s="89">
        <v>740</v>
      </c>
      <c r="D700" s="88" t="str">
        <f t="shared" si="24"/>
        <v>SUPERMIX740</v>
      </c>
      <c r="E700" s="58" t="s">
        <v>2311</v>
      </c>
      <c r="F700" s="58" t="s">
        <v>2312</v>
      </c>
      <c r="G700" s="88" t="s">
        <v>25</v>
      </c>
      <c r="H700" s="90">
        <v>29693348</v>
      </c>
      <c r="I700" s="90" t="s">
        <v>3787</v>
      </c>
      <c r="J700" s="88" t="s">
        <v>2313</v>
      </c>
      <c r="K700" s="88" t="s">
        <v>2263</v>
      </c>
      <c r="L700" s="91">
        <v>41257</v>
      </c>
      <c r="M700" s="91">
        <v>43452</v>
      </c>
      <c r="N700" s="88">
        <f t="shared" ca="1" si="25"/>
        <v>2735</v>
      </c>
      <c r="O700" s="84" t="str">
        <f ca="1">IF(Tabla1[[#This Row],[|]]&gt;=0,"VENCIDA",IF(Tabla1[[#This Row],[|]]&gt;=-14,"POR VENCER","OK"))</f>
        <v>VENCIDA</v>
      </c>
      <c r="P700" s="90" t="s">
        <v>760</v>
      </c>
      <c r="Q700" s="88" t="s">
        <v>312</v>
      </c>
      <c r="R700" s="88" t="s">
        <v>317</v>
      </c>
      <c r="S700" s="88"/>
      <c r="T700" s="88"/>
      <c r="U700" s="88"/>
      <c r="V700" s="88" t="s">
        <v>2298</v>
      </c>
      <c r="W700" s="92" t="s">
        <v>299</v>
      </c>
      <c r="X700" s="88"/>
    </row>
    <row r="701" spans="1:24" s="63" customFormat="1" ht="32.25" customHeight="1" x14ac:dyDescent="0.2">
      <c r="A701" s="202">
        <v>741</v>
      </c>
      <c r="B701" s="88" t="s">
        <v>279</v>
      </c>
      <c r="C701" s="89">
        <v>741</v>
      </c>
      <c r="D701" s="88" t="str">
        <f t="shared" si="24"/>
        <v>SUPERMIX741</v>
      </c>
      <c r="E701" s="58" t="s">
        <v>2314</v>
      </c>
      <c r="F701" s="58" t="s">
        <v>2315</v>
      </c>
      <c r="G701" s="88" t="s">
        <v>25</v>
      </c>
      <c r="H701" s="90">
        <v>46287672</v>
      </c>
      <c r="I701" s="90" t="s">
        <v>3787</v>
      </c>
      <c r="J701" s="88" t="s">
        <v>2316</v>
      </c>
      <c r="K701" s="88" t="s">
        <v>2263</v>
      </c>
      <c r="L701" s="91">
        <v>42591</v>
      </c>
      <c r="M701" s="91">
        <v>43686</v>
      </c>
      <c r="N701" s="88">
        <f t="shared" ca="1" si="25"/>
        <v>2501</v>
      </c>
      <c r="O701" s="84" t="str">
        <f ca="1">IF(Tabla1[[#This Row],[|]]&gt;=0,"VENCIDA",IF(Tabla1[[#This Row],[|]]&gt;=-14,"POR VENCER","OK"))</f>
        <v>VENCIDA</v>
      </c>
      <c r="P701" s="90" t="s">
        <v>640</v>
      </c>
      <c r="Q701" s="88" t="s">
        <v>312</v>
      </c>
      <c r="R701" s="88" t="s">
        <v>317</v>
      </c>
      <c r="S701" s="88"/>
      <c r="T701" s="88"/>
      <c r="U701" s="88"/>
      <c r="V701" s="88" t="s">
        <v>2298</v>
      </c>
      <c r="W701" s="92" t="s">
        <v>299</v>
      </c>
      <c r="X701" s="88"/>
    </row>
    <row r="702" spans="1:24" s="63" customFormat="1" ht="32.25" customHeight="1" x14ac:dyDescent="0.2">
      <c r="A702" s="202">
        <v>742</v>
      </c>
      <c r="B702" s="88" t="s">
        <v>279</v>
      </c>
      <c r="C702" s="89">
        <v>742</v>
      </c>
      <c r="D702" s="88" t="str">
        <f t="shared" si="24"/>
        <v>SUPERMIX742</v>
      </c>
      <c r="E702" s="58" t="s">
        <v>2317</v>
      </c>
      <c r="F702" s="58" t="s">
        <v>2318</v>
      </c>
      <c r="G702" s="88" t="s">
        <v>25</v>
      </c>
      <c r="H702" s="90">
        <v>42600018</v>
      </c>
      <c r="I702" s="90" t="s">
        <v>3787</v>
      </c>
      <c r="J702" s="88" t="s">
        <v>2319</v>
      </c>
      <c r="K702" s="88" t="s">
        <v>2263</v>
      </c>
      <c r="L702" s="91">
        <v>41507</v>
      </c>
      <c r="M702" s="91">
        <v>43671</v>
      </c>
      <c r="N702" s="88">
        <f t="shared" ca="1" si="25"/>
        <v>2516</v>
      </c>
      <c r="O702" s="84" t="str">
        <f ca="1">IF(Tabla1[[#This Row],[|]]&gt;=0,"VENCIDA",IF(Tabla1[[#This Row],[|]]&gt;=-14,"POR VENCER","OK"))</f>
        <v>VENCIDA</v>
      </c>
      <c r="P702" s="90" t="s">
        <v>624</v>
      </c>
      <c r="Q702" s="88" t="s">
        <v>312</v>
      </c>
      <c r="R702" s="88" t="s">
        <v>317</v>
      </c>
      <c r="S702" s="88"/>
      <c r="T702" s="88"/>
      <c r="U702" s="88"/>
      <c r="V702" s="88" t="s">
        <v>2298</v>
      </c>
      <c r="W702" s="92" t="s">
        <v>299</v>
      </c>
      <c r="X702" s="88"/>
    </row>
    <row r="703" spans="1:24" s="63" customFormat="1" ht="32.25" customHeight="1" x14ac:dyDescent="0.2">
      <c r="A703" s="202">
        <v>743</v>
      </c>
      <c r="B703" s="88" t="s">
        <v>279</v>
      </c>
      <c r="C703" s="89">
        <v>743</v>
      </c>
      <c r="D703" s="88" t="str">
        <f t="shared" si="24"/>
        <v>SUPERMIX743</v>
      </c>
      <c r="E703" s="58" t="s">
        <v>1033</v>
      </c>
      <c r="F703" s="58" t="s">
        <v>895</v>
      </c>
      <c r="G703" s="88" t="s">
        <v>25</v>
      </c>
      <c r="H703" s="90">
        <v>43429289</v>
      </c>
      <c r="I703" s="90" t="s">
        <v>3787</v>
      </c>
      <c r="J703" s="88" t="s">
        <v>2320</v>
      </c>
      <c r="K703" s="88" t="s">
        <v>1954</v>
      </c>
      <c r="L703" s="91">
        <v>41550</v>
      </c>
      <c r="M703" s="91">
        <v>43727</v>
      </c>
      <c r="N703" s="88">
        <f t="shared" ca="1" si="25"/>
        <v>2460</v>
      </c>
      <c r="O703" s="84" t="str">
        <f ca="1">IF(Tabla1[[#This Row],[|]]&gt;=0,"VENCIDA",IF(Tabla1[[#This Row],[|]]&gt;=-14,"POR VENCER","OK"))</f>
        <v>VENCIDA</v>
      </c>
      <c r="P703" s="90" t="s">
        <v>624</v>
      </c>
      <c r="Q703" s="88" t="s">
        <v>312</v>
      </c>
      <c r="R703" s="88" t="s">
        <v>317</v>
      </c>
      <c r="S703" s="88"/>
      <c r="T703" s="88"/>
      <c r="U703" s="88"/>
      <c r="V703" s="88" t="s">
        <v>2298</v>
      </c>
      <c r="W703" s="92" t="s">
        <v>299</v>
      </c>
      <c r="X703" s="88"/>
    </row>
    <row r="704" spans="1:24" s="63" customFormat="1" ht="32.25" customHeight="1" x14ac:dyDescent="0.2">
      <c r="A704" s="202">
        <v>744</v>
      </c>
      <c r="B704" s="88" t="s">
        <v>279</v>
      </c>
      <c r="C704" s="89">
        <v>744</v>
      </c>
      <c r="D704" s="88" t="str">
        <f t="shared" si="24"/>
        <v>SUPERMIX744</v>
      </c>
      <c r="E704" s="58" t="s">
        <v>2321</v>
      </c>
      <c r="F704" s="58" t="s">
        <v>2322</v>
      </c>
      <c r="G704" s="88" t="s">
        <v>25</v>
      </c>
      <c r="H704" s="90">
        <v>46630899</v>
      </c>
      <c r="I704" s="90" t="s">
        <v>3787</v>
      </c>
      <c r="J704" s="88" t="s">
        <v>2323</v>
      </c>
      <c r="K704" s="88" t="s">
        <v>1961</v>
      </c>
      <c r="L704" s="91">
        <v>41822</v>
      </c>
      <c r="M704" s="91">
        <v>44017</v>
      </c>
      <c r="N704" s="88">
        <f t="shared" ca="1" si="25"/>
        <v>2170</v>
      </c>
      <c r="O704" s="84" t="str">
        <f ca="1">IF(Tabla1[[#This Row],[|]]&gt;=0,"VENCIDA",IF(Tabla1[[#This Row],[|]]&gt;=-14,"POR VENCER","OK"))</f>
        <v>VENCIDA</v>
      </c>
      <c r="P704" s="90" t="s">
        <v>760</v>
      </c>
      <c r="Q704" s="88" t="s">
        <v>312</v>
      </c>
      <c r="R704" s="88" t="s">
        <v>17</v>
      </c>
      <c r="S704" s="88"/>
      <c r="T704" s="88"/>
      <c r="U704" s="88"/>
      <c r="V704" s="88" t="s">
        <v>2298</v>
      </c>
      <c r="W704" s="92" t="s">
        <v>299</v>
      </c>
      <c r="X704" s="88"/>
    </row>
    <row r="705" spans="1:24" s="63" customFormat="1" ht="32.25" customHeight="1" x14ac:dyDescent="0.2">
      <c r="A705" s="202">
        <v>745</v>
      </c>
      <c r="B705" s="88" t="s">
        <v>279</v>
      </c>
      <c r="C705" s="89">
        <v>745</v>
      </c>
      <c r="D705" s="88" t="str">
        <f t="shared" si="24"/>
        <v>SUPERMIX745</v>
      </c>
      <c r="E705" s="58" t="s">
        <v>2324</v>
      </c>
      <c r="F705" s="58" t="s">
        <v>2325</v>
      </c>
      <c r="G705" s="88" t="s">
        <v>25</v>
      </c>
      <c r="H705" s="90">
        <v>42973311</v>
      </c>
      <c r="I705" s="90" t="s">
        <v>3787</v>
      </c>
      <c r="J705" s="88" t="s">
        <v>2326</v>
      </c>
      <c r="K705" s="88" t="s">
        <v>1954</v>
      </c>
      <c r="L705" s="91">
        <v>42677</v>
      </c>
      <c r="M705" s="91">
        <v>43772</v>
      </c>
      <c r="N705" s="88">
        <f t="shared" ca="1" si="25"/>
        <v>2415</v>
      </c>
      <c r="O705" s="84" t="str">
        <f ca="1">IF(Tabla1[[#This Row],[|]]&gt;=0,"VENCIDA",IF(Tabla1[[#This Row],[|]]&gt;=-14,"POR VENCER","OK"))</f>
        <v>VENCIDA</v>
      </c>
      <c r="P705" s="90" t="s">
        <v>2327</v>
      </c>
      <c r="Q705" s="88" t="s">
        <v>312</v>
      </c>
      <c r="R705" s="88" t="s">
        <v>317</v>
      </c>
      <c r="S705" s="88"/>
      <c r="T705" s="88"/>
      <c r="U705" s="88"/>
      <c r="V705" s="88" t="s">
        <v>2298</v>
      </c>
      <c r="W705" s="92" t="s">
        <v>299</v>
      </c>
      <c r="X705" s="88"/>
    </row>
    <row r="706" spans="1:24" s="63" customFormat="1" ht="32.25" customHeight="1" x14ac:dyDescent="0.2">
      <c r="A706" s="202">
        <v>746</v>
      </c>
      <c r="B706" s="88" t="s">
        <v>279</v>
      </c>
      <c r="C706" s="89">
        <v>746</v>
      </c>
      <c r="D706" s="88" t="str">
        <f t="shared" si="24"/>
        <v>SUPERMIX746</v>
      </c>
      <c r="E706" s="58" t="s">
        <v>2328</v>
      </c>
      <c r="F706" s="58" t="s">
        <v>2329</v>
      </c>
      <c r="G706" s="88" t="s">
        <v>25</v>
      </c>
      <c r="H706" s="90">
        <v>43342296</v>
      </c>
      <c r="I706" s="90" t="s">
        <v>3787</v>
      </c>
      <c r="J706" s="88" t="s">
        <v>2330</v>
      </c>
      <c r="K706" s="88" t="s">
        <v>1954</v>
      </c>
      <c r="L706" s="91">
        <v>41654</v>
      </c>
      <c r="M706" s="91">
        <v>43876</v>
      </c>
      <c r="N706" s="88">
        <f t="shared" ca="1" si="25"/>
        <v>2311</v>
      </c>
      <c r="O706" s="84" t="str">
        <f ca="1">IF(Tabla1[[#This Row],[|]]&gt;=0,"VENCIDA",IF(Tabla1[[#This Row],[|]]&gt;=-14,"POR VENCER","OK"))</f>
        <v>VENCIDA</v>
      </c>
      <c r="P706" s="90" t="s">
        <v>2294</v>
      </c>
      <c r="Q706" s="88" t="s">
        <v>312</v>
      </c>
      <c r="R706" s="88" t="s">
        <v>317</v>
      </c>
      <c r="S706" s="88"/>
      <c r="T706" s="88"/>
      <c r="U706" s="88"/>
      <c r="V706" s="88" t="s">
        <v>2298</v>
      </c>
      <c r="W706" s="92" t="s">
        <v>299</v>
      </c>
      <c r="X706" s="88"/>
    </row>
    <row r="707" spans="1:24" s="63" customFormat="1" ht="32.25" customHeight="1" x14ac:dyDescent="0.2">
      <c r="A707" s="202">
        <v>747</v>
      </c>
      <c r="B707" s="88" t="s">
        <v>279</v>
      </c>
      <c r="C707" s="89">
        <v>747</v>
      </c>
      <c r="D707" s="88" t="str">
        <f t="shared" si="24"/>
        <v>SUPERMIX747</v>
      </c>
      <c r="E707" s="58" t="s">
        <v>2331</v>
      </c>
      <c r="F707" s="58" t="s">
        <v>2332</v>
      </c>
      <c r="G707" s="88" t="s">
        <v>25</v>
      </c>
      <c r="H707" s="90">
        <v>29627654</v>
      </c>
      <c r="I707" s="90" t="s">
        <v>3787</v>
      </c>
      <c r="J707" s="88" t="s">
        <v>2333</v>
      </c>
      <c r="K707" s="88" t="s">
        <v>281</v>
      </c>
      <c r="L707" s="91">
        <v>38002</v>
      </c>
      <c r="M707" s="91">
        <v>43508</v>
      </c>
      <c r="N707" s="88">
        <f t="shared" ca="1" si="25"/>
        <v>2679</v>
      </c>
      <c r="O707" s="84" t="str">
        <f ca="1">IF(Tabla1[[#This Row],[|]]&gt;=0,"VENCIDA",IF(Tabla1[[#This Row],[|]]&gt;=-14,"POR VENCER","OK"))</f>
        <v>VENCIDA</v>
      </c>
      <c r="P707" s="90" t="s">
        <v>624</v>
      </c>
      <c r="Q707" s="88" t="s">
        <v>312</v>
      </c>
      <c r="R707" s="88" t="s">
        <v>317</v>
      </c>
      <c r="S707" s="88"/>
      <c r="T707" s="88"/>
      <c r="U707" s="88"/>
      <c r="V707" s="88" t="s">
        <v>2298</v>
      </c>
      <c r="W707" s="92" t="s">
        <v>299</v>
      </c>
      <c r="X707" s="88"/>
    </row>
    <row r="708" spans="1:24" s="63" customFormat="1" ht="32.25" customHeight="1" x14ac:dyDescent="0.2">
      <c r="A708" s="202">
        <v>748</v>
      </c>
      <c r="B708" s="88" t="s">
        <v>279</v>
      </c>
      <c r="C708" s="89">
        <v>748</v>
      </c>
      <c r="D708" s="88" t="str">
        <f t="shared" si="24"/>
        <v>SUPERMIX748</v>
      </c>
      <c r="E708" s="58" t="s">
        <v>2334</v>
      </c>
      <c r="F708" s="58" t="s">
        <v>2335</v>
      </c>
      <c r="G708" s="88" t="s">
        <v>25</v>
      </c>
      <c r="H708" s="90">
        <v>72414803</v>
      </c>
      <c r="I708" s="90" t="s">
        <v>3787</v>
      </c>
      <c r="J708" s="88" t="s">
        <v>2336</v>
      </c>
      <c r="K708" s="88" t="s">
        <v>2092</v>
      </c>
      <c r="L708" s="91">
        <v>42485</v>
      </c>
      <c r="M708" s="91">
        <v>43580</v>
      </c>
      <c r="N708" s="88">
        <f t="shared" ca="1" si="25"/>
        <v>2607</v>
      </c>
      <c r="O708" s="84" t="str">
        <f ca="1">IF(Tabla1[[#This Row],[|]]&gt;=0,"VENCIDA",IF(Tabla1[[#This Row],[|]]&gt;=-14,"POR VENCER","OK"))</f>
        <v>VENCIDA</v>
      </c>
      <c r="P708" s="90" t="s">
        <v>2294</v>
      </c>
      <c r="Q708" s="88" t="s">
        <v>312</v>
      </c>
      <c r="R708" s="88" t="s">
        <v>17</v>
      </c>
      <c r="S708" s="88"/>
      <c r="T708" s="88"/>
      <c r="U708" s="88"/>
      <c r="V708" s="88"/>
      <c r="W708" s="92"/>
      <c r="X708" s="88"/>
    </row>
    <row r="709" spans="1:24" s="63" customFormat="1" ht="32.25" customHeight="1" x14ac:dyDescent="0.2">
      <c r="A709" s="202">
        <v>749</v>
      </c>
      <c r="B709" s="88" t="s">
        <v>279</v>
      </c>
      <c r="C709" s="89">
        <v>749</v>
      </c>
      <c r="D709" s="88" t="str">
        <f t="shared" si="24"/>
        <v>SUPERMIX749</v>
      </c>
      <c r="E709" s="58" t="s">
        <v>2337</v>
      </c>
      <c r="F709" s="58" t="s">
        <v>2338</v>
      </c>
      <c r="G709" s="88"/>
      <c r="H709" s="90" t="s">
        <v>2339</v>
      </c>
      <c r="I709" s="90" t="s">
        <v>3787</v>
      </c>
      <c r="J709" s="88"/>
      <c r="K709" s="88"/>
      <c r="L709" s="91"/>
      <c r="M709" s="91"/>
      <c r="N709" s="88">
        <f t="shared" ca="1" si="25"/>
        <v>46187</v>
      </c>
      <c r="O709" s="84" t="str">
        <f ca="1">IF(Tabla1[[#This Row],[|]]&gt;=0,"VENCIDA",IF(Tabla1[[#This Row],[|]]&gt;=-14,"POR VENCER","OK"))</f>
        <v>VENCIDA</v>
      </c>
      <c r="P709" s="90"/>
      <c r="Q709" s="88" t="s">
        <v>312</v>
      </c>
      <c r="R709" s="88"/>
      <c r="S709" s="88"/>
      <c r="T709" s="88"/>
      <c r="U709" s="88"/>
      <c r="V709" s="88"/>
      <c r="W709" s="92"/>
      <c r="X709" s="88"/>
    </row>
    <row r="710" spans="1:24" s="63" customFormat="1" ht="32.25" customHeight="1" x14ac:dyDescent="0.2">
      <c r="A710" s="202">
        <v>750</v>
      </c>
      <c r="B710" s="88" t="s">
        <v>279</v>
      </c>
      <c r="C710" s="89">
        <v>750</v>
      </c>
      <c r="D710" s="88" t="str">
        <f t="shared" si="24"/>
        <v>SUPERMIX750</v>
      </c>
      <c r="E710" s="58" t="s">
        <v>2340</v>
      </c>
      <c r="F710" s="58" t="s">
        <v>2341</v>
      </c>
      <c r="G710" s="88" t="s">
        <v>310</v>
      </c>
      <c r="H710" s="90">
        <v>71865540</v>
      </c>
      <c r="I710" s="90" t="s">
        <v>3787</v>
      </c>
      <c r="J710" s="88" t="s">
        <v>2342</v>
      </c>
      <c r="K710" s="88" t="s">
        <v>293</v>
      </c>
      <c r="L710" s="91">
        <v>43399</v>
      </c>
      <c r="M710" s="91">
        <v>44495</v>
      </c>
      <c r="N710" s="88">
        <f t="shared" ca="1" si="25"/>
        <v>1692</v>
      </c>
      <c r="O710" s="84" t="str">
        <f ca="1">IF(Tabla1[[#This Row],[|]]&gt;=0,"VENCIDA",IF(Tabla1[[#This Row],[|]]&gt;=-14,"POR VENCER","OK"))</f>
        <v>VENCIDA</v>
      </c>
      <c r="P710" s="90" t="s">
        <v>2873</v>
      </c>
      <c r="Q710" s="88" t="s">
        <v>312</v>
      </c>
      <c r="R710" s="88" t="s">
        <v>317</v>
      </c>
      <c r="S710" s="88"/>
      <c r="T710" s="88"/>
      <c r="U710" s="88"/>
      <c r="V710" s="88" t="s">
        <v>2055</v>
      </c>
      <c r="W710" s="92" t="s">
        <v>2343</v>
      </c>
      <c r="X710" s="88" t="s">
        <v>322</v>
      </c>
    </row>
    <row r="711" spans="1:24" s="63" customFormat="1" ht="32.25" customHeight="1" x14ac:dyDescent="0.2">
      <c r="A711" s="202">
        <v>751</v>
      </c>
      <c r="B711" s="88" t="s">
        <v>279</v>
      </c>
      <c r="C711" s="89">
        <v>751</v>
      </c>
      <c r="D711" s="88" t="str">
        <f t="shared" si="24"/>
        <v>SUPERMIX751</v>
      </c>
      <c r="E711" s="58" t="s">
        <v>2344</v>
      </c>
      <c r="F711" s="58" t="s">
        <v>2345</v>
      </c>
      <c r="G711" s="88" t="s">
        <v>25</v>
      </c>
      <c r="H711" s="90">
        <v>30587060</v>
      </c>
      <c r="I711" s="90" t="s">
        <v>3787</v>
      </c>
      <c r="J711" s="88" t="s">
        <v>2346</v>
      </c>
      <c r="K711" s="88" t="s">
        <v>2263</v>
      </c>
      <c r="L711" s="91">
        <v>41996</v>
      </c>
      <c r="M711" s="91">
        <v>43092</v>
      </c>
      <c r="N711" s="88">
        <f t="shared" ca="1" si="25"/>
        <v>3095</v>
      </c>
      <c r="O711" s="84" t="str">
        <f ca="1">IF(Tabla1[[#This Row],[|]]&gt;=0,"VENCIDA",IF(Tabla1[[#This Row],[|]]&gt;=-14,"POR VENCER","OK"))</f>
        <v>VENCIDA</v>
      </c>
      <c r="P711" s="90" t="s">
        <v>624</v>
      </c>
      <c r="Q711" s="88" t="s">
        <v>312</v>
      </c>
      <c r="R711" s="88" t="s">
        <v>317</v>
      </c>
      <c r="S711" s="88"/>
      <c r="T711" s="88"/>
      <c r="U711" s="88"/>
      <c r="V711" s="88" t="s">
        <v>2076</v>
      </c>
      <c r="W711" s="92" t="s">
        <v>299</v>
      </c>
      <c r="X711" s="88"/>
    </row>
    <row r="712" spans="1:24" s="63" customFormat="1" ht="32.25" customHeight="1" x14ac:dyDescent="0.2">
      <c r="A712" s="202">
        <v>752</v>
      </c>
      <c r="B712" s="88" t="s">
        <v>279</v>
      </c>
      <c r="C712" s="89">
        <v>752</v>
      </c>
      <c r="D712" s="88" t="str">
        <f t="shared" ref="D712:D775" si="26">CONCATENATE(B712,C712)</f>
        <v>SUPERMIX752</v>
      </c>
      <c r="E712" s="58" t="s">
        <v>2347</v>
      </c>
      <c r="F712" s="58" t="s">
        <v>2348</v>
      </c>
      <c r="G712" s="88" t="s">
        <v>25</v>
      </c>
      <c r="H712" s="90">
        <v>43205913</v>
      </c>
      <c r="I712" s="90" t="s">
        <v>3787</v>
      </c>
      <c r="J712" s="88" t="s">
        <v>2349</v>
      </c>
      <c r="K712" s="88" t="s">
        <v>2307</v>
      </c>
      <c r="L712" s="91">
        <v>41309</v>
      </c>
      <c r="M712" s="91">
        <v>43513</v>
      </c>
      <c r="N712" s="88">
        <f t="shared" ca="1" si="25"/>
        <v>2674</v>
      </c>
      <c r="O712" s="84" t="str">
        <f ca="1">IF(Tabla1[[#This Row],[|]]&gt;=0,"VENCIDA",IF(Tabla1[[#This Row],[|]]&gt;=-14,"POR VENCER","OK"))</f>
        <v>VENCIDA</v>
      </c>
      <c r="P712" s="90" t="s">
        <v>2350</v>
      </c>
      <c r="Q712" s="88" t="s">
        <v>312</v>
      </c>
      <c r="R712" s="88" t="s">
        <v>17</v>
      </c>
      <c r="S712" s="88"/>
      <c r="T712" s="88"/>
      <c r="U712" s="88"/>
      <c r="V712" s="88" t="s">
        <v>2076</v>
      </c>
      <c r="W712" s="92" t="s">
        <v>299</v>
      </c>
      <c r="X712" s="88"/>
    </row>
    <row r="713" spans="1:24" s="63" customFormat="1" ht="32.25" customHeight="1" x14ac:dyDescent="0.2">
      <c r="A713" s="202">
        <v>753</v>
      </c>
      <c r="B713" s="88" t="s">
        <v>279</v>
      </c>
      <c r="C713" s="89">
        <v>753</v>
      </c>
      <c r="D713" s="88" t="str">
        <f t="shared" si="26"/>
        <v>SUPERMIX753</v>
      </c>
      <c r="E713" s="58" t="s">
        <v>2351</v>
      </c>
      <c r="F713" s="58" t="s">
        <v>2352</v>
      </c>
      <c r="G713" s="88" t="s">
        <v>25</v>
      </c>
      <c r="H713" s="90">
        <v>42886814</v>
      </c>
      <c r="I713" s="90" t="s">
        <v>3787</v>
      </c>
      <c r="J713" s="88" t="s">
        <v>2353</v>
      </c>
      <c r="K713" s="88" t="s">
        <v>1954</v>
      </c>
      <c r="L713" s="91">
        <v>42641</v>
      </c>
      <c r="M713" s="91">
        <v>43736</v>
      </c>
      <c r="N713" s="88">
        <f t="shared" ca="1" si="25"/>
        <v>2451</v>
      </c>
      <c r="O713" s="84" t="str">
        <f ca="1">IF(Tabla1[[#This Row],[|]]&gt;=0,"VENCIDA",IF(Tabla1[[#This Row],[|]]&gt;=-14,"POR VENCER","OK"))</f>
        <v>VENCIDA</v>
      </c>
      <c r="P713" s="90" t="s">
        <v>2350</v>
      </c>
      <c r="Q713" s="88" t="s">
        <v>312</v>
      </c>
      <c r="R713" s="88" t="s">
        <v>17</v>
      </c>
      <c r="S713" s="88"/>
      <c r="T713" s="88"/>
      <c r="U713" s="88"/>
      <c r="V713" s="88" t="s">
        <v>2076</v>
      </c>
      <c r="W713" s="92" t="s">
        <v>299</v>
      </c>
      <c r="X713" s="88"/>
    </row>
    <row r="714" spans="1:24" s="63" customFormat="1" ht="32.25" customHeight="1" x14ac:dyDescent="0.2">
      <c r="A714" s="202">
        <v>754</v>
      </c>
      <c r="B714" s="88" t="s">
        <v>279</v>
      </c>
      <c r="C714" s="89">
        <v>754</v>
      </c>
      <c r="D714" s="88" t="str">
        <f t="shared" si="26"/>
        <v>SUPERMIX754</v>
      </c>
      <c r="E714" s="58" t="s">
        <v>2354</v>
      </c>
      <c r="F714" s="58" t="s">
        <v>2355</v>
      </c>
      <c r="G714" s="88" t="s">
        <v>25</v>
      </c>
      <c r="H714" s="90">
        <v>73441176</v>
      </c>
      <c r="I714" s="90" t="s">
        <v>3787</v>
      </c>
      <c r="J714" s="88" t="s">
        <v>2356</v>
      </c>
      <c r="K714" s="88" t="s">
        <v>2257</v>
      </c>
      <c r="L714" s="91">
        <v>42604</v>
      </c>
      <c r="M714" s="91">
        <v>43699</v>
      </c>
      <c r="N714" s="88">
        <f t="shared" ca="1" si="25"/>
        <v>2488</v>
      </c>
      <c r="O714" s="84" t="str">
        <f ca="1">IF(Tabla1[[#This Row],[|]]&gt;=0,"VENCIDA",IF(Tabla1[[#This Row],[|]]&gt;=-14,"POR VENCER","OK"))</f>
        <v>VENCIDA</v>
      </c>
      <c r="P714" s="90" t="s">
        <v>1059</v>
      </c>
      <c r="Q714" s="88" t="s">
        <v>312</v>
      </c>
      <c r="R714" s="88" t="s">
        <v>17</v>
      </c>
      <c r="S714" s="88"/>
      <c r="T714" s="88"/>
      <c r="U714" s="88"/>
      <c r="V714" s="88" t="s">
        <v>2076</v>
      </c>
      <c r="W714" s="92" t="s">
        <v>299</v>
      </c>
      <c r="X714" s="88"/>
    </row>
    <row r="715" spans="1:24" s="45" customFormat="1" ht="32.25" customHeight="1" x14ac:dyDescent="0.2">
      <c r="A715" s="212">
        <v>755</v>
      </c>
      <c r="B715" s="121" t="s">
        <v>279</v>
      </c>
      <c r="C715" s="139">
        <v>755</v>
      </c>
      <c r="D715" s="121" t="str">
        <f t="shared" si="26"/>
        <v>SUPERMIX755</v>
      </c>
      <c r="E715" s="140" t="s">
        <v>2357</v>
      </c>
      <c r="F715" s="140" t="s">
        <v>2358</v>
      </c>
      <c r="G715" s="121" t="s">
        <v>25</v>
      </c>
      <c r="H715" s="120">
        <v>80322235</v>
      </c>
      <c r="I715" s="120" t="s">
        <v>3787</v>
      </c>
      <c r="J715" s="121" t="s">
        <v>2359</v>
      </c>
      <c r="K715" s="121" t="s">
        <v>2263</v>
      </c>
      <c r="L715" s="141">
        <v>42188</v>
      </c>
      <c r="M715" s="141">
        <v>44402</v>
      </c>
      <c r="N715" s="121">
        <f t="shared" ca="1" si="25"/>
        <v>1785</v>
      </c>
      <c r="O715" s="142" t="str">
        <f ca="1">IF(Tabla1[[#This Row],[|]]&gt;=0,"VENCIDA",IF(Tabla1[[#This Row],[|]]&gt;=-14,"POR VENCER","OK"))</f>
        <v>VENCIDA</v>
      </c>
      <c r="P715" s="120" t="s">
        <v>624</v>
      </c>
      <c r="Q715" s="121" t="s">
        <v>2785</v>
      </c>
      <c r="R715" s="121" t="s">
        <v>2774</v>
      </c>
      <c r="S715" s="88"/>
      <c r="T715" s="88"/>
      <c r="U715" s="88"/>
      <c r="V715" s="121" t="s">
        <v>2076</v>
      </c>
      <c r="W715" s="122" t="s">
        <v>299</v>
      </c>
      <c r="X715" s="121" t="s">
        <v>323</v>
      </c>
    </row>
    <row r="716" spans="1:24" s="63" customFormat="1" ht="32.25" customHeight="1" x14ac:dyDescent="0.2">
      <c r="A716" s="202">
        <v>756</v>
      </c>
      <c r="B716" s="88" t="s">
        <v>279</v>
      </c>
      <c r="C716" s="89">
        <v>756</v>
      </c>
      <c r="D716" s="88" t="str">
        <f t="shared" si="26"/>
        <v>SUPERMIX756</v>
      </c>
      <c r="E716" s="58" t="s">
        <v>2360</v>
      </c>
      <c r="F716" s="58" t="s">
        <v>2361</v>
      </c>
      <c r="G716" s="88" t="s">
        <v>25</v>
      </c>
      <c r="H716" s="90">
        <v>42767054</v>
      </c>
      <c r="I716" s="90" t="s">
        <v>3787</v>
      </c>
      <c r="J716" s="88" t="s">
        <v>2362</v>
      </c>
      <c r="K716" s="88" t="s">
        <v>2263</v>
      </c>
      <c r="L716" s="91">
        <v>41443</v>
      </c>
      <c r="M716" s="91">
        <v>43608</v>
      </c>
      <c r="N716" s="88">
        <f t="shared" ca="1" si="25"/>
        <v>2579</v>
      </c>
      <c r="O716" s="84" t="str">
        <f ca="1">IF(Tabla1[[#This Row],[|]]&gt;=0,"VENCIDA",IF(Tabla1[[#This Row],[|]]&gt;=-14,"POR VENCER","OK"))</f>
        <v>VENCIDA</v>
      </c>
      <c r="P716" s="90" t="s">
        <v>624</v>
      </c>
      <c r="Q716" s="88" t="s">
        <v>312</v>
      </c>
      <c r="R716" s="88" t="s">
        <v>317</v>
      </c>
      <c r="S716" s="88"/>
      <c r="T716" s="88"/>
      <c r="U716" s="88"/>
      <c r="V716" s="88" t="s">
        <v>2076</v>
      </c>
      <c r="W716" s="92" t="s">
        <v>299</v>
      </c>
      <c r="X716" s="88"/>
    </row>
    <row r="717" spans="1:24" s="59" customFormat="1" ht="32.25" customHeight="1" x14ac:dyDescent="0.2">
      <c r="A717" s="200">
        <v>757</v>
      </c>
      <c r="B717" s="61" t="s">
        <v>279</v>
      </c>
      <c r="C717" s="87">
        <v>757</v>
      </c>
      <c r="D717" s="61" t="str">
        <f t="shared" si="26"/>
        <v>SUPERMIX757</v>
      </c>
      <c r="E717" s="82" t="s">
        <v>2363</v>
      </c>
      <c r="F717" s="82" t="s">
        <v>2364</v>
      </c>
      <c r="G717" s="61" t="s">
        <v>341</v>
      </c>
      <c r="H717" s="60">
        <v>46571525</v>
      </c>
      <c r="I717" s="60" t="s">
        <v>3787</v>
      </c>
      <c r="J717" s="61" t="s">
        <v>2365</v>
      </c>
      <c r="K717" s="61" t="s">
        <v>2257</v>
      </c>
      <c r="L717" s="62">
        <v>42181</v>
      </c>
      <c r="M717" s="62">
        <v>44453</v>
      </c>
      <c r="N717" s="61">
        <f t="shared" ca="1" si="25"/>
        <v>1734</v>
      </c>
      <c r="O717" s="84" t="str">
        <f ca="1">IF(Tabla1[[#This Row],[|]]&gt;=0,"VENCIDA",IF(Tabla1[[#This Row],[|]]&gt;=-14,"POR VENCER","OK"))</f>
        <v>VENCIDA</v>
      </c>
      <c r="P717" s="60" t="s">
        <v>2827</v>
      </c>
      <c r="Q717" s="61" t="s">
        <v>312</v>
      </c>
      <c r="R717" s="61" t="s">
        <v>17</v>
      </c>
      <c r="S717" s="61"/>
      <c r="T717" s="61"/>
      <c r="U717" s="61"/>
      <c r="V717" s="61" t="s">
        <v>1939</v>
      </c>
      <c r="W717" s="86" t="s">
        <v>2772</v>
      </c>
      <c r="X717" s="61" t="s">
        <v>2870</v>
      </c>
    </row>
    <row r="718" spans="1:24" s="63" customFormat="1" ht="32.25" customHeight="1" x14ac:dyDescent="0.2">
      <c r="A718" s="202">
        <v>758</v>
      </c>
      <c r="B718" s="88" t="s">
        <v>279</v>
      </c>
      <c r="C718" s="89">
        <v>758</v>
      </c>
      <c r="D718" s="88" t="str">
        <f t="shared" si="26"/>
        <v>SUPERMIX758</v>
      </c>
      <c r="E718" s="58" t="s">
        <v>2366</v>
      </c>
      <c r="F718" s="58" t="s">
        <v>2367</v>
      </c>
      <c r="G718" s="88" t="s">
        <v>25</v>
      </c>
      <c r="H718" s="90">
        <v>45650722</v>
      </c>
      <c r="I718" s="90" t="s">
        <v>3787</v>
      </c>
      <c r="J718" s="88" t="s">
        <v>2368</v>
      </c>
      <c r="K718" s="88" t="s">
        <v>281</v>
      </c>
      <c r="L718" s="91">
        <v>42606</v>
      </c>
      <c r="M718" s="91">
        <v>43701</v>
      </c>
      <c r="N718" s="88">
        <f t="shared" ca="1" si="25"/>
        <v>2486</v>
      </c>
      <c r="O718" s="84" t="str">
        <f ca="1">IF(Tabla1[[#This Row],[|]]&gt;=0,"VENCIDA",IF(Tabla1[[#This Row],[|]]&gt;=-14,"POR VENCER","OK"))</f>
        <v>VENCIDA</v>
      </c>
      <c r="P718" s="90" t="s">
        <v>2369</v>
      </c>
      <c r="Q718" s="88" t="s">
        <v>312</v>
      </c>
      <c r="R718" s="88" t="s">
        <v>317</v>
      </c>
      <c r="S718" s="88"/>
      <c r="T718" s="88"/>
      <c r="U718" s="88"/>
      <c r="V718" s="88" t="s">
        <v>2076</v>
      </c>
      <c r="W718" s="92" t="s">
        <v>299</v>
      </c>
      <c r="X718" s="88"/>
    </row>
    <row r="719" spans="1:24" s="63" customFormat="1" ht="32.25" customHeight="1" x14ac:dyDescent="0.2">
      <c r="A719" s="202">
        <v>759</v>
      </c>
      <c r="B719" s="88" t="s">
        <v>279</v>
      </c>
      <c r="C719" s="89">
        <v>759</v>
      </c>
      <c r="D719" s="88" t="str">
        <f t="shared" si="26"/>
        <v>SUPERMIX759</v>
      </c>
      <c r="E719" s="58" t="s">
        <v>2370</v>
      </c>
      <c r="F719" s="58" t="s">
        <v>2371</v>
      </c>
      <c r="G719" s="88" t="s">
        <v>25</v>
      </c>
      <c r="H719" s="90">
        <v>80449998</v>
      </c>
      <c r="I719" s="90" t="s">
        <v>3787</v>
      </c>
      <c r="J719" s="88" t="s">
        <v>2372</v>
      </c>
      <c r="K719" s="88" t="s">
        <v>1954</v>
      </c>
      <c r="L719" s="91">
        <v>41761</v>
      </c>
      <c r="M719" s="91">
        <v>43956</v>
      </c>
      <c r="N719" s="88">
        <f t="shared" ca="1" si="25"/>
        <v>2231</v>
      </c>
      <c r="O719" s="84" t="str">
        <f ca="1">IF(Tabla1[[#This Row],[|]]&gt;=0,"VENCIDA",IF(Tabla1[[#This Row],[|]]&gt;=-14,"POR VENCER","OK"))</f>
        <v>VENCIDA</v>
      </c>
      <c r="P719" s="90" t="s">
        <v>2369</v>
      </c>
      <c r="Q719" s="88" t="s">
        <v>312</v>
      </c>
      <c r="R719" s="88" t="s">
        <v>317</v>
      </c>
      <c r="S719" s="88"/>
      <c r="T719" s="88"/>
      <c r="U719" s="88"/>
      <c r="V719" s="88" t="s">
        <v>2076</v>
      </c>
      <c r="W719" s="92" t="s">
        <v>299</v>
      </c>
      <c r="X719" s="88"/>
    </row>
    <row r="720" spans="1:24" s="63" customFormat="1" ht="32.25" customHeight="1" x14ac:dyDescent="0.2">
      <c r="A720" s="202">
        <v>760</v>
      </c>
      <c r="B720" s="88" t="s">
        <v>279</v>
      </c>
      <c r="C720" s="89">
        <v>760</v>
      </c>
      <c r="D720" s="88" t="str">
        <f t="shared" si="26"/>
        <v>SUPERMIX760</v>
      </c>
      <c r="E720" s="58" t="s">
        <v>2373</v>
      </c>
      <c r="F720" s="58" t="s">
        <v>2374</v>
      </c>
      <c r="G720" s="88" t="s">
        <v>25</v>
      </c>
      <c r="H720" s="90">
        <v>48789641</v>
      </c>
      <c r="I720" s="90" t="s">
        <v>3787</v>
      </c>
      <c r="J720" s="88" t="s">
        <v>2375</v>
      </c>
      <c r="K720" s="88" t="s">
        <v>1954</v>
      </c>
      <c r="L720" s="91">
        <v>41731</v>
      </c>
      <c r="M720" s="91">
        <v>43906</v>
      </c>
      <c r="N720" s="88">
        <f t="shared" ca="1" si="25"/>
        <v>2281</v>
      </c>
      <c r="O720" s="84" t="str">
        <f ca="1">IF(Tabla1[[#This Row],[|]]&gt;=0,"VENCIDA",IF(Tabla1[[#This Row],[|]]&gt;=-14,"POR VENCER","OK"))</f>
        <v>VENCIDA</v>
      </c>
      <c r="P720" s="90" t="s">
        <v>624</v>
      </c>
      <c r="Q720" s="88" t="s">
        <v>312</v>
      </c>
      <c r="R720" s="88" t="s">
        <v>17</v>
      </c>
      <c r="S720" s="88"/>
      <c r="T720" s="88"/>
      <c r="U720" s="88"/>
      <c r="V720" s="88" t="s">
        <v>2298</v>
      </c>
      <c r="W720" s="92" t="s">
        <v>299</v>
      </c>
      <c r="X720" s="88"/>
    </row>
    <row r="721" spans="1:24" s="63" customFormat="1" ht="32.25" customHeight="1" x14ac:dyDescent="0.2">
      <c r="A721" s="202">
        <v>761</v>
      </c>
      <c r="B721" s="88" t="s">
        <v>279</v>
      </c>
      <c r="C721" s="89">
        <v>761</v>
      </c>
      <c r="D721" s="88" t="str">
        <f t="shared" si="26"/>
        <v>SUPERMIX761</v>
      </c>
      <c r="E721" s="58" t="s">
        <v>2376</v>
      </c>
      <c r="F721" s="58" t="s">
        <v>1400</v>
      </c>
      <c r="G721" s="88" t="s">
        <v>2825</v>
      </c>
      <c r="H721" s="90">
        <v>40055742</v>
      </c>
      <c r="I721" s="90" t="s">
        <v>3788</v>
      </c>
      <c r="J721" s="88" t="s">
        <v>2377</v>
      </c>
      <c r="K721" s="88" t="s">
        <v>3625</v>
      </c>
      <c r="L721" s="91">
        <v>42289</v>
      </c>
      <c r="M721" s="91">
        <v>46656</v>
      </c>
      <c r="N721" s="88">
        <f t="shared" ca="1" si="25"/>
        <v>-469</v>
      </c>
      <c r="O721" s="84" t="str">
        <f ca="1">IF(Tabla1[[#This Row],[|]]&gt;=0,"VENCIDA",IF(Tabla1[[#This Row],[|]]&gt;=-14,"POR VENCER","OK"))</f>
        <v>OK</v>
      </c>
      <c r="P721" s="90" t="s">
        <v>3314</v>
      </c>
      <c r="Q721" s="88" t="s">
        <v>312</v>
      </c>
      <c r="R721" s="88" t="s">
        <v>317</v>
      </c>
      <c r="S721" s="121"/>
      <c r="T721" s="121"/>
      <c r="U721" s="121"/>
      <c r="V721" s="88" t="s">
        <v>2055</v>
      </c>
      <c r="W721" s="92" t="s">
        <v>2343</v>
      </c>
      <c r="X721" s="88" t="s">
        <v>2898</v>
      </c>
    </row>
    <row r="722" spans="1:24" s="63" customFormat="1" ht="32.25" customHeight="1" x14ac:dyDescent="0.2">
      <c r="A722" s="202">
        <v>762</v>
      </c>
      <c r="B722" s="88" t="s">
        <v>279</v>
      </c>
      <c r="C722" s="89">
        <v>762</v>
      </c>
      <c r="D722" s="88" t="str">
        <f t="shared" si="26"/>
        <v>SUPERMIX762</v>
      </c>
      <c r="E722" s="58" t="s">
        <v>2379</v>
      </c>
      <c r="F722" s="58" t="s">
        <v>609</v>
      </c>
      <c r="G722" s="88" t="s">
        <v>310</v>
      </c>
      <c r="H722" s="90">
        <v>29665686</v>
      </c>
      <c r="I722" s="90" t="s">
        <v>3787</v>
      </c>
      <c r="J722" s="88" t="s">
        <v>2380</v>
      </c>
      <c r="K722" s="88" t="s">
        <v>3142</v>
      </c>
      <c r="L722" s="91">
        <v>36824</v>
      </c>
      <c r="M722" s="91">
        <v>43434</v>
      </c>
      <c r="N722" s="88">
        <f t="shared" ca="1" si="25"/>
        <v>2753</v>
      </c>
      <c r="O722" s="84" t="str">
        <f ca="1">IF(Tabla1[[#This Row],[|]]&gt;=0,"VENCIDA",IF(Tabla1[[#This Row],[|]]&gt;=-14,"POR VENCER","OK"))</f>
        <v>VENCIDA</v>
      </c>
      <c r="P722" s="90" t="s">
        <v>2294</v>
      </c>
      <c r="Q722" s="88" t="s">
        <v>312</v>
      </c>
      <c r="R722" s="88" t="s">
        <v>317</v>
      </c>
      <c r="S722" s="88"/>
      <c r="T722" s="88"/>
      <c r="U722" s="88"/>
      <c r="V722" s="88" t="s">
        <v>2381</v>
      </c>
      <c r="W722" s="92" t="s">
        <v>2382</v>
      </c>
      <c r="X722" s="88"/>
    </row>
    <row r="723" spans="1:24" s="63" customFormat="1" ht="32.25" customHeight="1" x14ac:dyDescent="0.2">
      <c r="A723" s="202">
        <v>763</v>
      </c>
      <c r="B723" s="88" t="s">
        <v>279</v>
      </c>
      <c r="C723" s="89">
        <v>763</v>
      </c>
      <c r="D723" s="88" t="str">
        <f t="shared" si="26"/>
        <v>SUPERMIX763</v>
      </c>
      <c r="E723" s="58" t="s">
        <v>2383</v>
      </c>
      <c r="F723" s="58" t="s">
        <v>609</v>
      </c>
      <c r="G723" s="88" t="s">
        <v>25</v>
      </c>
      <c r="H723" s="90">
        <v>42271460</v>
      </c>
      <c r="I723" s="90" t="s">
        <v>3787</v>
      </c>
      <c r="J723" s="88" t="s">
        <v>2384</v>
      </c>
      <c r="K723" s="88" t="s">
        <v>281</v>
      </c>
      <c r="L723" s="91">
        <v>40903</v>
      </c>
      <c r="M723" s="91">
        <v>43199</v>
      </c>
      <c r="N723" s="88">
        <f t="shared" ca="1" si="25"/>
        <v>2988</v>
      </c>
      <c r="O723" s="84" t="str">
        <f ca="1">IF(Tabla1[[#This Row],[|]]&gt;=0,"VENCIDA",IF(Tabla1[[#This Row],[|]]&gt;=-14,"POR VENCER","OK"))</f>
        <v>VENCIDA</v>
      </c>
      <c r="P723" s="90" t="s">
        <v>2327</v>
      </c>
      <c r="Q723" s="88" t="s">
        <v>312</v>
      </c>
      <c r="R723" s="88" t="s">
        <v>317</v>
      </c>
      <c r="S723" s="88"/>
      <c r="T723" s="88"/>
      <c r="U723" s="88"/>
      <c r="V723" s="88" t="s">
        <v>2298</v>
      </c>
      <c r="W723" s="92" t="s">
        <v>299</v>
      </c>
      <c r="X723" s="88"/>
    </row>
    <row r="724" spans="1:24" s="63" customFormat="1" ht="32.25" customHeight="1" x14ac:dyDescent="0.2">
      <c r="A724" s="202">
        <v>764</v>
      </c>
      <c r="B724" s="88" t="s">
        <v>279</v>
      </c>
      <c r="C724" s="89">
        <v>764</v>
      </c>
      <c r="D724" s="88" t="str">
        <f t="shared" si="26"/>
        <v>SUPERMIX764</v>
      </c>
      <c r="E724" s="58" t="s">
        <v>2385</v>
      </c>
      <c r="F724" s="58" t="s">
        <v>2386</v>
      </c>
      <c r="G724" s="88" t="s">
        <v>25</v>
      </c>
      <c r="H724" s="90">
        <v>46328760</v>
      </c>
      <c r="I724" s="90" t="s">
        <v>3787</v>
      </c>
      <c r="J724" s="88" t="s">
        <v>2387</v>
      </c>
      <c r="K724" s="88" t="s">
        <v>343</v>
      </c>
      <c r="L724" s="91">
        <v>41477</v>
      </c>
      <c r="M724" s="91">
        <v>43667</v>
      </c>
      <c r="N724" s="88">
        <f t="shared" ca="1" si="25"/>
        <v>2520</v>
      </c>
      <c r="O724" s="84" t="str">
        <f ca="1">IF(Tabla1[[#This Row],[|]]&gt;=0,"VENCIDA",IF(Tabla1[[#This Row],[|]]&gt;=-14,"POR VENCER","OK"))</f>
        <v>VENCIDA</v>
      </c>
      <c r="P724" s="90" t="s">
        <v>640</v>
      </c>
      <c r="Q724" s="88" t="s">
        <v>312</v>
      </c>
      <c r="R724" s="88" t="s">
        <v>317</v>
      </c>
      <c r="S724" s="88"/>
      <c r="T724" s="88"/>
      <c r="U724" s="88"/>
      <c r="V724" s="88" t="s">
        <v>2298</v>
      </c>
      <c r="W724" s="92" t="s">
        <v>299</v>
      </c>
      <c r="X724" s="88"/>
    </row>
    <row r="725" spans="1:24" s="63" customFormat="1" ht="32.25" customHeight="1" x14ac:dyDescent="0.2">
      <c r="A725" s="202">
        <v>765</v>
      </c>
      <c r="B725" s="88" t="s">
        <v>279</v>
      </c>
      <c r="C725" s="89">
        <v>765</v>
      </c>
      <c r="D725" s="88" t="str">
        <f t="shared" si="26"/>
        <v>SUPERMIX765</v>
      </c>
      <c r="E725" s="58" t="s">
        <v>2388</v>
      </c>
      <c r="F725" s="58" t="s">
        <v>895</v>
      </c>
      <c r="G725" s="88" t="s">
        <v>25</v>
      </c>
      <c r="H725" s="90">
        <v>40173276</v>
      </c>
      <c r="I725" s="90" t="s">
        <v>3787</v>
      </c>
      <c r="J725" s="88" t="s">
        <v>2389</v>
      </c>
      <c r="K725" s="88" t="s">
        <v>1954</v>
      </c>
      <c r="L725" s="91">
        <v>41690</v>
      </c>
      <c r="M725" s="91">
        <v>46727</v>
      </c>
      <c r="N725" s="88">
        <f t="shared" ca="1" si="25"/>
        <v>-540</v>
      </c>
      <c r="O725" s="84" t="str">
        <f ca="1">IF(Tabla1[[#This Row],[|]]&gt;=0,"VENCIDA",IF(Tabla1[[#This Row],[|]]&gt;=-14,"POR VENCER","OK"))</f>
        <v>OK</v>
      </c>
      <c r="P725" s="90" t="s">
        <v>2790</v>
      </c>
      <c r="Q725" s="88" t="s">
        <v>312</v>
      </c>
      <c r="R725" s="88" t="s">
        <v>317</v>
      </c>
      <c r="S725" s="88"/>
      <c r="T725" s="88"/>
      <c r="U725" s="88"/>
      <c r="V725" s="88" t="s">
        <v>2298</v>
      </c>
      <c r="W725" s="92" t="s">
        <v>3515</v>
      </c>
      <c r="X725" s="88" t="s">
        <v>624</v>
      </c>
    </row>
    <row r="726" spans="1:24" s="63" customFormat="1" ht="32.25" customHeight="1" x14ac:dyDescent="0.2">
      <c r="A726" s="202">
        <v>766</v>
      </c>
      <c r="B726" s="88" t="s">
        <v>279</v>
      </c>
      <c r="C726" s="89">
        <v>766</v>
      </c>
      <c r="D726" s="88" t="str">
        <f t="shared" si="26"/>
        <v>SUPERMIX766</v>
      </c>
      <c r="E726" s="58" t="s">
        <v>2390</v>
      </c>
      <c r="F726" s="58" t="s">
        <v>847</v>
      </c>
      <c r="G726" s="88" t="s">
        <v>25</v>
      </c>
      <c r="H726" s="90">
        <v>42616094</v>
      </c>
      <c r="I726" s="90" t="s">
        <v>3787</v>
      </c>
      <c r="J726" s="88" t="s">
        <v>2391</v>
      </c>
      <c r="K726" s="88" t="s">
        <v>281</v>
      </c>
      <c r="L726" s="91">
        <v>41023</v>
      </c>
      <c r="M726" s="91">
        <v>43289</v>
      </c>
      <c r="N726" s="88">
        <f t="shared" ca="1" si="25"/>
        <v>2898</v>
      </c>
      <c r="O726" s="84" t="str">
        <f ca="1">IF(Tabla1[[#This Row],[|]]&gt;=0,"VENCIDA",IF(Tabla1[[#This Row],[|]]&gt;=-14,"POR VENCER","OK"))</f>
        <v>VENCIDA</v>
      </c>
      <c r="P726" s="90" t="s">
        <v>624</v>
      </c>
      <c r="Q726" s="88" t="s">
        <v>312</v>
      </c>
      <c r="R726" s="88" t="s">
        <v>317</v>
      </c>
      <c r="S726" s="88"/>
      <c r="T726" s="88"/>
      <c r="U726" s="88"/>
      <c r="V726" s="88" t="s">
        <v>2392</v>
      </c>
      <c r="W726" s="92" t="s">
        <v>299</v>
      </c>
      <c r="X726" s="88"/>
    </row>
    <row r="727" spans="1:24" s="63" customFormat="1" ht="32.25" customHeight="1" x14ac:dyDescent="0.2">
      <c r="A727" s="202">
        <v>767</v>
      </c>
      <c r="B727" s="88" t="s">
        <v>279</v>
      </c>
      <c r="C727" s="89">
        <v>767</v>
      </c>
      <c r="D727" s="88" t="str">
        <f t="shared" si="26"/>
        <v>SUPERMIX767</v>
      </c>
      <c r="E727" s="58" t="s">
        <v>1529</v>
      </c>
      <c r="F727" s="58" t="s">
        <v>2393</v>
      </c>
      <c r="G727" s="88" t="s">
        <v>25</v>
      </c>
      <c r="H727" s="90">
        <v>45410739</v>
      </c>
      <c r="I727" s="90" t="s">
        <v>3787</v>
      </c>
      <c r="J727" s="88" t="s">
        <v>2394</v>
      </c>
      <c r="K727" s="88" t="s">
        <v>1954</v>
      </c>
      <c r="L727" s="91">
        <v>42640</v>
      </c>
      <c r="M727" s="91">
        <v>44849</v>
      </c>
      <c r="N727" s="88">
        <f t="shared" ca="1" si="25"/>
        <v>1338</v>
      </c>
      <c r="O727" s="84" t="str">
        <f ca="1">IF(Tabla1[[#This Row],[|]]&gt;=0,"VENCIDA",IF(Tabla1[[#This Row],[|]]&gt;=-14,"POR VENCER","OK"))</f>
        <v>VENCIDA</v>
      </c>
      <c r="P727" s="90" t="s">
        <v>2917</v>
      </c>
      <c r="Q727" s="88" t="s">
        <v>312</v>
      </c>
      <c r="R727" s="88" t="s">
        <v>317</v>
      </c>
      <c r="S727" s="88"/>
      <c r="T727" s="88"/>
      <c r="U727" s="88"/>
      <c r="V727" s="88" t="s">
        <v>2395</v>
      </c>
      <c r="W727" s="92" t="s">
        <v>2776</v>
      </c>
      <c r="X727" s="88" t="s">
        <v>597</v>
      </c>
    </row>
    <row r="728" spans="1:24" s="63" customFormat="1" ht="32.25" customHeight="1" x14ac:dyDescent="0.2">
      <c r="A728" s="202">
        <v>768</v>
      </c>
      <c r="B728" s="88" t="s">
        <v>279</v>
      </c>
      <c r="C728" s="89">
        <v>768</v>
      </c>
      <c r="D728" s="88" t="str">
        <f t="shared" si="26"/>
        <v>SUPERMIX768</v>
      </c>
      <c r="E728" s="58" t="s">
        <v>2396</v>
      </c>
      <c r="F728" s="58" t="s">
        <v>22</v>
      </c>
      <c r="G728" s="88" t="s">
        <v>25</v>
      </c>
      <c r="H728" s="90">
        <v>41764046</v>
      </c>
      <c r="I728" s="90" t="s">
        <v>3787</v>
      </c>
      <c r="J728" s="88" t="s">
        <v>2397</v>
      </c>
      <c r="K728" s="88" t="s">
        <v>281</v>
      </c>
      <c r="L728" s="91">
        <v>42044</v>
      </c>
      <c r="M728" s="91">
        <v>44230</v>
      </c>
      <c r="N728" s="88">
        <f t="shared" ca="1" si="25"/>
        <v>1957</v>
      </c>
      <c r="O728" s="84" t="str">
        <f ca="1">IF(Tabla1[[#This Row],[|]]&gt;=0,"VENCIDA",IF(Tabla1[[#This Row],[|]]&gt;=-14,"POR VENCER","OK"))</f>
        <v>VENCIDA</v>
      </c>
      <c r="P728" s="90" t="s">
        <v>2198</v>
      </c>
      <c r="Q728" s="88" t="s">
        <v>312</v>
      </c>
      <c r="R728" s="88" t="s">
        <v>317</v>
      </c>
      <c r="S728" s="88"/>
      <c r="T728" s="88"/>
      <c r="U728" s="88"/>
      <c r="V728" s="88" t="s">
        <v>2076</v>
      </c>
      <c r="W728" s="92" t="s">
        <v>299</v>
      </c>
      <c r="X728" s="88"/>
    </row>
    <row r="729" spans="1:24" s="63" customFormat="1" ht="32.25" customHeight="1" x14ac:dyDescent="0.2">
      <c r="A729" s="202">
        <v>769</v>
      </c>
      <c r="B729" s="88" t="s">
        <v>279</v>
      </c>
      <c r="C729" s="89">
        <v>769</v>
      </c>
      <c r="D729" s="88" t="str">
        <f t="shared" si="26"/>
        <v>SUPERMIX769</v>
      </c>
      <c r="E729" s="58" t="s">
        <v>2398</v>
      </c>
      <c r="F729" s="58" t="s">
        <v>2399</v>
      </c>
      <c r="G729" s="88" t="s">
        <v>25</v>
      </c>
      <c r="H729" s="90">
        <v>40399909</v>
      </c>
      <c r="I729" s="90" t="s">
        <v>3787</v>
      </c>
      <c r="J729" s="88" t="s">
        <v>2400</v>
      </c>
      <c r="K729" s="88" t="s">
        <v>1954</v>
      </c>
      <c r="L729" s="91">
        <v>41877</v>
      </c>
      <c r="M729" s="91">
        <v>44054</v>
      </c>
      <c r="N729" s="88">
        <f t="shared" ca="1" si="25"/>
        <v>2133</v>
      </c>
      <c r="O729" s="84" t="str">
        <f ca="1">IF(Tabla1[[#This Row],[|]]&gt;=0,"VENCIDA",IF(Tabla1[[#This Row],[|]]&gt;=-14,"POR VENCER","OK"))</f>
        <v>VENCIDA</v>
      </c>
      <c r="P729" s="90" t="s">
        <v>2198</v>
      </c>
      <c r="Q729" s="88" t="s">
        <v>312</v>
      </c>
      <c r="R729" s="88" t="s">
        <v>317</v>
      </c>
      <c r="S729" s="88"/>
      <c r="T729" s="88"/>
      <c r="U729" s="88"/>
      <c r="V729" s="88" t="s">
        <v>2076</v>
      </c>
      <c r="W729" s="92" t="s">
        <v>299</v>
      </c>
      <c r="X729" s="88"/>
    </row>
    <row r="730" spans="1:24" s="63" customFormat="1" ht="32.25" customHeight="1" x14ac:dyDescent="0.2">
      <c r="A730" s="202">
        <v>770</v>
      </c>
      <c r="B730" s="88" t="s">
        <v>279</v>
      </c>
      <c r="C730" s="89">
        <v>770</v>
      </c>
      <c r="D730" s="88" t="str">
        <f t="shared" si="26"/>
        <v>SUPERMIX770</v>
      </c>
      <c r="E730" s="58" t="s">
        <v>2401</v>
      </c>
      <c r="F730" s="58" t="s">
        <v>2402</v>
      </c>
      <c r="G730" s="88" t="s">
        <v>25</v>
      </c>
      <c r="H730" s="90" t="s">
        <v>2403</v>
      </c>
      <c r="I730" s="90" t="s">
        <v>3787</v>
      </c>
      <c r="J730" s="88" t="s">
        <v>2404</v>
      </c>
      <c r="K730" s="88" t="s">
        <v>1961</v>
      </c>
      <c r="L730" s="91">
        <v>41862</v>
      </c>
      <c r="M730" s="91">
        <v>44022</v>
      </c>
      <c r="N730" s="88">
        <f t="shared" ca="1" si="25"/>
        <v>2165</v>
      </c>
      <c r="O730" s="84" t="str">
        <f ca="1">IF(Tabla1[[#This Row],[|]]&gt;=0,"VENCIDA",IF(Tabla1[[#This Row],[|]]&gt;=-14,"POR VENCER","OK"))</f>
        <v>VENCIDA</v>
      </c>
      <c r="P730" s="90" t="s">
        <v>1059</v>
      </c>
      <c r="Q730" s="88" t="s">
        <v>312</v>
      </c>
      <c r="R730" s="88" t="s">
        <v>17</v>
      </c>
      <c r="S730" s="88"/>
      <c r="T730" s="88"/>
      <c r="U730" s="88"/>
      <c r="V730" s="88" t="s">
        <v>2405</v>
      </c>
      <c r="W730" s="92" t="s">
        <v>1112</v>
      </c>
      <c r="X730" s="88"/>
    </row>
    <row r="731" spans="1:24" s="63" customFormat="1" ht="32.25" customHeight="1" x14ac:dyDescent="0.2">
      <c r="A731" s="202">
        <v>771</v>
      </c>
      <c r="B731" s="88" t="s">
        <v>279</v>
      </c>
      <c r="C731" s="89">
        <v>771</v>
      </c>
      <c r="D731" s="88" t="str">
        <f t="shared" si="26"/>
        <v>SUPERMIX771</v>
      </c>
      <c r="E731" s="58" t="s">
        <v>2406</v>
      </c>
      <c r="F731" s="58" t="s">
        <v>2407</v>
      </c>
      <c r="G731" s="88" t="s">
        <v>25</v>
      </c>
      <c r="H731" s="90">
        <v>47525452</v>
      </c>
      <c r="I731" s="90" t="s">
        <v>3787</v>
      </c>
      <c r="J731" s="88" t="s">
        <v>2408</v>
      </c>
      <c r="K731" s="88" t="s">
        <v>1961</v>
      </c>
      <c r="L731" s="91">
        <v>42829</v>
      </c>
      <c r="M731" s="91">
        <v>43925</v>
      </c>
      <c r="N731" s="88">
        <f t="shared" ca="1" si="25"/>
        <v>2262</v>
      </c>
      <c r="O731" s="84" t="str">
        <f ca="1">IF(Tabla1[[#This Row],[|]]&gt;=0,"VENCIDA",IF(Tabla1[[#This Row],[|]]&gt;=-14,"POR VENCER","OK"))</f>
        <v>VENCIDA</v>
      </c>
      <c r="P731" s="90" t="s">
        <v>2409</v>
      </c>
      <c r="Q731" s="88" t="s">
        <v>312</v>
      </c>
      <c r="R731" s="88" t="s">
        <v>17</v>
      </c>
      <c r="S731" s="88"/>
      <c r="T731" s="88"/>
      <c r="U731" s="88"/>
      <c r="V731" s="88" t="s">
        <v>2055</v>
      </c>
      <c r="W731" s="92" t="s">
        <v>2343</v>
      </c>
      <c r="X731" s="88"/>
    </row>
    <row r="732" spans="1:24" s="63" customFormat="1" ht="32.25" customHeight="1" x14ac:dyDescent="0.2">
      <c r="A732" s="202">
        <v>772</v>
      </c>
      <c r="B732" s="88" t="s">
        <v>279</v>
      </c>
      <c r="C732" s="89">
        <v>772</v>
      </c>
      <c r="D732" s="88" t="str">
        <f t="shared" si="26"/>
        <v>SUPERMIX772</v>
      </c>
      <c r="E732" s="58" t="s">
        <v>2410</v>
      </c>
      <c r="F732" s="58" t="s">
        <v>2411</v>
      </c>
      <c r="G732" s="88" t="s">
        <v>25</v>
      </c>
      <c r="H732" s="90">
        <v>46585628</v>
      </c>
      <c r="I732" s="90" t="s">
        <v>3787</v>
      </c>
      <c r="J732" s="88" t="s">
        <v>2412</v>
      </c>
      <c r="K732" s="88" t="s">
        <v>293</v>
      </c>
      <c r="L732" s="91">
        <v>42268</v>
      </c>
      <c r="M732" s="91">
        <v>44472</v>
      </c>
      <c r="N732" s="88">
        <f t="shared" ca="1" si="25"/>
        <v>1715</v>
      </c>
      <c r="O732" s="84" t="str">
        <f ca="1">IF(Tabla1[[#This Row],[|]]&gt;=0,"VENCIDA",IF(Tabla1[[#This Row],[|]]&gt;=-14,"POR VENCER","OK"))</f>
        <v>VENCIDA</v>
      </c>
      <c r="P732" s="90" t="s">
        <v>2827</v>
      </c>
      <c r="Q732" s="88" t="s">
        <v>312</v>
      </c>
      <c r="R732" s="88" t="s">
        <v>317</v>
      </c>
      <c r="S732" s="88"/>
      <c r="T732" s="88"/>
      <c r="U732" s="88"/>
      <c r="V732" s="88" t="s">
        <v>2055</v>
      </c>
      <c r="W732" s="92" t="s">
        <v>2343</v>
      </c>
      <c r="X732" s="88" t="s">
        <v>2836</v>
      </c>
    </row>
    <row r="733" spans="1:24" s="43" customFormat="1" ht="32.25" customHeight="1" x14ac:dyDescent="0.2">
      <c r="A733" s="42">
        <v>773</v>
      </c>
      <c r="B733" s="93" t="s">
        <v>279</v>
      </c>
      <c r="C733" s="94">
        <v>773</v>
      </c>
      <c r="D733" s="93" t="str">
        <f t="shared" si="26"/>
        <v>SUPERMIX773</v>
      </c>
      <c r="E733" s="115" t="s">
        <v>2413</v>
      </c>
      <c r="F733" s="115" t="s">
        <v>2414</v>
      </c>
      <c r="G733" s="93" t="s">
        <v>2825</v>
      </c>
      <c r="H733" s="95">
        <v>43312384</v>
      </c>
      <c r="I733" s="95" t="s">
        <v>3788</v>
      </c>
      <c r="J733" s="93" t="s">
        <v>2415</v>
      </c>
      <c r="K733" s="93" t="s">
        <v>3443</v>
      </c>
      <c r="L733" s="96">
        <v>41821</v>
      </c>
      <c r="M733" s="96">
        <v>46224</v>
      </c>
      <c r="N733" s="93">
        <f t="shared" ca="1" si="25"/>
        <v>-37</v>
      </c>
      <c r="O733" s="84" t="str">
        <f ca="1">IF(Tabla1[[#This Row],[|]]&gt;=0,"VENCIDA",IF(Tabla1[[#This Row],[|]]&gt;=-14,"POR VENCER","OK"))</f>
        <v>OK</v>
      </c>
      <c r="P733" s="95" t="s">
        <v>3570</v>
      </c>
      <c r="Q733" s="93" t="s">
        <v>312</v>
      </c>
      <c r="R733" s="93" t="s">
        <v>317</v>
      </c>
      <c r="S733" s="93"/>
      <c r="T733" s="93"/>
      <c r="U733" s="93"/>
      <c r="V733" s="93" t="s">
        <v>2677</v>
      </c>
      <c r="W733" s="97" t="s">
        <v>3515</v>
      </c>
      <c r="X733" s="93" t="s">
        <v>321</v>
      </c>
    </row>
    <row r="734" spans="1:24" s="63" customFormat="1" ht="32.25" customHeight="1" x14ac:dyDescent="0.2">
      <c r="A734" s="202">
        <v>774</v>
      </c>
      <c r="B734" s="88" t="s">
        <v>279</v>
      </c>
      <c r="C734" s="89">
        <v>774</v>
      </c>
      <c r="D734" s="88" t="str">
        <f t="shared" si="26"/>
        <v>SUPERMIX774</v>
      </c>
      <c r="E734" s="58" t="s">
        <v>2416</v>
      </c>
      <c r="F734" s="58" t="s">
        <v>207</v>
      </c>
      <c r="G734" s="88" t="s">
        <v>25</v>
      </c>
      <c r="H734" s="90">
        <v>42809947</v>
      </c>
      <c r="I734" s="90" t="s">
        <v>3787</v>
      </c>
      <c r="J734" s="88" t="s">
        <v>2417</v>
      </c>
      <c r="K734" s="88" t="s">
        <v>2418</v>
      </c>
      <c r="L734" s="91">
        <v>41324</v>
      </c>
      <c r="M734" s="91">
        <v>43486</v>
      </c>
      <c r="N734" s="88">
        <f t="shared" ca="1" si="25"/>
        <v>2701</v>
      </c>
      <c r="O734" s="84" t="str">
        <f ca="1">IF(Tabla1[[#This Row],[|]]&gt;=0,"VENCIDA",IF(Tabla1[[#This Row],[|]]&gt;=-14,"POR VENCER","OK"))</f>
        <v>VENCIDA</v>
      </c>
      <c r="P734" s="90" t="s">
        <v>760</v>
      </c>
      <c r="Q734" s="88" t="s">
        <v>312</v>
      </c>
      <c r="R734" s="88" t="s">
        <v>317</v>
      </c>
      <c r="S734" s="88"/>
      <c r="T734" s="88"/>
      <c r="U734" s="88"/>
      <c r="V734" s="88" t="s">
        <v>2298</v>
      </c>
      <c r="W734" s="92" t="s">
        <v>299</v>
      </c>
      <c r="X734" s="88"/>
    </row>
    <row r="735" spans="1:24" s="43" customFormat="1" ht="32.25" customHeight="1" x14ac:dyDescent="0.2">
      <c r="A735" s="42">
        <v>775</v>
      </c>
      <c r="B735" s="93" t="s">
        <v>279</v>
      </c>
      <c r="C735" s="94">
        <v>775</v>
      </c>
      <c r="D735" s="93" t="str">
        <f t="shared" si="26"/>
        <v>SUPERMIX775</v>
      </c>
      <c r="E735" s="115" t="s">
        <v>2419</v>
      </c>
      <c r="F735" s="115" t="s">
        <v>2420</v>
      </c>
      <c r="G735" s="93" t="s">
        <v>2825</v>
      </c>
      <c r="H735" s="95">
        <v>72287639</v>
      </c>
      <c r="I735" s="95" t="s">
        <v>3788</v>
      </c>
      <c r="J735" s="93" t="s">
        <v>2421</v>
      </c>
      <c r="K735" s="93" t="s">
        <v>3663</v>
      </c>
      <c r="L735" s="96">
        <v>44818</v>
      </c>
      <c r="M735" s="96">
        <v>46644</v>
      </c>
      <c r="N735" s="93">
        <f t="shared" ca="1" si="25"/>
        <v>-457</v>
      </c>
      <c r="O735" s="84" t="str">
        <f ca="1">IF(Tabla1[[#This Row],[|]]&gt;=0,"VENCIDA",IF(Tabla1[[#This Row],[|]]&gt;=-14,"POR VENCER","OK"))</f>
        <v>OK</v>
      </c>
      <c r="P735" s="95" t="s">
        <v>2827</v>
      </c>
      <c r="Q735" s="93" t="s">
        <v>312</v>
      </c>
      <c r="R735" s="93" t="s">
        <v>317</v>
      </c>
      <c r="S735" s="93"/>
      <c r="T735" s="93"/>
      <c r="U735" s="93"/>
      <c r="V735" s="93" t="s">
        <v>334</v>
      </c>
      <c r="W735" s="97" t="s">
        <v>2947</v>
      </c>
      <c r="X735" s="93" t="s">
        <v>2894</v>
      </c>
    </row>
    <row r="736" spans="1:24" s="63" customFormat="1" ht="32.25" customHeight="1" x14ac:dyDescent="0.2">
      <c r="A736" s="202">
        <v>776</v>
      </c>
      <c r="B736" s="88" t="s">
        <v>279</v>
      </c>
      <c r="C736" s="89">
        <v>776</v>
      </c>
      <c r="D736" s="88" t="str">
        <f t="shared" si="26"/>
        <v>SUPERMIX776</v>
      </c>
      <c r="E736" s="58" t="s">
        <v>2427</v>
      </c>
      <c r="F736" s="58" t="s">
        <v>2428</v>
      </c>
      <c r="G736" s="88" t="s">
        <v>25</v>
      </c>
      <c r="H736" s="90">
        <v>44423869</v>
      </c>
      <c r="I736" s="90" t="s">
        <v>3787</v>
      </c>
      <c r="J736" s="88" t="s">
        <v>2429</v>
      </c>
      <c r="K736" s="88" t="s">
        <v>281</v>
      </c>
      <c r="L736" s="91">
        <v>42017</v>
      </c>
      <c r="M736" s="91">
        <v>43113</v>
      </c>
      <c r="N736" s="88">
        <f t="shared" ca="1" si="25"/>
        <v>3074</v>
      </c>
      <c r="O736" s="84" t="str">
        <f ca="1">IF(Tabla1[[#This Row],[|]]&gt;=0,"VENCIDA",IF(Tabla1[[#This Row],[|]]&gt;=-14,"POR VENCER","OK"))</f>
        <v>VENCIDA</v>
      </c>
      <c r="P736" s="90" t="s">
        <v>624</v>
      </c>
      <c r="Q736" s="88" t="s">
        <v>312</v>
      </c>
      <c r="R736" s="88" t="s">
        <v>317</v>
      </c>
      <c r="S736" s="88"/>
      <c r="T736" s="88"/>
      <c r="U736" s="88"/>
      <c r="V736" s="88" t="s">
        <v>2298</v>
      </c>
      <c r="W736" s="92" t="s">
        <v>299</v>
      </c>
      <c r="X736" s="88"/>
    </row>
    <row r="737" spans="1:24" s="63" customFormat="1" ht="32.25" customHeight="1" x14ac:dyDescent="0.2">
      <c r="A737" s="202">
        <v>777</v>
      </c>
      <c r="B737" s="88" t="s">
        <v>279</v>
      </c>
      <c r="C737" s="89">
        <v>777</v>
      </c>
      <c r="D737" s="88" t="str">
        <f t="shared" si="26"/>
        <v>SUPERMIX777</v>
      </c>
      <c r="E737" s="58" t="s">
        <v>2430</v>
      </c>
      <c r="F737" s="58" t="s">
        <v>2431</v>
      </c>
      <c r="G737" s="88" t="s">
        <v>25</v>
      </c>
      <c r="H737" s="90">
        <v>45456208</v>
      </c>
      <c r="I737" s="90" t="s">
        <v>3787</v>
      </c>
      <c r="J737" s="88" t="s">
        <v>2432</v>
      </c>
      <c r="K737" s="88" t="s">
        <v>281</v>
      </c>
      <c r="L737" s="91">
        <v>42475</v>
      </c>
      <c r="M737" s="91">
        <v>43570</v>
      </c>
      <c r="N737" s="88">
        <f t="shared" ca="1" si="25"/>
        <v>2617</v>
      </c>
      <c r="O737" s="84" t="str">
        <f ca="1">IF(Tabla1[[#This Row],[|]]&gt;=0,"VENCIDA",IF(Tabla1[[#This Row],[|]]&gt;=-14,"POR VENCER","OK"))</f>
        <v>VENCIDA</v>
      </c>
      <c r="P737" s="90" t="s">
        <v>624</v>
      </c>
      <c r="Q737" s="88" t="s">
        <v>312</v>
      </c>
      <c r="R737" s="88" t="s">
        <v>17</v>
      </c>
      <c r="S737" s="88"/>
      <c r="T737" s="88"/>
      <c r="U737" s="88"/>
      <c r="V737" s="88" t="s">
        <v>2298</v>
      </c>
      <c r="W737" s="92" t="s">
        <v>299</v>
      </c>
      <c r="X737" s="88"/>
    </row>
    <row r="738" spans="1:24" s="63" customFormat="1" ht="32.25" customHeight="1" x14ac:dyDescent="0.2">
      <c r="A738" s="202">
        <v>778</v>
      </c>
      <c r="B738" s="88" t="s">
        <v>279</v>
      </c>
      <c r="C738" s="89">
        <v>778</v>
      </c>
      <c r="D738" s="88" t="str">
        <f t="shared" si="26"/>
        <v>SUPERMIX778</v>
      </c>
      <c r="E738" s="58" t="s">
        <v>2433</v>
      </c>
      <c r="F738" s="58" t="s">
        <v>2434</v>
      </c>
      <c r="G738" s="88" t="s">
        <v>25</v>
      </c>
      <c r="H738" s="90">
        <v>43547024</v>
      </c>
      <c r="I738" s="90" t="s">
        <v>3787</v>
      </c>
      <c r="J738" s="88" t="s">
        <v>2435</v>
      </c>
      <c r="K738" s="88" t="s">
        <v>1954</v>
      </c>
      <c r="L738" s="91">
        <v>41918</v>
      </c>
      <c r="M738" s="91">
        <v>44081</v>
      </c>
      <c r="N738" s="88">
        <f t="shared" ca="1" si="25"/>
        <v>2106</v>
      </c>
      <c r="O738" s="84" t="str">
        <f ca="1">IF(Tabla1[[#This Row],[|]]&gt;=0,"VENCIDA",IF(Tabla1[[#This Row],[|]]&gt;=-14,"POR VENCER","OK"))</f>
        <v>VENCIDA</v>
      </c>
      <c r="P738" s="90" t="s">
        <v>2721</v>
      </c>
      <c r="Q738" s="88" t="s">
        <v>312</v>
      </c>
      <c r="R738" s="88" t="s">
        <v>317</v>
      </c>
      <c r="S738" s="88"/>
      <c r="T738" s="88"/>
      <c r="U738" s="88"/>
      <c r="V738" s="88" t="s">
        <v>334</v>
      </c>
      <c r="W738" s="92" t="s">
        <v>2436</v>
      </c>
      <c r="X738" s="88"/>
    </row>
    <row r="739" spans="1:24" s="63" customFormat="1" ht="32.25" customHeight="1" x14ac:dyDescent="0.2">
      <c r="A739" s="202">
        <v>779</v>
      </c>
      <c r="B739" s="88" t="s">
        <v>279</v>
      </c>
      <c r="C739" s="89">
        <v>779</v>
      </c>
      <c r="D739" s="88" t="str">
        <f t="shared" si="26"/>
        <v>SUPERMIX779</v>
      </c>
      <c r="E739" s="58" t="s">
        <v>2437</v>
      </c>
      <c r="F739" s="58" t="s">
        <v>2438</v>
      </c>
      <c r="G739" s="88" t="s">
        <v>1968</v>
      </c>
      <c r="H739" s="90">
        <v>41642726</v>
      </c>
      <c r="I739" s="90" t="s">
        <v>3787</v>
      </c>
      <c r="J739" s="88" t="s">
        <v>2439</v>
      </c>
      <c r="K739" s="88" t="s">
        <v>281</v>
      </c>
      <c r="L739" s="91">
        <v>41110</v>
      </c>
      <c r="M739" s="91">
        <v>43296</v>
      </c>
      <c r="N739" s="88">
        <f t="shared" ca="1" si="25"/>
        <v>2891</v>
      </c>
      <c r="O739" s="84" t="str">
        <f ca="1">IF(Tabla1[[#This Row],[|]]&gt;=0,"VENCIDA",IF(Tabla1[[#This Row],[|]]&gt;=-14,"POR VENCER","OK"))</f>
        <v>VENCIDA</v>
      </c>
      <c r="P739" s="90" t="s">
        <v>624</v>
      </c>
      <c r="Q739" s="88" t="s">
        <v>312</v>
      </c>
      <c r="R739" s="88" t="s">
        <v>317</v>
      </c>
      <c r="S739" s="88"/>
      <c r="T739" s="88"/>
      <c r="U739" s="88"/>
      <c r="V739" s="88" t="s">
        <v>2298</v>
      </c>
      <c r="W739" s="92" t="s">
        <v>299</v>
      </c>
      <c r="X739" s="88"/>
    </row>
    <row r="740" spans="1:24" s="63" customFormat="1" ht="32.25" customHeight="1" x14ac:dyDescent="0.2">
      <c r="A740" s="202">
        <v>780</v>
      </c>
      <c r="B740" s="88" t="s">
        <v>279</v>
      </c>
      <c r="C740" s="89">
        <v>780</v>
      </c>
      <c r="D740" s="88" t="str">
        <f t="shared" si="26"/>
        <v>SUPERMIX780</v>
      </c>
      <c r="E740" s="58" t="s">
        <v>2440</v>
      </c>
      <c r="F740" s="58" t="s">
        <v>2441</v>
      </c>
      <c r="G740" s="88" t="s">
        <v>25</v>
      </c>
      <c r="H740" s="90">
        <v>42787027</v>
      </c>
      <c r="I740" s="90" t="s">
        <v>3787</v>
      </c>
      <c r="J740" s="88" t="s">
        <v>2442</v>
      </c>
      <c r="K740" s="88" t="s">
        <v>343</v>
      </c>
      <c r="L740" s="91">
        <v>42083</v>
      </c>
      <c r="M740" s="91">
        <v>43179</v>
      </c>
      <c r="N740" s="88">
        <f t="shared" ca="1" si="25"/>
        <v>3008</v>
      </c>
      <c r="O740" s="84" t="str">
        <f ca="1">IF(Tabla1[[#This Row],[|]]&gt;=0,"VENCIDA",IF(Tabla1[[#This Row],[|]]&gt;=-14,"POR VENCER","OK"))</f>
        <v>VENCIDA</v>
      </c>
      <c r="P740" s="90" t="s">
        <v>2294</v>
      </c>
      <c r="Q740" s="88" t="s">
        <v>312</v>
      </c>
      <c r="R740" s="88" t="s">
        <v>17</v>
      </c>
      <c r="S740" s="88"/>
      <c r="T740" s="88"/>
      <c r="U740" s="88"/>
      <c r="V740" s="88" t="s">
        <v>831</v>
      </c>
      <c r="W740" s="92" t="s">
        <v>832</v>
      </c>
      <c r="X740" s="88"/>
    </row>
    <row r="741" spans="1:24" s="63" customFormat="1" ht="32.25" customHeight="1" x14ac:dyDescent="0.2">
      <c r="A741" s="202">
        <v>781</v>
      </c>
      <c r="B741" s="88" t="s">
        <v>279</v>
      </c>
      <c r="C741" s="89">
        <v>781</v>
      </c>
      <c r="D741" s="88" t="str">
        <f t="shared" si="26"/>
        <v>SUPERMIX781</v>
      </c>
      <c r="E741" s="58" t="s">
        <v>2443</v>
      </c>
      <c r="F741" s="58" t="s">
        <v>2444</v>
      </c>
      <c r="G741" s="88" t="s">
        <v>25</v>
      </c>
      <c r="H741" s="90">
        <v>44621055</v>
      </c>
      <c r="I741" s="90" t="s">
        <v>3787</v>
      </c>
      <c r="J741" s="88" t="s">
        <v>2445</v>
      </c>
      <c r="K741" s="88" t="s">
        <v>343</v>
      </c>
      <c r="L741" s="91">
        <v>42262</v>
      </c>
      <c r="M741" s="91">
        <v>44457</v>
      </c>
      <c r="N741" s="88">
        <f t="shared" ca="1" si="25"/>
        <v>1730</v>
      </c>
      <c r="O741" s="84" t="str">
        <f ca="1">IF(Tabla1[[#This Row],[|]]&gt;=0,"VENCIDA",IF(Tabla1[[#This Row],[|]]&gt;=-14,"POR VENCER","OK"))</f>
        <v>VENCIDA</v>
      </c>
      <c r="P741" s="90" t="s">
        <v>824</v>
      </c>
      <c r="Q741" s="88" t="s">
        <v>312</v>
      </c>
      <c r="R741" s="88" t="s">
        <v>317</v>
      </c>
      <c r="S741" s="88"/>
      <c r="T741" s="88"/>
      <c r="U741" s="88"/>
      <c r="V741" s="88" t="s">
        <v>831</v>
      </c>
      <c r="W741" s="92" t="s">
        <v>2775</v>
      </c>
      <c r="X741" s="88"/>
    </row>
    <row r="742" spans="1:24" s="63" customFormat="1" ht="32.25" customHeight="1" x14ac:dyDescent="0.2">
      <c r="A742" s="202">
        <v>782</v>
      </c>
      <c r="B742" s="88" t="s">
        <v>279</v>
      </c>
      <c r="C742" s="89">
        <v>782</v>
      </c>
      <c r="D742" s="88" t="str">
        <f t="shared" si="26"/>
        <v>SUPERMIX782</v>
      </c>
      <c r="E742" s="58" t="s">
        <v>2446</v>
      </c>
      <c r="F742" s="58" t="s">
        <v>3841</v>
      </c>
      <c r="G742" s="88" t="s">
        <v>25</v>
      </c>
      <c r="H742" s="90">
        <v>42138121</v>
      </c>
      <c r="I742" s="90" t="s">
        <v>3787</v>
      </c>
      <c r="J742" s="88" t="s">
        <v>2448</v>
      </c>
      <c r="K742" s="88" t="s">
        <v>281</v>
      </c>
      <c r="L742" s="91">
        <v>42299</v>
      </c>
      <c r="M742" s="91">
        <v>44463</v>
      </c>
      <c r="N742" s="88">
        <f t="shared" ca="1" si="25"/>
        <v>1724</v>
      </c>
      <c r="O742" s="84" t="str">
        <f ca="1">IF(Tabla1[[#This Row],[|]]&gt;=0,"VENCIDA",IF(Tabla1[[#This Row],[|]]&gt;=-14,"POR VENCER","OK"))</f>
        <v>VENCIDA</v>
      </c>
      <c r="P742" s="90" t="s">
        <v>2779</v>
      </c>
      <c r="Q742" s="88" t="s">
        <v>312</v>
      </c>
      <c r="R742" s="88" t="s">
        <v>317</v>
      </c>
      <c r="S742" s="88"/>
      <c r="T742" s="88"/>
      <c r="U742" s="88"/>
      <c r="V742" s="88" t="s">
        <v>306</v>
      </c>
      <c r="W742" s="92" t="s">
        <v>1112</v>
      </c>
      <c r="X742" s="88"/>
    </row>
    <row r="743" spans="1:24" s="63" customFormat="1" ht="32.25" customHeight="1" x14ac:dyDescent="0.2">
      <c r="A743" s="202">
        <v>783</v>
      </c>
      <c r="B743" s="88" t="s">
        <v>279</v>
      </c>
      <c r="C743" s="89">
        <v>783</v>
      </c>
      <c r="D743" s="88" t="str">
        <f t="shared" si="26"/>
        <v>SUPERMIX783</v>
      </c>
      <c r="E743" s="58" t="s">
        <v>2449</v>
      </c>
      <c r="F743" s="58" t="s">
        <v>2450</v>
      </c>
      <c r="G743" s="88" t="s">
        <v>25</v>
      </c>
      <c r="H743" s="90">
        <v>48017511</v>
      </c>
      <c r="I743" s="90" t="s">
        <v>3787</v>
      </c>
      <c r="J743" s="88" t="s">
        <v>2451</v>
      </c>
      <c r="K743" s="88" t="s">
        <v>1961</v>
      </c>
      <c r="L743" s="91">
        <v>41652</v>
      </c>
      <c r="M743" s="91">
        <v>43871</v>
      </c>
      <c r="N743" s="88">
        <f t="shared" ca="1" si="25"/>
        <v>2316</v>
      </c>
      <c r="O743" s="84" t="str">
        <f ca="1">IF(Tabla1[[#This Row],[|]]&gt;=0,"VENCIDA",IF(Tabla1[[#This Row],[|]]&gt;=-14,"POR VENCER","OK"))</f>
        <v>VENCIDA</v>
      </c>
      <c r="P743" s="90" t="s">
        <v>824</v>
      </c>
      <c r="Q743" s="88" t="s">
        <v>312</v>
      </c>
      <c r="R743" s="88" t="s">
        <v>317</v>
      </c>
      <c r="S743" s="88"/>
      <c r="T743" s="88"/>
      <c r="U743" s="88"/>
      <c r="V743" s="88" t="s">
        <v>2452</v>
      </c>
      <c r="W743" s="92" t="s">
        <v>2436</v>
      </c>
      <c r="X743" s="88"/>
    </row>
    <row r="744" spans="1:24" s="63" customFormat="1" ht="32.25" customHeight="1" x14ac:dyDescent="0.2">
      <c r="A744" s="202">
        <v>784</v>
      </c>
      <c r="B744" s="88" t="s">
        <v>279</v>
      </c>
      <c r="C744" s="89">
        <v>784</v>
      </c>
      <c r="D744" s="88" t="str">
        <f t="shared" si="26"/>
        <v>SUPERMIX784</v>
      </c>
      <c r="E744" s="58" t="s">
        <v>2453</v>
      </c>
      <c r="F744" s="58" t="s">
        <v>2454</v>
      </c>
      <c r="G744" s="88" t="s">
        <v>2825</v>
      </c>
      <c r="H744" s="90">
        <v>70340665</v>
      </c>
      <c r="I744" s="90" t="s">
        <v>3787</v>
      </c>
      <c r="J744" s="88" t="s">
        <v>2455</v>
      </c>
      <c r="K744" s="88" t="s">
        <v>1954</v>
      </c>
      <c r="L744" s="91">
        <v>42768</v>
      </c>
      <c r="M744" s="91">
        <v>46616</v>
      </c>
      <c r="N744" s="88">
        <f t="shared" ca="1" si="25"/>
        <v>-429</v>
      </c>
      <c r="O744" s="84" t="str">
        <f ca="1">IF(Tabla1[[#This Row],[|]]&gt;=0,"VENCIDA",IF(Tabla1[[#This Row],[|]]&gt;=-14,"POR VENCER","OK"))</f>
        <v>OK</v>
      </c>
      <c r="P744" s="90" t="s">
        <v>3079</v>
      </c>
      <c r="Q744" s="88" t="s">
        <v>312</v>
      </c>
      <c r="R744" s="88" t="s">
        <v>317</v>
      </c>
      <c r="S744" s="88"/>
      <c r="T744" s="88"/>
      <c r="U744" s="88"/>
      <c r="V744" s="88" t="s">
        <v>2395</v>
      </c>
      <c r="W744" s="92" t="s">
        <v>2776</v>
      </c>
      <c r="X744" s="88" t="s">
        <v>597</v>
      </c>
    </row>
    <row r="745" spans="1:24" s="63" customFormat="1" ht="32.25" customHeight="1" x14ac:dyDescent="0.2">
      <c r="A745" s="202">
        <v>785</v>
      </c>
      <c r="B745" s="88" t="s">
        <v>279</v>
      </c>
      <c r="C745" s="89">
        <v>785</v>
      </c>
      <c r="D745" s="88" t="str">
        <f t="shared" si="26"/>
        <v>SUPERMIX785</v>
      </c>
      <c r="E745" s="58" t="s">
        <v>646</v>
      </c>
      <c r="F745" s="58" t="s">
        <v>647</v>
      </c>
      <c r="G745" s="88" t="s">
        <v>25</v>
      </c>
      <c r="H745" s="90">
        <v>41186979</v>
      </c>
      <c r="I745" s="90" t="s">
        <v>3787</v>
      </c>
      <c r="J745" s="88" t="s">
        <v>648</v>
      </c>
      <c r="K745" s="88" t="s">
        <v>281</v>
      </c>
      <c r="L745" s="91">
        <v>42608</v>
      </c>
      <c r="M745" s="91">
        <v>44754</v>
      </c>
      <c r="N745" s="88">
        <f t="shared" ref="N745:N808" ca="1" si="27">TODAY()-M745</f>
        <v>1433</v>
      </c>
      <c r="O745" s="84" t="str">
        <f ca="1">IF(Tabla1[[#This Row],[|]]&gt;=0,"VENCIDA",IF(Tabla1[[#This Row],[|]]&gt;=-14,"POR VENCER","OK"))</f>
        <v>VENCIDA</v>
      </c>
      <c r="P745" s="90" t="s">
        <v>3346</v>
      </c>
      <c r="Q745" s="88" t="s">
        <v>312</v>
      </c>
      <c r="R745" s="88" t="s">
        <v>317</v>
      </c>
      <c r="S745" s="88"/>
      <c r="T745" s="88"/>
      <c r="U745" s="88"/>
      <c r="V745" s="88" t="s">
        <v>2072</v>
      </c>
      <c r="W745" s="92" t="s">
        <v>2776</v>
      </c>
      <c r="X745" s="88" t="s">
        <v>2819</v>
      </c>
    </row>
    <row r="746" spans="1:24" s="63" customFormat="1" ht="32.25" customHeight="1" x14ac:dyDescent="0.2">
      <c r="A746" s="202">
        <v>786</v>
      </c>
      <c r="B746" s="88" t="s">
        <v>279</v>
      </c>
      <c r="C746" s="89">
        <v>786</v>
      </c>
      <c r="D746" s="88" t="str">
        <f t="shared" si="26"/>
        <v>SUPERMIX786</v>
      </c>
      <c r="E746" s="58" t="s">
        <v>2456</v>
      </c>
      <c r="F746" s="58" t="s">
        <v>874</v>
      </c>
      <c r="G746" s="88" t="s">
        <v>25</v>
      </c>
      <c r="H746" s="90">
        <v>43188679</v>
      </c>
      <c r="I746" s="90" t="s">
        <v>3787</v>
      </c>
      <c r="J746" s="88" t="s">
        <v>2457</v>
      </c>
      <c r="K746" s="88" t="s">
        <v>1954</v>
      </c>
      <c r="L746" s="91">
        <v>41816</v>
      </c>
      <c r="M746" s="91">
        <v>43960</v>
      </c>
      <c r="N746" s="88">
        <f t="shared" ca="1" si="27"/>
        <v>2227</v>
      </c>
      <c r="O746" s="84" t="str">
        <f ca="1">IF(Tabla1[[#This Row],[|]]&gt;=0,"VENCIDA",IF(Tabla1[[#This Row],[|]]&gt;=-14,"POR VENCER","OK"))</f>
        <v>VENCIDA</v>
      </c>
      <c r="P746" s="90" t="s">
        <v>1216</v>
      </c>
      <c r="Q746" s="88" t="s">
        <v>312</v>
      </c>
      <c r="R746" s="88" t="s">
        <v>317</v>
      </c>
      <c r="S746" s="88"/>
      <c r="T746" s="88"/>
      <c r="U746" s="88"/>
      <c r="V746" s="88" t="s">
        <v>2395</v>
      </c>
      <c r="W746" s="92" t="s">
        <v>850</v>
      </c>
      <c r="X746" s="88"/>
    </row>
    <row r="747" spans="1:24" s="63" customFormat="1" ht="32.25" customHeight="1" x14ac:dyDescent="0.2">
      <c r="A747" s="202">
        <v>787</v>
      </c>
      <c r="B747" s="88" t="s">
        <v>279</v>
      </c>
      <c r="C747" s="89">
        <v>787</v>
      </c>
      <c r="D747" s="88" t="str">
        <f t="shared" si="26"/>
        <v>SUPERMIX787</v>
      </c>
      <c r="E747" s="58" t="s">
        <v>2458</v>
      </c>
      <c r="F747" s="58" t="s">
        <v>2459</v>
      </c>
      <c r="G747" s="88" t="s">
        <v>25</v>
      </c>
      <c r="H747" s="90">
        <v>40941386</v>
      </c>
      <c r="I747" s="90" t="s">
        <v>3787</v>
      </c>
      <c r="J747" s="88" t="s">
        <v>2460</v>
      </c>
      <c r="K747" s="88" t="s">
        <v>1954</v>
      </c>
      <c r="L747" s="91">
        <v>38945</v>
      </c>
      <c r="M747" s="91">
        <v>45642</v>
      </c>
      <c r="N747" s="88">
        <f t="shared" ca="1" si="27"/>
        <v>545</v>
      </c>
      <c r="O747" s="84" t="str">
        <f ca="1">IF(Tabla1[[#This Row],[|]]&gt;=0,"VENCIDA",IF(Tabla1[[#This Row],[|]]&gt;=-14,"POR VENCER","OK"))</f>
        <v>VENCIDA</v>
      </c>
      <c r="P747" s="90" t="s">
        <v>2847</v>
      </c>
      <c r="Q747" s="88" t="s">
        <v>312</v>
      </c>
      <c r="R747" s="88" t="s">
        <v>317</v>
      </c>
      <c r="S747" s="88"/>
      <c r="T747" s="88"/>
      <c r="U747" s="88"/>
      <c r="V747" s="88" t="s">
        <v>2395</v>
      </c>
      <c r="W747" s="92" t="s">
        <v>2776</v>
      </c>
      <c r="X747" s="88" t="s">
        <v>597</v>
      </c>
    </row>
    <row r="748" spans="1:24" s="59" customFormat="1" ht="32.25" customHeight="1" x14ac:dyDescent="0.2">
      <c r="A748" s="200">
        <v>788</v>
      </c>
      <c r="B748" s="61" t="s">
        <v>279</v>
      </c>
      <c r="C748" s="87">
        <v>788</v>
      </c>
      <c r="D748" s="61" t="str">
        <f t="shared" si="26"/>
        <v>SUPERMIX788</v>
      </c>
      <c r="E748" s="82" t="s">
        <v>2461</v>
      </c>
      <c r="F748" s="82" t="s">
        <v>2462</v>
      </c>
      <c r="G748" s="61" t="s">
        <v>341</v>
      </c>
      <c r="H748" s="60">
        <v>40103053</v>
      </c>
      <c r="I748" s="60" t="s">
        <v>3787</v>
      </c>
      <c r="J748" s="61" t="s">
        <v>2463</v>
      </c>
      <c r="K748" s="61" t="s">
        <v>343</v>
      </c>
      <c r="L748" s="62">
        <v>39195</v>
      </c>
      <c r="M748" s="62">
        <v>43542</v>
      </c>
      <c r="N748" s="61">
        <f t="shared" ca="1" si="27"/>
        <v>2645</v>
      </c>
      <c r="O748" s="84" t="str">
        <f ca="1">IF(Tabla1[[#This Row],[|]]&gt;=0,"VENCIDA",IF(Tabla1[[#This Row],[|]]&gt;=-14,"POR VENCER","OK"))</f>
        <v>VENCIDA</v>
      </c>
      <c r="P748" s="60" t="s">
        <v>2294</v>
      </c>
      <c r="Q748" s="61" t="s">
        <v>312</v>
      </c>
      <c r="R748" s="61" t="s">
        <v>317</v>
      </c>
      <c r="S748" s="61"/>
      <c r="T748" s="61"/>
      <c r="U748" s="61"/>
      <c r="V748" s="61" t="s">
        <v>334</v>
      </c>
      <c r="W748" s="86" t="s">
        <v>938</v>
      </c>
      <c r="X748" s="61"/>
    </row>
    <row r="749" spans="1:24" s="63" customFormat="1" ht="32.25" customHeight="1" x14ac:dyDescent="0.2">
      <c r="A749" s="202">
        <v>789</v>
      </c>
      <c r="B749" s="88" t="s">
        <v>279</v>
      </c>
      <c r="C749" s="89">
        <v>789</v>
      </c>
      <c r="D749" s="88" t="str">
        <f t="shared" si="26"/>
        <v>SUPERMIX789</v>
      </c>
      <c r="E749" s="58" t="s">
        <v>2464</v>
      </c>
      <c r="F749" s="58" t="s">
        <v>277</v>
      </c>
      <c r="G749" s="88" t="s">
        <v>25</v>
      </c>
      <c r="H749" s="90">
        <v>43212927</v>
      </c>
      <c r="I749" s="90" t="s">
        <v>3787</v>
      </c>
      <c r="J749" s="88" t="s">
        <v>2465</v>
      </c>
      <c r="K749" s="88" t="s">
        <v>281</v>
      </c>
      <c r="L749" s="91">
        <v>42460</v>
      </c>
      <c r="M749" s="91">
        <v>43555</v>
      </c>
      <c r="N749" s="88">
        <f t="shared" ca="1" si="27"/>
        <v>2632</v>
      </c>
      <c r="O749" s="84" t="str">
        <f ca="1">IF(Tabla1[[#This Row],[|]]&gt;=0,"VENCIDA",IF(Tabla1[[#This Row],[|]]&gt;=-14,"POR VENCER","OK"))</f>
        <v>VENCIDA</v>
      </c>
      <c r="P749" s="90" t="s">
        <v>1216</v>
      </c>
      <c r="Q749" s="88" t="s">
        <v>312</v>
      </c>
      <c r="R749" s="88" t="s">
        <v>317</v>
      </c>
      <c r="S749" s="88"/>
      <c r="T749" s="88"/>
      <c r="U749" s="88"/>
      <c r="V749" s="88" t="s">
        <v>2395</v>
      </c>
      <c r="W749" s="92" t="s">
        <v>850</v>
      </c>
      <c r="X749" s="88"/>
    </row>
    <row r="750" spans="1:24" s="45" customFormat="1" ht="32.25" customHeight="1" x14ac:dyDescent="0.2">
      <c r="A750" s="212">
        <v>790</v>
      </c>
      <c r="B750" s="121" t="s">
        <v>279</v>
      </c>
      <c r="C750" s="139">
        <v>790</v>
      </c>
      <c r="D750" s="121" t="str">
        <f t="shared" si="26"/>
        <v>SUPERMIX790</v>
      </c>
      <c r="E750" s="140" t="s">
        <v>2466</v>
      </c>
      <c r="F750" s="140" t="s">
        <v>2467</v>
      </c>
      <c r="G750" s="121" t="s">
        <v>25</v>
      </c>
      <c r="H750" s="120">
        <v>42391901</v>
      </c>
      <c r="I750" s="120" t="s">
        <v>3787</v>
      </c>
      <c r="J750" s="121" t="s">
        <v>2468</v>
      </c>
      <c r="K750" s="121" t="s">
        <v>281</v>
      </c>
      <c r="L750" s="141">
        <v>42019</v>
      </c>
      <c r="M750" s="141">
        <v>45844</v>
      </c>
      <c r="N750" s="121">
        <f t="shared" ca="1" si="27"/>
        <v>343</v>
      </c>
      <c r="O750" s="142" t="str">
        <f ca="1">IF(Tabla1[[#This Row],[|]]&gt;=0,"VENCIDA",IF(Tabla1[[#This Row],[|]]&gt;=-14,"POR VENCER","OK"))</f>
        <v>VENCIDA</v>
      </c>
      <c r="P750" s="120" t="s">
        <v>3946</v>
      </c>
      <c r="Q750" s="121" t="s">
        <v>312</v>
      </c>
      <c r="R750" s="121" t="s">
        <v>317</v>
      </c>
      <c r="S750" s="88"/>
      <c r="T750" s="88"/>
      <c r="U750" s="88"/>
      <c r="V750" s="121" t="s">
        <v>2395</v>
      </c>
      <c r="W750" s="122" t="s">
        <v>850</v>
      </c>
      <c r="X750" s="121" t="s">
        <v>597</v>
      </c>
    </row>
    <row r="751" spans="1:24" s="63" customFormat="1" ht="32.25" customHeight="1" x14ac:dyDescent="0.2">
      <c r="A751" s="202">
        <v>791</v>
      </c>
      <c r="B751" s="88" t="s">
        <v>279</v>
      </c>
      <c r="C751" s="89">
        <v>791</v>
      </c>
      <c r="D751" s="88" t="str">
        <f t="shared" si="26"/>
        <v>SUPERMIX791</v>
      </c>
      <c r="E751" s="58" t="s">
        <v>2469</v>
      </c>
      <c r="F751" s="58" t="s">
        <v>2470</v>
      </c>
      <c r="G751" s="88" t="s">
        <v>25</v>
      </c>
      <c r="H751" s="90">
        <v>29437302</v>
      </c>
      <c r="I751" s="90" t="s">
        <v>3787</v>
      </c>
      <c r="J751" s="88" t="s">
        <v>2471</v>
      </c>
      <c r="K751" s="88" t="s">
        <v>281</v>
      </c>
      <c r="L751" s="91">
        <v>30427</v>
      </c>
      <c r="M751" s="91">
        <v>43518</v>
      </c>
      <c r="N751" s="88">
        <f t="shared" ca="1" si="27"/>
        <v>2669</v>
      </c>
      <c r="O751" s="84" t="str">
        <f ca="1">IF(Tabla1[[#This Row],[|]]&gt;=0,"VENCIDA",IF(Tabla1[[#This Row],[|]]&gt;=-14,"POR VENCER","OK"))</f>
        <v>VENCIDA</v>
      </c>
      <c r="P751" s="90" t="s">
        <v>2472</v>
      </c>
      <c r="Q751" s="88" t="s">
        <v>312</v>
      </c>
      <c r="R751" s="88" t="s">
        <v>317</v>
      </c>
      <c r="S751" s="88"/>
      <c r="T751" s="88"/>
      <c r="U751" s="88"/>
      <c r="V751" s="88" t="s">
        <v>2395</v>
      </c>
      <c r="W751" s="92" t="s">
        <v>850</v>
      </c>
      <c r="X751" s="88"/>
    </row>
    <row r="752" spans="1:24" s="63" customFormat="1" ht="32.25" customHeight="1" x14ac:dyDescent="0.2">
      <c r="A752" s="202">
        <v>792</v>
      </c>
      <c r="B752" s="88" t="s">
        <v>279</v>
      </c>
      <c r="C752" s="89">
        <v>792</v>
      </c>
      <c r="D752" s="88" t="str">
        <f t="shared" si="26"/>
        <v>SUPERMIX792</v>
      </c>
      <c r="E752" s="58" t="s">
        <v>2473</v>
      </c>
      <c r="F752" s="58" t="s">
        <v>2474</v>
      </c>
      <c r="G752" s="88" t="s">
        <v>25</v>
      </c>
      <c r="H752" s="90">
        <v>41960242</v>
      </c>
      <c r="I752" s="90" t="s">
        <v>3787</v>
      </c>
      <c r="J752" s="88" t="s">
        <v>2475</v>
      </c>
      <c r="K752" s="88" t="s">
        <v>1954</v>
      </c>
      <c r="L752" s="91">
        <v>41893</v>
      </c>
      <c r="M752" s="91">
        <v>44031</v>
      </c>
      <c r="N752" s="88">
        <f t="shared" ca="1" si="27"/>
        <v>2156</v>
      </c>
      <c r="O752" s="84" t="str">
        <f ca="1">IF(Tabla1[[#This Row],[|]]&gt;=0,"VENCIDA",IF(Tabla1[[#This Row],[|]]&gt;=-14,"POR VENCER","OK"))</f>
        <v>VENCIDA</v>
      </c>
      <c r="P752" s="90" t="s">
        <v>2948</v>
      </c>
      <c r="Q752" s="88" t="s">
        <v>312</v>
      </c>
      <c r="R752" s="88" t="s">
        <v>317</v>
      </c>
      <c r="S752" s="88"/>
      <c r="T752" s="88"/>
      <c r="U752" s="88"/>
      <c r="V752" s="88" t="s">
        <v>2395</v>
      </c>
      <c r="W752" s="92" t="s">
        <v>2776</v>
      </c>
      <c r="X752" s="88" t="s">
        <v>597</v>
      </c>
    </row>
    <row r="753" spans="1:24" s="63" customFormat="1" ht="32.25" customHeight="1" x14ac:dyDescent="0.2">
      <c r="A753" s="202">
        <v>793</v>
      </c>
      <c r="B753" s="88" t="s">
        <v>279</v>
      </c>
      <c r="C753" s="89">
        <v>793</v>
      </c>
      <c r="D753" s="88" t="str">
        <f t="shared" si="26"/>
        <v>SUPERMIX793</v>
      </c>
      <c r="E753" s="58" t="s">
        <v>2476</v>
      </c>
      <c r="F753" s="58" t="s">
        <v>642</v>
      </c>
      <c r="G753" s="88" t="s">
        <v>25</v>
      </c>
      <c r="H753" s="90">
        <v>47437992</v>
      </c>
      <c r="I753" s="90" t="s">
        <v>3787</v>
      </c>
      <c r="J753" s="88" t="s">
        <v>2492</v>
      </c>
      <c r="K753" s="88" t="s">
        <v>1961</v>
      </c>
      <c r="L753" s="91">
        <v>41978</v>
      </c>
      <c r="M753" s="91">
        <v>44128</v>
      </c>
      <c r="N753" s="88">
        <f t="shared" ca="1" si="27"/>
        <v>2059</v>
      </c>
      <c r="O753" s="84" t="str">
        <f ca="1">IF(Tabla1[[#This Row],[|]]&gt;=0,"VENCIDA",IF(Tabla1[[#This Row],[|]]&gt;=-14,"POR VENCER","OK"))</f>
        <v>VENCIDA</v>
      </c>
      <c r="P753" s="90" t="s">
        <v>2907</v>
      </c>
      <c r="Q753" s="88" t="s">
        <v>312</v>
      </c>
      <c r="R753" s="88" t="s">
        <v>17</v>
      </c>
      <c r="S753" s="88"/>
      <c r="T753" s="88"/>
      <c r="U753" s="88"/>
      <c r="V753" s="88" t="s">
        <v>2395</v>
      </c>
      <c r="W753" s="92" t="s">
        <v>850</v>
      </c>
      <c r="X753" s="88" t="s">
        <v>321</v>
      </c>
    </row>
    <row r="754" spans="1:24" s="63" customFormat="1" ht="32.25" customHeight="1" x14ac:dyDescent="0.2">
      <c r="A754" s="202">
        <v>794</v>
      </c>
      <c r="B754" s="88" t="s">
        <v>279</v>
      </c>
      <c r="C754" s="89">
        <v>794</v>
      </c>
      <c r="D754" s="88" t="str">
        <f t="shared" si="26"/>
        <v>SUPERMIX794</v>
      </c>
      <c r="E754" s="58" t="s">
        <v>2477</v>
      </c>
      <c r="F754" s="58" t="s">
        <v>2478</v>
      </c>
      <c r="G754" s="88" t="s">
        <v>25</v>
      </c>
      <c r="H754" s="90">
        <v>45146008</v>
      </c>
      <c r="I754" s="90" t="s">
        <v>3787</v>
      </c>
      <c r="J754" s="88" t="s">
        <v>2479</v>
      </c>
      <c r="K754" s="88" t="s">
        <v>281</v>
      </c>
      <c r="L754" s="91">
        <v>42289</v>
      </c>
      <c r="M754" s="91">
        <v>44605</v>
      </c>
      <c r="N754" s="88">
        <f t="shared" ca="1" si="27"/>
        <v>1582</v>
      </c>
      <c r="O754" s="84" t="str">
        <f ca="1">IF(Tabla1[[#This Row],[|]]&gt;=0,"VENCIDA",IF(Tabla1[[#This Row],[|]]&gt;=-14,"POR VENCER","OK"))</f>
        <v>VENCIDA</v>
      </c>
      <c r="P754" s="90" t="s">
        <v>3079</v>
      </c>
      <c r="Q754" s="88" t="s">
        <v>312</v>
      </c>
      <c r="R754" s="88" t="s">
        <v>17</v>
      </c>
      <c r="S754" s="88"/>
      <c r="T754" s="88"/>
      <c r="U754" s="88"/>
      <c r="V754" s="88" t="s">
        <v>2395</v>
      </c>
      <c r="W754" s="92" t="s">
        <v>2776</v>
      </c>
      <c r="X754" s="88" t="s">
        <v>597</v>
      </c>
    </row>
    <row r="755" spans="1:24" s="43" customFormat="1" ht="32.25" customHeight="1" x14ac:dyDescent="0.2">
      <c r="A755" s="42">
        <v>795</v>
      </c>
      <c r="B755" s="93" t="s">
        <v>279</v>
      </c>
      <c r="C755" s="94">
        <v>795</v>
      </c>
      <c r="D755" s="93" t="str">
        <f t="shared" si="26"/>
        <v>SUPERMIX795</v>
      </c>
      <c r="E755" s="115" t="s">
        <v>1308</v>
      </c>
      <c r="F755" s="115" t="s">
        <v>1309</v>
      </c>
      <c r="G755" s="93" t="s">
        <v>2825</v>
      </c>
      <c r="H755" s="95">
        <v>80034963</v>
      </c>
      <c r="I755" s="95" t="s">
        <v>3788</v>
      </c>
      <c r="J755" s="93" t="s">
        <v>1311</v>
      </c>
      <c r="K755" s="93" t="s">
        <v>3443</v>
      </c>
      <c r="L755" s="96">
        <v>42314</v>
      </c>
      <c r="M755" s="96">
        <v>46377</v>
      </c>
      <c r="N755" s="93">
        <f t="shared" ca="1" si="27"/>
        <v>-190</v>
      </c>
      <c r="O755" s="84" t="str">
        <f ca="1">IF(Tabla1[[#This Row],[|]]&gt;=0,"VENCIDA",IF(Tabla1[[#This Row],[|]]&gt;=-14,"POR VENCER","OK"))</f>
        <v>OK</v>
      </c>
      <c r="P755" s="95" t="s">
        <v>4030</v>
      </c>
      <c r="Q755" s="93" t="s">
        <v>312</v>
      </c>
      <c r="R755" s="93" t="s">
        <v>17</v>
      </c>
      <c r="S755" s="93"/>
      <c r="T755" s="93"/>
      <c r="U755" s="93"/>
      <c r="V755" s="93" t="s">
        <v>2480</v>
      </c>
      <c r="W755" s="97" t="s">
        <v>2776</v>
      </c>
      <c r="X755" s="93" t="s">
        <v>2819</v>
      </c>
    </row>
    <row r="756" spans="1:24" s="63" customFormat="1" ht="32.25" customHeight="1" x14ac:dyDescent="0.2">
      <c r="A756" s="202">
        <v>796</v>
      </c>
      <c r="B756" s="88" t="s">
        <v>279</v>
      </c>
      <c r="C756" s="89">
        <v>796</v>
      </c>
      <c r="D756" s="88" t="str">
        <f t="shared" si="26"/>
        <v>SUPERMIX796</v>
      </c>
      <c r="E756" s="58" t="s">
        <v>2481</v>
      </c>
      <c r="F756" s="58" t="s">
        <v>1676</v>
      </c>
      <c r="G756" s="88" t="s">
        <v>310</v>
      </c>
      <c r="H756" s="90">
        <v>23886936</v>
      </c>
      <c r="I756" s="90" t="s">
        <v>3787</v>
      </c>
      <c r="J756" s="88" t="s">
        <v>2482</v>
      </c>
      <c r="K756" s="88" t="s">
        <v>281</v>
      </c>
      <c r="L756" s="91">
        <v>29406</v>
      </c>
      <c r="M756" s="91">
        <v>43681</v>
      </c>
      <c r="N756" s="88">
        <f t="shared" ca="1" si="27"/>
        <v>2506</v>
      </c>
      <c r="O756" s="84" t="str">
        <f ca="1">IF(Tabla1[[#This Row],[|]]&gt;=0,"VENCIDA",IF(Tabla1[[#This Row],[|]]&gt;=-14,"POR VENCER","OK"))</f>
        <v>VENCIDA</v>
      </c>
      <c r="P756" s="90" t="s">
        <v>1356</v>
      </c>
      <c r="Q756" s="88" t="s">
        <v>312</v>
      </c>
      <c r="R756" s="88" t="s">
        <v>317</v>
      </c>
      <c r="S756" s="88"/>
      <c r="T756" s="88"/>
      <c r="U756" s="88"/>
      <c r="V756" s="88" t="s">
        <v>2480</v>
      </c>
      <c r="W756" s="92" t="s">
        <v>850</v>
      </c>
      <c r="X756" s="88"/>
    </row>
    <row r="757" spans="1:24" s="63" customFormat="1" ht="32.25" customHeight="1" x14ac:dyDescent="0.2">
      <c r="A757" s="202">
        <v>797</v>
      </c>
      <c r="B757" s="88" t="s">
        <v>279</v>
      </c>
      <c r="C757" s="89">
        <v>797</v>
      </c>
      <c r="D757" s="88" t="str">
        <f t="shared" si="26"/>
        <v>SUPERMIX797</v>
      </c>
      <c r="E757" s="58" t="s">
        <v>2483</v>
      </c>
      <c r="F757" s="58" t="s">
        <v>2484</v>
      </c>
      <c r="G757" s="88" t="s">
        <v>25</v>
      </c>
      <c r="H757" s="90">
        <v>43195229</v>
      </c>
      <c r="I757" s="90" t="s">
        <v>3787</v>
      </c>
      <c r="J757" s="88" t="s">
        <v>2485</v>
      </c>
      <c r="K757" s="88" t="s">
        <v>3142</v>
      </c>
      <c r="L757" s="91">
        <v>42821</v>
      </c>
      <c r="M757" s="91">
        <v>47196</v>
      </c>
      <c r="N757" s="88">
        <f t="shared" ca="1" si="27"/>
        <v>-1009</v>
      </c>
      <c r="O757" s="84" t="str">
        <f ca="1">IF(Tabla1[[#This Row],[|]]&gt;=0,"VENCIDA",IF(Tabla1[[#This Row],[|]]&gt;=-14,"POR VENCER","OK"))</f>
        <v>OK</v>
      </c>
      <c r="P757" s="90" t="s">
        <v>2827</v>
      </c>
      <c r="Q757" s="88" t="s">
        <v>312</v>
      </c>
      <c r="R757" s="88" t="s">
        <v>17</v>
      </c>
      <c r="S757" s="88"/>
      <c r="T757" s="88"/>
      <c r="U757" s="88"/>
      <c r="V757" s="88" t="s">
        <v>2480</v>
      </c>
      <c r="W757" s="92" t="s">
        <v>2776</v>
      </c>
      <c r="X757" s="88" t="s">
        <v>2870</v>
      </c>
    </row>
    <row r="758" spans="1:24" s="63" customFormat="1" ht="32.25" customHeight="1" x14ac:dyDescent="0.2">
      <c r="A758" s="202">
        <v>798</v>
      </c>
      <c r="B758" s="88" t="s">
        <v>279</v>
      </c>
      <c r="C758" s="89">
        <v>798</v>
      </c>
      <c r="D758" s="88" t="str">
        <f t="shared" si="26"/>
        <v>SUPERMIX798</v>
      </c>
      <c r="E758" s="58" t="s">
        <v>2486</v>
      </c>
      <c r="F758" s="58" t="s">
        <v>2487</v>
      </c>
      <c r="G758" s="88" t="s">
        <v>310</v>
      </c>
      <c r="H758" s="90">
        <v>45314535</v>
      </c>
      <c r="I758" s="90" t="s">
        <v>3787</v>
      </c>
      <c r="J758" s="88" t="s">
        <v>2488</v>
      </c>
      <c r="K758" s="88" t="s">
        <v>281</v>
      </c>
      <c r="L758" s="91">
        <v>42303</v>
      </c>
      <c r="M758" s="91">
        <v>43399</v>
      </c>
      <c r="N758" s="88">
        <f t="shared" ca="1" si="27"/>
        <v>2788</v>
      </c>
      <c r="O758" s="84" t="str">
        <f ca="1">IF(Tabla1[[#This Row],[|]]&gt;=0,"VENCIDA",IF(Tabla1[[#This Row],[|]]&gt;=-14,"POR VENCER","OK"))</f>
        <v>VENCIDA</v>
      </c>
      <c r="P758" s="90" t="s">
        <v>1356</v>
      </c>
      <c r="Q758" s="88" t="s">
        <v>312</v>
      </c>
      <c r="R758" s="88" t="s">
        <v>317</v>
      </c>
      <c r="S758" s="88"/>
      <c r="T758" s="88"/>
      <c r="U758" s="88"/>
      <c r="V758" s="88" t="s">
        <v>2480</v>
      </c>
      <c r="W758" s="92" t="s">
        <v>850</v>
      </c>
      <c r="X758" s="88"/>
    </row>
    <row r="759" spans="1:24" s="63" customFormat="1" ht="32.25" customHeight="1" x14ac:dyDescent="0.2">
      <c r="A759" s="202">
        <v>799</v>
      </c>
      <c r="B759" s="88" t="s">
        <v>279</v>
      </c>
      <c r="C759" s="89">
        <v>799</v>
      </c>
      <c r="D759" s="88" t="str">
        <f t="shared" si="26"/>
        <v>SUPERMIX799</v>
      </c>
      <c r="E759" s="58" t="s">
        <v>2489</v>
      </c>
      <c r="F759" s="58" t="s">
        <v>2490</v>
      </c>
      <c r="G759" s="88" t="s">
        <v>25</v>
      </c>
      <c r="H759" s="90">
        <v>16795395</v>
      </c>
      <c r="I759" s="90" t="s">
        <v>3787</v>
      </c>
      <c r="J759" s="88" t="s">
        <v>2491</v>
      </c>
      <c r="K759" s="88" t="s">
        <v>1954</v>
      </c>
      <c r="L759" s="91">
        <v>41775</v>
      </c>
      <c r="M759" s="91">
        <v>43975</v>
      </c>
      <c r="N759" s="88">
        <f t="shared" ca="1" si="27"/>
        <v>2212</v>
      </c>
      <c r="O759" s="84" t="str">
        <f ca="1">IF(Tabla1[[#This Row],[|]]&gt;=0,"VENCIDA",IF(Tabla1[[#This Row],[|]]&gt;=-14,"POR VENCER","OK"))</f>
        <v>VENCIDA</v>
      </c>
      <c r="P759" s="90" t="s">
        <v>624</v>
      </c>
      <c r="Q759" s="88" t="s">
        <v>312</v>
      </c>
      <c r="R759" s="88" t="s">
        <v>17</v>
      </c>
      <c r="S759" s="88"/>
      <c r="T759" s="88"/>
      <c r="U759" s="88"/>
      <c r="V759" s="88" t="s">
        <v>2298</v>
      </c>
      <c r="W759" s="92" t="s">
        <v>299</v>
      </c>
      <c r="X759" s="88"/>
    </row>
    <row r="760" spans="1:24" s="59" customFormat="1" ht="32.25" customHeight="1" x14ac:dyDescent="0.2">
      <c r="A760" s="200">
        <v>800</v>
      </c>
      <c r="B760" s="61" t="s">
        <v>279</v>
      </c>
      <c r="C760" s="87">
        <v>800</v>
      </c>
      <c r="D760" s="61" t="str">
        <f t="shared" si="26"/>
        <v>SUPERMIX800</v>
      </c>
      <c r="E760" s="82" t="s">
        <v>2493</v>
      </c>
      <c r="F760" s="82" t="s">
        <v>2494</v>
      </c>
      <c r="G760" s="61" t="s">
        <v>341</v>
      </c>
      <c r="H760" s="60">
        <v>42687467</v>
      </c>
      <c r="I760" s="60" t="s">
        <v>3787</v>
      </c>
      <c r="J760" s="61" t="s">
        <v>2495</v>
      </c>
      <c r="K760" s="61" t="s">
        <v>281</v>
      </c>
      <c r="L760" s="62">
        <v>42516</v>
      </c>
      <c r="M760" s="62">
        <v>43611</v>
      </c>
      <c r="N760" s="61">
        <f t="shared" ca="1" si="27"/>
        <v>2576</v>
      </c>
      <c r="O760" s="84" t="str">
        <f ca="1">IF(Tabla1[[#This Row],[|]]&gt;=0,"VENCIDA",IF(Tabla1[[#This Row],[|]]&gt;=-14,"POR VENCER","OK"))</f>
        <v>VENCIDA</v>
      </c>
      <c r="P760" s="60" t="s">
        <v>624</v>
      </c>
      <c r="Q760" s="61" t="s">
        <v>312</v>
      </c>
      <c r="R760" s="61" t="s">
        <v>317</v>
      </c>
      <c r="S760" s="61"/>
      <c r="T760" s="61"/>
      <c r="U760" s="61"/>
      <c r="V760" s="61" t="s">
        <v>2298</v>
      </c>
      <c r="W760" s="86" t="s">
        <v>299</v>
      </c>
      <c r="X760" s="61"/>
    </row>
    <row r="761" spans="1:24" s="63" customFormat="1" ht="32.25" customHeight="1" x14ac:dyDescent="0.2">
      <c r="A761" s="202">
        <v>801</v>
      </c>
      <c r="B761" s="88" t="s">
        <v>279</v>
      </c>
      <c r="C761" s="89">
        <v>801</v>
      </c>
      <c r="D761" s="88" t="str">
        <f t="shared" si="26"/>
        <v>SUPERMIX801</v>
      </c>
      <c r="E761" s="58" t="s">
        <v>2496</v>
      </c>
      <c r="F761" s="58" t="s">
        <v>2497</v>
      </c>
      <c r="G761" s="88" t="s">
        <v>310</v>
      </c>
      <c r="H761" s="90">
        <v>45195975</v>
      </c>
      <c r="I761" s="90" t="s">
        <v>3787</v>
      </c>
      <c r="J761" s="88" t="s">
        <v>2498</v>
      </c>
      <c r="K761" s="88" t="s">
        <v>281</v>
      </c>
      <c r="L761" s="91">
        <v>42472</v>
      </c>
      <c r="M761" s="91">
        <v>44621</v>
      </c>
      <c r="N761" s="88">
        <f t="shared" ca="1" si="27"/>
        <v>1566</v>
      </c>
      <c r="O761" s="84" t="str">
        <f ca="1">IF(Tabla1[[#This Row],[|]]&gt;=0,"VENCIDA",IF(Tabla1[[#This Row],[|]]&gt;=-14,"POR VENCER","OK"))</f>
        <v>VENCIDA</v>
      </c>
      <c r="P761" s="90" t="s">
        <v>2848</v>
      </c>
      <c r="Q761" s="88" t="s">
        <v>312</v>
      </c>
      <c r="R761" s="88" t="s">
        <v>17</v>
      </c>
      <c r="S761" s="88"/>
      <c r="T761" s="88"/>
      <c r="U761" s="88"/>
      <c r="V761" s="88" t="s">
        <v>2298</v>
      </c>
      <c r="W761" s="92" t="s">
        <v>2772</v>
      </c>
      <c r="X761" s="88" t="s">
        <v>3038</v>
      </c>
    </row>
    <row r="762" spans="1:24" s="63" customFormat="1" ht="32.25" customHeight="1" x14ac:dyDescent="0.2">
      <c r="A762" s="202">
        <v>802</v>
      </c>
      <c r="B762" s="88" t="s">
        <v>279</v>
      </c>
      <c r="C762" s="89">
        <v>802</v>
      </c>
      <c r="D762" s="88" t="str">
        <f t="shared" si="26"/>
        <v>SUPERMIX802</v>
      </c>
      <c r="E762" s="58" t="s">
        <v>2499</v>
      </c>
      <c r="F762" s="58" t="s">
        <v>2500</v>
      </c>
      <c r="G762" s="88" t="s">
        <v>25</v>
      </c>
      <c r="H762" s="90">
        <v>43992282</v>
      </c>
      <c r="I762" s="90" t="s">
        <v>3787</v>
      </c>
      <c r="J762" s="88" t="s">
        <v>2501</v>
      </c>
      <c r="K762" s="88" t="s">
        <v>281</v>
      </c>
      <c r="L762" s="91">
        <v>41936</v>
      </c>
      <c r="M762" s="91">
        <v>44137</v>
      </c>
      <c r="N762" s="88">
        <f t="shared" ca="1" si="27"/>
        <v>2050</v>
      </c>
      <c r="O762" s="84" t="str">
        <f ca="1">IF(Tabla1[[#This Row],[|]]&gt;=0,"VENCIDA",IF(Tabla1[[#This Row],[|]]&gt;=-14,"POR VENCER","OK"))</f>
        <v>VENCIDA</v>
      </c>
      <c r="P762" s="90" t="s">
        <v>2622</v>
      </c>
      <c r="Q762" s="88" t="s">
        <v>312</v>
      </c>
      <c r="R762" s="88" t="s">
        <v>317</v>
      </c>
      <c r="S762" s="88"/>
      <c r="T762" s="88"/>
      <c r="U762" s="88"/>
      <c r="V762" s="88" t="s">
        <v>2298</v>
      </c>
      <c r="W762" s="92" t="s">
        <v>299</v>
      </c>
      <c r="X762" s="88"/>
    </row>
    <row r="763" spans="1:24" s="63" customFormat="1" ht="32.25" customHeight="1" x14ac:dyDescent="0.2">
      <c r="A763" s="202">
        <v>803</v>
      </c>
      <c r="B763" s="88" t="s">
        <v>279</v>
      </c>
      <c r="C763" s="89">
        <v>803</v>
      </c>
      <c r="D763" s="88" t="str">
        <f t="shared" si="26"/>
        <v>SUPERMIX803</v>
      </c>
      <c r="E763" s="58" t="s">
        <v>2502</v>
      </c>
      <c r="F763" s="58" t="s">
        <v>570</v>
      </c>
      <c r="G763" s="88" t="s">
        <v>25</v>
      </c>
      <c r="H763" s="90">
        <v>45596708</v>
      </c>
      <c r="I763" s="90" t="s">
        <v>3787</v>
      </c>
      <c r="J763" s="88" t="s">
        <v>2503</v>
      </c>
      <c r="K763" s="88" t="s">
        <v>1961</v>
      </c>
      <c r="L763" s="91">
        <v>41536</v>
      </c>
      <c r="M763" s="91">
        <v>43741</v>
      </c>
      <c r="N763" s="88">
        <f t="shared" ca="1" si="27"/>
        <v>2446</v>
      </c>
      <c r="O763" s="84" t="str">
        <f ca="1">IF(Tabla1[[#This Row],[|]]&gt;=0,"VENCIDA",IF(Tabla1[[#This Row],[|]]&gt;=-14,"POR VENCER","OK"))</f>
        <v>VENCIDA</v>
      </c>
      <c r="P763" s="90" t="s">
        <v>2294</v>
      </c>
      <c r="Q763" s="88" t="s">
        <v>312</v>
      </c>
      <c r="R763" s="88" t="s">
        <v>317</v>
      </c>
      <c r="S763" s="88"/>
      <c r="T763" s="88"/>
      <c r="U763" s="88"/>
      <c r="V763" s="88" t="s">
        <v>2298</v>
      </c>
      <c r="W763" s="92" t="s">
        <v>299</v>
      </c>
      <c r="X763" s="88"/>
    </row>
    <row r="764" spans="1:24" s="63" customFormat="1" ht="32.25" customHeight="1" x14ac:dyDescent="0.2">
      <c r="A764" s="202">
        <v>804</v>
      </c>
      <c r="B764" s="88" t="s">
        <v>279</v>
      </c>
      <c r="C764" s="89">
        <v>804</v>
      </c>
      <c r="D764" s="88" t="str">
        <f t="shared" si="26"/>
        <v>SUPERMIX804</v>
      </c>
      <c r="E764" s="58" t="s">
        <v>2504</v>
      </c>
      <c r="F764" s="58" t="s">
        <v>2505</v>
      </c>
      <c r="G764" s="88" t="s">
        <v>25</v>
      </c>
      <c r="H764" s="90">
        <v>43484938</v>
      </c>
      <c r="I764" s="90" t="s">
        <v>3787</v>
      </c>
      <c r="J764" s="88" t="s">
        <v>2506</v>
      </c>
      <c r="K764" s="88" t="s">
        <v>281</v>
      </c>
      <c r="L764" s="91">
        <v>42527</v>
      </c>
      <c r="M764" s="91">
        <v>43622</v>
      </c>
      <c r="N764" s="88">
        <f t="shared" ca="1" si="27"/>
        <v>2565</v>
      </c>
      <c r="O764" s="84" t="str">
        <f ca="1">IF(Tabla1[[#This Row],[|]]&gt;=0,"VENCIDA",IF(Tabla1[[#This Row],[|]]&gt;=-14,"POR VENCER","OK"))</f>
        <v>VENCIDA</v>
      </c>
      <c r="P764" s="90" t="s">
        <v>760</v>
      </c>
      <c r="Q764" s="88" t="s">
        <v>312</v>
      </c>
      <c r="R764" s="88" t="s">
        <v>317</v>
      </c>
      <c r="S764" s="88"/>
      <c r="T764" s="88"/>
      <c r="U764" s="88"/>
      <c r="V764" s="88" t="s">
        <v>2298</v>
      </c>
      <c r="W764" s="92" t="s">
        <v>299</v>
      </c>
      <c r="X764" s="88"/>
    </row>
    <row r="765" spans="1:24" s="63" customFormat="1" ht="32.25" customHeight="1" x14ac:dyDescent="0.2">
      <c r="A765" s="202">
        <v>805</v>
      </c>
      <c r="B765" s="88" t="s">
        <v>279</v>
      </c>
      <c r="C765" s="89">
        <v>805</v>
      </c>
      <c r="D765" s="88" t="str">
        <f t="shared" si="26"/>
        <v>SUPERMIX805</v>
      </c>
      <c r="E765" s="58" t="s">
        <v>2507</v>
      </c>
      <c r="F765" s="58" t="s">
        <v>2508</v>
      </c>
      <c r="G765" s="88" t="s">
        <v>25</v>
      </c>
      <c r="H765" s="90">
        <v>45257855</v>
      </c>
      <c r="I765" s="90" t="s">
        <v>3787</v>
      </c>
      <c r="J765" s="88" t="s">
        <v>2509</v>
      </c>
      <c r="K765" s="88" t="s">
        <v>1954</v>
      </c>
      <c r="L765" s="91">
        <v>41744</v>
      </c>
      <c r="M765" s="91">
        <v>43936</v>
      </c>
      <c r="N765" s="88">
        <f t="shared" ca="1" si="27"/>
        <v>2251</v>
      </c>
      <c r="O765" s="84" t="str">
        <f ca="1">IF(Tabla1[[#This Row],[|]]&gt;=0,"VENCIDA",IF(Tabla1[[#This Row],[|]]&gt;=-14,"POR VENCER","OK"))</f>
        <v>VENCIDA</v>
      </c>
      <c r="P765" s="90" t="s">
        <v>760</v>
      </c>
      <c r="Q765" s="88" t="s">
        <v>312</v>
      </c>
      <c r="R765" s="88" t="s">
        <v>317</v>
      </c>
      <c r="S765" s="88"/>
      <c r="T765" s="88"/>
      <c r="U765" s="88"/>
      <c r="V765" s="88" t="s">
        <v>2298</v>
      </c>
      <c r="W765" s="92" t="s">
        <v>299</v>
      </c>
      <c r="X765" s="88"/>
    </row>
    <row r="766" spans="1:24" s="63" customFormat="1" ht="32.25" customHeight="1" x14ac:dyDescent="0.2">
      <c r="A766" s="202">
        <v>806</v>
      </c>
      <c r="B766" s="88" t="s">
        <v>279</v>
      </c>
      <c r="C766" s="89">
        <v>806</v>
      </c>
      <c r="D766" s="88" t="str">
        <f t="shared" si="26"/>
        <v>SUPERMIX806</v>
      </c>
      <c r="E766" s="58" t="s">
        <v>1195</v>
      </c>
      <c r="F766" s="58" t="s">
        <v>1196</v>
      </c>
      <c r="G766" s="88" t="s">
        <v>25</v>
      </c>
      <c r="H766" s="90">
        <v>45924938</v>
      </c>
      <c r="I766" s="90" t="s">
        <v>3787</v>
      </c>
      <c r="J766" s="88" t="s">
        <v>1197</v>
      </c>
      <c r="K766" s="88" t="s">
        <v>2092</v>
      </c>
      <c r="L766" s="91">
        <v>41736</v>
      </c>
      <c r="M766" s="91">
        <v>43947</v>
      </c>
      <c r="N766" s="88">
        <f t="shared" ca="1" si="27"/>
        <v>2240</v>
      </c>
      <c r="O766" s="84" t="str">
        <f ca="1">IF(Tabla1[[#This Row],[|]]&gt;=0,"VENCIDA",IF(Tabla1[[#This Row],[|]]&gt;=-14,"POR VENCER","OK"))</f>
        <v>VENCIDA</v>
      </c>
      <c r="P766" s="90" t="s">
        <v>640</v>
      </c>
      <c r="Q766" s="88" t="s">
        <v>312</v>
      </c>
      <c r="R766" s="88" t="s">
        <v>17</v>
      </c>
      <c r="S766" s="88"/>
      <c r="T766" s="88"/>
      <c r="U766" s="88"/>
      <c r="V766" s="88" t="s">
        <v>2298</v>
      </c>
      <c r="W766" s="92" t="s">
        <v>299</v>
      </c>
      <c r="X766" s="88"/>
    </row>
    <row r="767" spans="1:24" s="63" customFormat="1" ht="32.25" customHeight="1" x14ac:dyDescent="0.2">
      <c r="A767" s="202">
        <v>807</v>
      </c>
      <c r="B767" s="88" t="s">
        <v>279</v>
      </c>
      <c r="C767" s="89">
        <v>807</v>
      </c>
      <c r="D767" s="88" t="str">
        <f t="shared" si="26"/>
        <v>SUPERMIX807</v>
      </c>
      <c r="E767" s="58" t="s">
        <v>2510</v>
      </c>
      <c r="F767" s="58" t="s">
        <v>2511</v>
      </c>
      <c r="G767" s="88" t="s">
        <v>25</v>
      </c>
      <c r="H767" s="90">
        <v>46290697</v>
      </c>
      <c r="I767" s="90" t="s">
        <v>3787</v>
      </c>
      <c r="J767" s="88" t="s">
        <v>2512</v>
      </c>
      <c r="K767" s="88" t="s">
        <v>1954</v>
      </c>
      <c r="L767" s="91">
        <v>42836</v>
      </c>
      <c r="M767" s="91">
        <v>43932</v>
      </c>
      <c r="N767" s="88">
        <f t="shared" ca="1" si="27"/>
        <v>2255</v>
      </c>
      <c r="O767" s="84" t="str">
        <f ca="1">IF(Tabla1[[#This Row],[|]]&gt;=0,"VENCIDA",IF(Tabla1[[#This Row],[|]]&gt;=-14,"POR VENCER","OK"))</f>
        <v>VENCIDA</v>
      </c>
      <c r="P767" s="90" t="s">
        <v>640</v>
      </c>
      <c r="Q767" s="88" t="s">
        <v>312</v>
      </c>
      <c r="R767" s="88" t="s">
        <v>317</v>
      </c>
      <c r="S767" s="88"/>
      <c r="T767" s="88"/>
      <c r="U767" s="88"/>
      <c r="V767" s="88" t="s">
        <v>2298</v>
      </c>
      <c r="W767" s="92" t="s">
        <v>299</v>
      </c>
      <c r="X767" s="88"/>
    </row>
    <row r="768" spans="1:24" s="63" customFormat="1" ht="32.25" customHeight="1" x14ac:dyDescent="0.2">
      <c r="A768" s="202">
        <v>808</v>
      </c>
      <c r="B768" s="88" t="s">
        <v>279</v>
      </c>
      <c r="C768" s="89">
        <v>808</v>
      </c>
      <c r="D768" s="88" t="str">
        <f t="shared" si="26"/>
        <v>SUPERMIX808</v>
      </c>
      <c r="E768" s="58" t="s">
        <v>2513</v>
      </c>
      <c r="F768" s="58" t="s">
        <v>2514</v>
      </c>
      <c r="G768" s="88" t="s">
        <v>25</v>
      </c>
      <c r="H768" s="90">
        <v>29661358</v>
      </c>
      <c r="I768" s="90" t="s">
        <v>3787</v>
      </c>
      <c r="J768" s="88" t="s">
        <v>2515</v>
      </c>
      <c r="K768" s="88" t="s">
        <v>281</v>
      </c>
      <c r="L768" s="91">
        <v>42122</v>
      </c>
      <c r="M768" s="91">
        <v>44318</v>
      </c>
      <c r="N768" s="88">
        <f t="shared" ca="1" si="27"/>
        <v>1869</v>
      </c>
      <c r="O768" s="84" t="str">
        <f ca="1">IF(Tabla1[[#This Row],[|]]&gt;=0,"VENCIDA",IF(Tabla1[[#This Row],[|]]&gt;=-14,"POR VENCER","OK"))</f>
        <v>VENCIDA</v>
      </c>
      <c r="P768" s="90" t="s">
        <v>3279</v>
      </c>
      <c r="Q768" s="88" t="s">
        <v>312</v>
      </c>
      <c r="R768" s="88" t="s">
        <v>17</v>
      </c>
      <c r="S768" s="88"/>
      <c r="T768" s="88"/>
      <c r="U768" s="88"/>
      <c r="V768" s="88" t="s">
        <v>2298</v>
      </c>
      <c r="W768" s="92" t="s">
        <v>299</v>
      </c>
      <c r="X768" s="88" t="s">
        <v>760</v>
      </c>
    </row>
    <row r="769" spans="1:24" s="63" customFormat="1" ht="32.25" customHeight="1" x14ac:dyDescent="0.2">
      <c r="A769" s="202">
        <v>809</v>
      </c>
      <c r="B769" s="88" t="s">
        <v>279</v>
      </c>
      <c r="C769" s="89">
        <v>809</v>
      </c>
      <c r="D769" s="88" t="str">
        <f t="shared" si="26"/>
        <v>SUPERMIX809</v>
      </c>
      <c r="E769" s="58" t="s">
        <v>2516</v>
      </c>
      <c r="F769" s="58" t="s">
        <v>2517</v>
      </c>
      <c r="G769" s="88" t="s">
        <v>25</v>
      </c>
      <c r="H769" s="90">
        <v>43178568</v>
      </c>
      <c r="I769" s="90" t="s">
        <v>3787</v>
      </c>
      <c r="J769" s="88" t="s">
        <v>2518</v>
      </c>
      <c r="K769" s="88" t="s">
        <v>293</v>
      </c>
      <c r="L769" s="91">
        <v>41404</v>
      </c>
      <c r="M769" s="91">
        <v>44667</v>
      </c>
      <c r="N769" s="88">
        <f t="shared" ca="1" si="27"/>
        <v>1520</v>
      </c>
      <c r="O769" s="84" t="str">
        <f ca="1">IF(Tabla1[[#This Row],[|]]&gt;=0,"VENCIDA",IF(Tabla1[[#This Row],[|]]&gt;=-14,"POR VENCER","OK"))</f>
        <v>VENCIDA</v>
      </c>
      <c r="P769" s="90" t="s">
        <v>2827</v>
      </c>
      <c r="Q769" s="88" t="s">
        <v>312</v>
      </c>
      <c r="R769" s="88" t="s">
        <v>317</v>
      </c>
      <c r="S769" s="88"/>
      <c r="T769" s="88"/>
      <c r="U769" s="88"/>
      <c r="V769" s="88" t="s">
        <v>334</v>
      </c>
      <c r="W769" s="92" t="s">
        <v>2997</v>
      </c>
      <c r="X769" s="88" t="s">
        <v>2952</v>
      </c>
    </row>
    <row r="770" spans="1:24" s="63" customFormat="1" ht="32.25" customHeight="1" x14ac:dyDescent="0.2">
      <c r="A770" s="202">
        <v>810</v>
      </c>
      <c r="B770" s="88" t="s">
        <v>279</v>
      </c>
      <c r="C770" s="89">
        <v>810</v>
      </c>
      <c r="D770" s="88" t="str">
        <f t="shared" si="26"/>
        <v>SUPERMIX810</v>
      </c>
      <c r="E770" s="58" t="s">
        <v>2520</v>
      </c>
      <c r="F770" s="58" t="s">
        <v>2521</v>
      </c>
      <c r="G770" s="88" t="s">
        <v>25</v>
      </c>
      <c r="H770" s="90">
        <v>43476354</v>
      </c>
      <c r="I770" s="90" t="s">
        <v>3787</v>
      </c>
      <c r="J770" s="88" t="s">
        <v>2522</v>
      </c>
      <c r="K770" s="88" t="s">
        <v>281</v>
      </c>
      <c r="L770" s="91">
        <v>41421</v>
      </c>
      <c r="M770" s="91">
        <v>42517</v>
      </c>
      <c r="N770" s="88">
        <f t="shared" ca="1" si="27"/>
        <v>3670</v>
      </c>
      <c r="O770" s="84" t="str">
        <f ca="1">IF(Tabla1[[#This Row],[|]]&gt;=0,"VENCIDA",IF(Tabla1[[#This Row],[|]]&gt;=-14,"POR VENCER","OK"))</f>
        <v>VENCIDA</v>
      </c>
      <c r="P770" s="90"/>
      <c r="Q770" s="88"/>
      <c r="R770" s="88"/>
      <c r="S770" s="88"/>
      <c r="T770" s="88"/>
      <c r="U770" s="88"/>
      <c r="V770" s="88"/>
      <c r="W770" s="92"/>
      <c r="X770" s="88"/>
    </row>
    <row r="771" spans="1:24" s="63" customFormat="1" ht="32.25" customHeight="1" x14ac:dyDescent="0.2">
      <c r="A771" s="202">
        <v>811</v>
      </c>
      <c r="B771" s="88" t="s">
        <v>279</v>
      </c>
      <c r="C771" s="89">
        <v>811</v>
      </c>
      <c r="D771" s="88" t="str">
        <f t="shared" si="26"/>
        <v>SUPERMIX811</v>
      </c>
      <c r="E771" s="58" t="s">
        <v>2523</v>
      </c>
      <c r="F771" s="58" t="s">
        <v>2524</v>
      </c>
      <c r="G771" s="88" t="s">
        <v>25</v>
      </c>
      <c r="H771" s="90">
        <v>46436204</v>
      </c>
      <c r="I771" s="90" t="s">
        <v>3787</v>
      </c>
      <c r="J771" s="88" t="s">
        <v>2525</v>
      </c>
      <c r="K771" s="88" t="s">
        <v>293</v>
      </c>
      <c r="L771" s="91">
        <v>43103</v>
      </c>
      <c r="M771" s="91">
        <v>44199</v>
      </c>
      <c r="N771" s="88">
        <f t="shared" ca="1" si="27"/>
        <v>1988</v>
      </c>
      <c r="O771" s="84" t="str">
        <f ca="1">IF(Tabla1[[#This Row],[|]]&gt;=0,"VENCIDA",IF(Tabla1[[#This Row],[|]]&gt;=-14,"POR VENCER","OK"))</f>
        <v>VENCIDA</v>
      </c>
      <c r="P771" s="90" t="s">
        <v>760</v>
      </c>
      <c r="Q771" s="88" t="s">
        <v>312</v>
      </c>
      <c r="R771" s="88" t="s">
        <v>317</v>
      </c>
      <c r="S771" s="88"/>
      <c r="T771" s="88"/>
      <c r="U771" s="88"/>
      <c r="V771" s="88" t="s">
        <v>2298</v>
      </c>
      <c r="W771" s="92" t="s">
        <v>299</v>
      </c>
      <c r="X771" s="88"/>
    </row>
    <row r="772" spans="1:24" s="43" customFormat="1" ht="32.25" customHeight="1" x14ac:dyDescent="0.2">
      <c r="A772" s="42">
        <v>812</v>
      </c>
      <c r="B772" s="93" t="s">
        <v>279</v>
      </c>
      <c r="C772" s="94">
        <v>812</v>
      </c>
      <c r="D772" s="93" t="str">
        <f t="shared" si="26"/>
        <v>SUPERMIX812</v>
      </c>
      <c r="E772" s="115" t="s">
        <v>2526</v>
      </c>
      <c r="F772" s="115" t="s">
        <v>2527</v>
      </c>
      <c r="G772" s="93" t="s">
        <v>25</v>
      </c>
      <c r="H772" s="95">
        <v>40854499</v>
      </c>
      <c r="I772" s="95" t="s">
        <v>3788</v>
      </c>
      <c r="J772" s="93" t="s">
        <v>2528</v>
      </c>
      <c r="K772" s="93" t="s">
        <v>281</v>
      </c>
      <c r="L772" s="96">
        <v>42381</v>
      </c>
      <c r="M772" s="117">
        <v>44590</v>
      </c>
      <c r="N772" s="93">
        <f t="shared" ca="1" si="27"/>
        <v>1597</v>
      </c>
      <c r="O772" s="84" t="str">
        <f ca="1">IF(Tabla1[[#This Row],[|]]&gt;=0,"VENCIDA",IF(Tabla1[[#This Row],[|]]&gt;=-14,"POR VENCER","OK"))</f>
        <v>VENCIDA</v>
      </c>
      <c r="P772" s="95" t="s">
        <v>2914</v>
      </c>
      <c r="Q772" s="93" t="s">
        <v>312</v>
      </c>
      <c r="R772" s="93" t="s">
        <v>317</v>
      </c>
      <c r="S772" s="93"/>
      <c r="T772" s="93"/>
      <c r="U772" s="93"/>
      <c r="V772" s="93" t="s">
        <v>2480</v>
      </c>
      <c r="W772" s="97" t="s">
        <v>1112</v>
      </c>
      <c r="X772" s="204" t="s">
        <v>597</v>
      </c>
    </row>
    <row r="773" spans="1:24" s="63" customFormat="1" ht="32.25" customHeight="1" x14ac:dyDescent="0.2">
      <c r="A773" s="202">
        <v>813</v>
      </c>
      <c r="B773" s="88" t="s">
        <v>279</v>
      </c>
      <c r="C773" s="89">
        <v>813</v>
      </c>
      <c r="D773" s="88" t="str">
        <f t="shared" si="26"/>
        <v>SUPERMIX813</v>
      </c>
      <c r="E773" s="58" t="s">
        <v>2529</v>
      </c>
      <c r="F773" s="58" t="s">
        <v>2139</v>
      </c>
      <c r="G773" s="88" t="s">
        <v>25</v>
      </c>
      <c r="H773" s="90">
        <v>42931189</v>
      </c>
      <c r="I773" s="90" t="s">
        <v>3787</v>
      </c>
      <c r="J773" s="88" t="s">
        <v>2530</v>
      </c>
      <c r="K773" s="88" t="s">
        <v>1954</v>
      </c>
      <c r="L773" s="91">
        <v>42677</v>
      </c>
      <c r="M773" s="91">
        <v>43772</v>
      </c>
      <c r="N773" s="88">
        <f t="shared" ca="1" si="27"/>
        <v>2415</v>
      </c>
      <c r="O773" s="84" t="str">
        <f ca="1">IF(Tabla1[[#This Row],[|]]&gt;=0,"VENCIDA",IF(Tabla1[[#This Row],[|]]&gt;=-14,"POR VENCER","OK"))</f>
        <v>VENCIDA</v>
      </c>
      <c r="P773" s="90" t="s">
        <v>1356</v>
      </c>
      <c r="Q773" s="88" t="s">
        <v>312</v>
      </c>
      <c r="R773" s="88" t="s">
        <v>17</v>
      </c>
      <c r="S773" s="88"/>
      <c r="T773" s="88"/>
      <c r="U773" s="88"/>
      <c r="V773" s="88" t="s">
        <v>2480</v>
      </c>
      <c r="W773" s="92" t="s">
        <v>1112</v>
      </c>
      <c r="X773" s="88"/>
    </row>
    <row r="774" spans="1:24" s="63" customFormat="1" ht="32.25" customHeight="1" x14ac:dyDescent="0.2">
      <c r="A774" s="202">
        <v>814</v>
      </c>
      <c r="B774" s="88" t="s">
        <v>279</v>
      </c>
      <c r="C774" s="89">
        <v>814</v>
      </c>
      <c r="D774" s="88" t="str">
        <f t="shared" si="26"/>
        <v>SUPERMIX814</v>
      </c>
      <c r="E774" s="58" t="s">
        <v>2531</v>
      </c>
      <c r="F774" s="58" t="s">
        <v>2532</v>
      </c>
      <c r="G774" s="88" t="s">
        <v>310</v>
      </c>
      <c r="H774" s="90">
        <v>43178609</v>
      </c>
      <c r="I774" s="90" t="s">
        <v>3787</v>
      </c>
      <c r="J774" s="88" t="s">
        <v>2533</v>
      </c>
      <c r="K774" s="88" t="s">
        <v>3142</v>
      </c>
      <c r="L774" s="91">
        <v>40760</v>
      </c>
      <c r="M774" s="91">
        <v>47336</v>
      </c>
      <c r="N774" s="88">
        <f t="shared" ca="1" si="27"/>
        <v>-1149</v>
      </c>
      <c r="O774" s="84" t="str">
        <f ca="1">IF(Tabla1[[#This Row],[|]]&gt;=0,"VENCIDA",IF(Tabla1[[#This Row],[|]]&gt;=-14,"POR VENCER","OK"))</f>
        <v>OK</v>
      </c>
      <c r="P774" s="90" t="s">
        <v>2827</v>
      </c>
      <c r="Q774" s="88" t="s">
        <v>312</v>
      </c>
      <c r="R774" s="88" t="s">
        <v>317</v>
      </c>
      <c r="S774" s="88"/>
      <c r="T774" s="88"/>
      <c r="U774" s="88"/>
      <c r="V774" s="88" t="s">
        <v>831</v>
      </c>
      <c r="W774" s="92" t="s">
        <v>2776</v>
      </c>
      <c r="X774" s="88" t="s">
        <v>3110</v>
      </c>
    </row>
    <row r="775" spans="1:24" s="63" customFormat="1" ht="32.25" customHeight="1" x14ac:dyDescent="0.2">
      <c r="A775" s="202">
        <v>815</v>
      </c>
      <c r="B775" s="88" t="s">
        <v>279</v>
      </c>
      <c r="C775" s="89">
        <v>815</v>
      </c>
      <c r="D775" s="88" t="str">
        <f t="shared" si="26"/>
        <v>SUPERMIX815</v>
      </c>
      <c r="E775" s="58" t="s">
        <v>2535</v>
      </c>
      <c r="F775" s="58" t="s">
        <v>1935</v>
      </c>
      <c r="G775" s="88" t="s">
        <v>25</v>
      </c>
      <c r="H775" s="90">
        <v>48150806</v>
      </c>
      <c r="I775" s="90" t="s">
        <v>3787</v>
      </c>
      <c r="J775" s="88" t="s">
        <v>2536</v>
      </c>
      <c r="K775" s="88" t="s">
        <v>1961</v>
      </c>
      <c r="L775" s="91">
        <v>42779</v>
      </c>
      <c r="M775" s="91">
        <v>43874</v>
      </c>
      <c r="N775" s="88">
        <f t="shared" ca="1" si="27"/>
        <v>2313</v>
      </c>
      <c r="O775" s="84" t="str">
        <f ca="1">IF(Tabla1[[#This Row],[|]]&gt;=0,"VENCIDA",IF(Tabla1[[#This Row],[|]]&gt;=-14,"POR VENCER","OK"))</f>
        <v>VENCIDA</v>
      </c>
      <c r="P775" s="90" t="s">
        <v>3245</v>
      </c>
      <c r="Q775" s="88" t="s">
        <v>312</v>
      </c>
      <c r="R775" s="88" t="s">
        <v>317</v>
      </c>
      <c r="S775" s="88"/>
      <c r="T775" s="88"/>
      <c r="U775" s="88"/>
      <c r="V775" s="88" t="s">
        <v>2537</v>
      </c>
      <c r="W775" s="92" t="s">
        <v>2538</v>
      </c>
      <c r="X775" s="88"/>
    </row>
    <row r="776" spans="1:24" s="63" customFormat="1" ht="32.25" customHeight="1" x14ac:dyDescent="0.2">
      <c r="A776" s="202">
        <v>816</v>
      </c>
      <c r="B776" s="88" t="s">
        <v>279</v>
      </c>
      <c r="C776" s="89">
        <v>816</v>
      </c>
      <c r="D776" s="88" t="str">
        <f t="shared" ref="D776:D839" si="28">CONCATENATE(B776,C776)</f>
        <v>SUPERMIX816</v>
      </c>
      <c r="E776" s="58" t="s">
        <v>2539</v>
      </c>
      <c r="F776" s="58" t="s">
        <v>21</v>
      </c>
      <c r="G776" s="88" t="s">
        <v>25</v>
      </c>
      <c r="H776" s="90">
        <v>42833709</v>
      </c>
      <c r="I776" s="90" t="s">
        <v>3787</v>
      </c>
      <c r="J776" s="88" t="s">
        <v>2540</v>
      </c>
      <c r="K776" s="88" t="s">
        <v>281</v>
      </c>
      <c r="L776" s="91">
        <v>42059</v>
      </c>
      <c r="M776" s="91">
        <v>43155</v>
      </c>
      <c r="N776" s="88">
        <f t="shared" ca="1" si="27"/>
        <v>3032</v>
      </c>
      <c r="O776" s="84" t="str">
        <f ca="1">IF(Tabla1[[#This Row],[|]]&gt;=0,"VENCIDA",IF(Tabla1[[#This Row],[|]]&gt;=-14,"POR VENCER","OK"))</f>
        <v>VENCIDA</v>
      </c>
      <c r="P776" s="90" t="s">
        <v>2541</v>
      </c>
      <c r="Q776" s="88" t="s">
        <v>312</v>
      </c>
      <c r="R776" s="88" t="s">
        <v>317</v>
      </c>
      <c r="S776" s="88"/>
      <c r="T776" s="88"/>
      <c r="U776" s="88"/>
      <c r="V776" s="88" t="s">
        <v>2534</v>
      </c>
      <c r="W776" s="92" t="s">
        <v>525</v>
      </c>
      <c r="X776" s="88"/>
    </row>
    <row r="777" spans="1:24" s="63" customFormat="1" ht="32.25" customHeight="1" x14ac:dyDescent="0.2">
      <c r="A777" s="202">
        <v>817</v>
      </c>
      <c r="B777" s="88" t="s">
        <v>279</v>
      </c>
      <c r="C777" s="89">
        <v>817</v>
      </c>
      <c r="D777" s="88" t="str">
        <f t="shared" si="28"/>
        <v>SUPERMIX817</v>
      </c>
      <c r="E777" s="58" t="s">
        <v>2542</v>
      </c>
      <c r="F777" s="58" t="s">
        <v>2543</v>
      </c>
      <c r="G777" s="88" t="s">
        <v>25</v>
      </c>
      <c r="H777" s="90">
        <v>41644185</v>
      </c>
      <c r="I777" s="90" t="s">
        <v>3787</v>
      </c>
      <c r="J777" s="88" t="s">
        <v>2544</v>
      </c>
      <c r="K777" s="88" t="s">
        <v>1954</v>
      </c>
      <c r="L777" s="91">
        <v>41558</v>
      </c>
      <c r="M777" s="91">
        <v>44829</v>
      </c>
      <c r="N777" s="88">
        <f t="shared" ca="1" si="27"/>
        <v>1358</v>
      </c>
      <c r="O777" s="84" t="str">
        <f ca="1">IF(Tabla1[[#This Row],[|]]&gt;=0,"VENCIDA",IF(Tabla1[[#This Row],[|]]&gt;=-14,"POR VENCER","OK"))</f>
        <v>VENCIDA</v>
      </c>
      <c r="P777" s="90" t="s">
        <v>3017</v>
      </c>
      <c r="Q777" s="88" t="s">
        <v>312</v>
      </c>
      <c r="R777" s="88" t="s">
        <v>317</v>
      </c>
      <c r="S777" s="88"/>
      <c r="T777" s="88"/>
      <c r="U777" s="88"/>
      <c r="V777" s="88" t="s">
        <v>2545</v>
      </c>
      <c r="W777" s="92" t="s">
        <v>2776</v>
      </c>
      <c r="X777" s="88" t="s">
        <v>597</v>
      </c>
    </row>
    <row r="778" spans="1:24" s="43" customFormat="1" ht="32.25" customHeight="1" x14ac:dyDescent="0.2">
      <c r="A778" s="42">
        <v>818</v>
      </c>
      <c r="B778" s="93" t="s">
        <v>279</v>
      </c>
      <c r="C778" s="94">
        <v>818</v>
      </c>
      <c r="D778" s="93" t="str">
        <f t="shared" si="28"/>
        <v>SUPERMIX818</v>
      </c>
      <c r="E778" s="115" t="s">
        <v>2546</v>
      </c>
      <c r="F778" s="115" t="s">
        <v>2547</v>
      </c>
      <c r="G778" s="93" t="s">
        <v>310</v>
      </c>
      <c r="H778" s="95">
        <v>45230891</v>
      </c>
      <c r="I778" s="95" t="s">
        <v>3788</v>
      </c>
      <c r="J778" s="93" t="s">
        <v>2548</v>
      </c>
      <c r="K778" s="93" t="s">
        <v>1954</v>
      </c>
      <c r="L778" s="96">
        <v>42942</v>
      </c>
      <c r="M778" s="96">
        <v>46997</v>
      </c>
      <c r="N778" s="93">
        <f t="shared" ca="1" si="27"/>
        <v>-810</v>
      </c>
      <c r="O778" s="84" t="str">
        <f ca="1">IF(Tabla1[[#This Row],[|]]&gt;=0,"VENCIDA",IF(Tabla1[[#This Row],[|]]&gt;=-14,"POR VENCER","OK"))</f>
        <v>OK</v>
      </c>
      <c r="P778" s="95" t="s">
        <v>2847</v>
      </c>
      <c r="Q778" s="93" t="s">
        <v>312</v>
      </c>
      <c r="R778" s="93" t="s">
        <v>317</v>
      </c>
      <c r="S778" s="93"/>
      <c r="T778" s="93"/>
      <c r="U778" s="93"/>
      <c r="V778" s="93" t="s">
        <v>282</v>
      </c>
      <c r="W778" s="97" t="s">
        <v>2776</v>
      </c>
      <c r="X778" s="204" t="s">
        <v>597</v>
      </c>
    </row>
    <row r="779" spans="1:24" s="59" customFormat="1" ht="32.25" customHeight="1" x14ac:dyDescent="0.2">
      <c r="A779" s="200">
        <v>819</v>
      </c>
      <c r="B779" s="61" t="s">
        <v>279</v>
      </c>
      <c r="C779" s="87">
        <v>819</v>
      </c>
      <c r="D779" s="61" t="str">
        <f t="shared" si="28"/>
        <v>SUPERMIX819</v>
      </c>
      <c r="E779" s="82" t="s">
        <v>2549</v>
      </c>
      <c r="F779" s="82" t="s">
        <v>2550</v>
      </c>
      <c r="G779" s="61" t="s">
        <v>341</v>
      </c>
      <c r="H779" s="60" t="s">
        <v>2551</v>
      </c>
      <c r="I779" s="60" t="s">
        <v>3787</v>
      </c>
      <c r="J779" s="61" t="s">
        <v>2552</v>
      </c>
      <c r="K779" s="61" t="s">
        <v>1961</v>
      </c>
      <c r="L779" s="62">
        <v>38245</v>
      </c>
      <c r="M779" s="62">
        <v>44088</v>
      </c>
      <c r="N779" s="61">
        <f t="shared" ca="1" si="27"/>
        <v>2099</v>
      </c>
      <c r="O779" s="84" t="str">
        <f ca="1">IF(Tabla1[[#This Row],[|]]&gt;=0,"VENCIDA",IF(Tabla1[[#This Row],[|]]&gt;=-14,"POR VENCER","OK"))</f>
        <v>VENCIDA</v>
      </c>
      <c r="P779" s="60" t="s">
        <v>824</v>
      </c>
      <c r="Q779" s="61" t="s">
        <v>312</v>
      </c>
      <c r="R779" s="61" t="s">
        <v>17</v>
      </c>
      <c r="S779" s="61"/>
      <c r="T779" s="61"/>
      <c r="U779" s="61"/>
      <c r="V779" s="61" t="s">
        <v>2036</v>
      </c>
      <c r="W779" s="86" t="s">
        <v>1112</v>
      </c>
      <c r="X779" s="61" t="s">
        <v>2872</v>
      </c>
    </row>
    <row r="780" spans="1:24" s="43" customFormat="1" ht="32.25" customHeight="1" x14ac:dyDescent="0.2">
      <c r="A780" s="42">
        <v>820</v>
      </c>
      <c r="B780" s="93" t="s">
        <v>279</v>
      </c>
      <c r="C780" s="94">
        <v>820</v>
      </c>
      <c r="D780" s="93" t="str">
        <f t="shared" si="28"/>
        <v>SUPERMIX820</v>
      </c>
      <c r="E780" s="115" t="s">
        <v>2553</v>
      </c>
      <c r="F780" s="115" t="s">
        <v>2554</v>
      </c>
      <c r="G780" s="93" t="s">
        <v>25</v>
      </c>
      <c r="H780" s="95">
        <v>29598064</v>
      </c>
      <c r="I780" s="95" t="s">
        <v>3788</v>
      </c>
      <c r="J780" s="93" t="s">
        <v>2555</v>
      </c>
      <c r="K780" s="93" t="s">
        <v>3142</v>
      </c>
      <c r="L780" s="96">
        <v>41396</v>
      </c>
      <c r="M780" s="117">
        <v>47968</v>
      </c>
      <c r="N780" s="93">
        <f t="shared" ca="1" si="27"/>
        <v>-1781</v>
      </c>
      <c r="O780" s="84" t="str">
        <f ca="1">IF(Tabla1[[#This Row],[|]]&gt;=0,"VENCIDA",IF(Tabla1[[#This Row],[|]]&gt;=-14,"POR VENCER","OK"))</f>
        <v>OK</v>
      </c>
      <c r="P780" s="95" t="s">
        <v>2294</v>
      </c>
      <c r="Q780" s="93" t="s">
        <v>312</v>
      </c>
      <c r="R780" s="93" t="s">
        <v>17</v>
      </c>
      <c r="S780" s="93"/>
      <c r="T780" s="93"/>
      <c r="U780" s="93"/>
      <c r="V780" s="93" t="s">
        <v>831</v>
      </c>
      <c r="W780" s="97" t="s">
        <v>832</v>
      </c>
      <c r="X780" s="93" t="s">
        <v>3836</v>
      </c>
    </row>
    <row r="781" spans="1:24" s="63" customFormat="1" ht="32.25" customHeight="1" x14ac:dyDescent="0.2">
      <c r="A781" s="202">
        <v>821</v>
      </c>
      <c r="B781" s="88" t="s">
        <v>279</v>
      </c>
      <c r="C781" s="89">
        <v>821</v>
      </c>
      <c r="D781" s="88" t="str">
        <f t="shared" si="28"/>
        <v>SUPERMIX821</v>
      </c>
      <c r="E781" s="58" t="s">
        <v>1783</v>
      </c>
      <c r="F781" s="58" t="s">
        <v>1784</v>
      </c>
      <c r="G781" s="88" t="s">
        <v>25</v>
      </c>
      <c r="H781" s="90">
        <v>41440210</v>
      </c>
      <c r="I781" s="90" t="s">
        <v>3787</v>
      </c>
      <c r="J781" s="88" t="s">
        <v>1785</v>
      </c>
      <c r="K781" s="88" t="s">
        <v>281</v>
      </c>
      <c r="L781" s="91">
        <v>42391</v>
      </c>
      <c r="M781" s="91">
        <v>44634</v>
      </c>
      <c r="N781" s="88">
        <f t="shared" ca="1" si="27"/>
        <v>1553</v>
      </c>
      <c r="O781" s="84" t="str">
        <f ca="1">IF(Tabla1[[#This Row],[|]]&gt;=0,"VENCIDA",IF(Tabla1[[#This Row],[|]]&gt;=-14,"POR VENCER","OK"))</f>
        <v>VENCIDA</v>
      </c>
      <c r="P781" s="90" t="s">
        <v>3180</v>
      </c>
      <c r="Q781" s="88" t="s">
        <v>312</v>
      </c>
      <c r="R781" s="88" t="s">
        <v>317</v>
      </c>
      <c r="S781" s="88"/>
      <c r="T781" s="88"/>
      <c r="U781" s="88"/>
      <c r="V781" s="88" t="s">
        <v>2556</v>
      </c>
      <c r="W781" s="92" t="s">
        <v>2538</v>
      </c>
      <c r="X781" s="88" t="s">
        <v>2958</v>
      </c>
    </row>
    <row r="782" spans="1:24" s="63" customFormat="1" ht="32.25" customHeight="1" x14ac:dyDescent="0.2">
      <c r="A782" s="202">
        <v>822</v>
      </c>
      <c r="B782" s="88" t="s">
        <v>279</v>
      </c>
      <c r="C782" s="89">
        <v>822</v>
      </c>
      <c r="D782" s="88" t="str">
        <f t="shared" si="28"/>
        <v>SUPERMIX822</v>
      </c>
      <c r="E782" s="58" t="s">
        <v>2557</v>
      </c>
      <c r="F782" s="58" t="s">
        <v>642</v>
      </c>
      <c r="G782" s="88" t="s">
        <v>25</v>
      </c>
      <c r="H782" s="90">
        <v>41817005</v>
      </c>
      <c r="I782" s="90" t="s">
        <v>3787</v>
      </c>
      <c r="J782" s="88" t="s">
        <v>2558</v>
      </c>
      <c r="K782" s="88" t="s">
        <v>3142</v>
      </c>
      <c r="L782" s="91">
        <v>38391</v>
      </c>
      <c r="M782" s="91">
        <v>45115</v>
      </c>
      <c r="N782" s="88">
        <f t="shared" ca="1" si="27"/>
        <v>1072</v>
      </c>
      <c r="O782" s="84" t="str">
        <f ca="1">IF(Tabla1[[#This Row],[|]]&gt;=0,"VENCIDA",IF(Tabla1[[#This Row],[|]]&gt;=-14,"POR VENCER","OK"))</f>
        <v>VENCIDA</v>
      </c>
      <c r="P782" s="90" t="s">
        <v>2294</v>
      </c>
      <c r="Q782" s="88" t="s">
        <v>312</v>
      </c>
      <c r="R782" s="88" t="s">
        <v>317</v>
      </c>
      <c r="S782" s="88"/>
      <c r="T782" s="88"/>
      <c r="U782" s="88"/>
      <c r="V782" s="88" t="s">
        <v>2556</v>
      </c>
      <c r="W782" s="92" t="s">
        <v>2538</v>
      </c>
      <c r="X782" s="88"/>
    </row>
    <row r="783" spans="1:24" s="43" customFormat="1" ht="32.25" customHeight="1" x14ac:dyDescent="0.2">
      <c r="A783" s="42">
        <v>823</v>
      </c>
      <c r="B783" s="93" t="s">
        <v>279</v>
      </c>
      <c r="C783" s="94">
        <v>823</v>
      </c>
      <c r="D783" s="93" t="str">
        <f t="shared" si="28"/>
        <v>SUPERMIX823</v>
      </c>
      <c r="E783" s="115" t="s">
        <v>1392</v>
      </c>
      <c r="F783" s="115" t="s">
        <v>2559</v>
      </c>
      <c r="G783" s="93" t="s">
        <v>25</v>
      </c>
      <c r="H783" s="95">
        <v>29735535</v>
      </c>
      <c r="I783" s="95" t="s">
        <v>3788</v>
      </c>
      <c r="J783" s="93" t="s">
        <v>2560</v>
      </c>
      <c r="K783" s="93" t="s">
        <v>2250</v>
      </c>
      <c r="L783" s="96">
        <v>41647</v>
      </c>
      <c r="M783" s="96">
        <v>45709</v>
      </c>
      <c r="N783" s="93">
        <f t="shared" ca="1" si="27"/>
        <v>478</v>
      </c>
      <c r="O783" s="84" t="str">
        <f ca="1">IF(Tabla1[[#This Row],[|]]&gt;=0,"VENCIDA",IF(Tabla1[[#This Row],[|]]&gt;=-14,"POR VENCER","OK"))</f>
        <v>VENCIDA</v>
      </c>
      <c r="P783" s="95" t="s">
        <v>2991</v>
      </c>
      <c r="Q783" s="93" t="s">
        <v>312</v>
      </c>
      <c r="R783" s="93" t="s">
        <v>317</v>
      </c>
      <c r="S783" s="93"/>
      <c r="T783" s="93"/>
      <c r="U783" s="93"/>
      <c r="V783" s="93" t="s">
        <v>2556</v>
      </c>
      <c r="W783" s="97" t="s">
        <v>2997</v>
      </c>
      <c r="X783" s="93" t="s">
        <v>2829</v>
      </c>
    </row>
    <row r="784" spans="1:24" s="59" customFormat="1" ht="32.25" customHeight="1" x14ac:dyDescent="0.2">
      <c r="A784" s="200">
        <v>824</v>
      </c>
      <c r="B784" s="61" t="s">
        <v>279</v>
      </c>
      <c r="C784" s="87">
        <v>824</v>
      </c>
      <c r="D784" s="61" t="str">
        <f t="shared" si="28"/>
        <v>SUPERMIX824</v>
      </c>
      <c r="E784" s="82" t="s">
        <v>2561</v>
      </c>
      <c r="F784" s="82" t="s">
        <v>629</v>
      </c>
      <c r="G784" s="61" t="s">
        <v>341</v>
      </c>
      <c r="H784" s="60">
        <v>29473038</v>
      </c>
      <c r="I784" s="60" t="s">
        <v>3787</v>
      </c>
      <c r="J784" s="61" t="s">
        <v>2562</v>
      </c>
      <c r="K784" s="61" t="s">
        <v>281</v>
      </c>
      <c r="L784" s="62">
        <v>42460</v>
      </c>
      <c r="M784" s="62">
        <v>44649</v>
      </c>
      <c r="N784" s="61">
        <f t="shared" ca="1" si="27"/>
        <v>1538</v>
      </c>
      <c r="O784" s="84" t="str">
        <f ca="1">IF(Tabla1[[#This Row],[|]]&gt;=0,"VENCIDA",IF(Tabla1[[#This Row],[|]]&gt;=-14,"POR VENCER","OK"))</f>
        <v>VENCIDA</v>
      </c>
      <c r="P784" s="60" t="s">
        <v>2976</v>
      </c>
      <c r="Q784" s="61" t="s">
        <v>312</v>
      </c>
      <c r="R784" s="61" t="s">
        <v>17</v>
      </c>
      <c r="S784" s="61"/>
      <c r="T784" s="61"/>
      <c r="U784" s="61"/>
      <c r="V784" s="61" t="s">
        <v>306</v>
      </c>
      <c r="W784" s="86" t="s">
        <v>1112</v>
      </c>
      <c r="X784" s="61" t="s">
        <v>2977</v>
      </c>
    </row>
    <row r="785" spans="1:24" s="45" customFormat="1" ht="32.25" customHeight="1" x14ac:dyDescent="0.2">
      <c r="A785" s="212">
        <v>825</v>
      </c>
      <c r="B785" s="121" t="s">
        <v>279</v>
      </c>
      <c r="C785" s="139">
        <v>825</v>
      </c>
      <c r="D785" s="121" t="str">
        <f t="shared" si="28"/>
        <v>SUPERMIX825</v>
      </c>
      <c r="E785" s="140" t="s">
        <v>2564</v>
      </c>
      <c r="F785" s="140" t="s">
        <v>2565</v>
      </c>
      <c r="G785" s="121" t="s">
        <v>25</v>
      </c>
      <c r="H785" s="120">
        <v>29621006</v>
      </c>
      <c r="I785" s="120" t="s">
        <v>3788</v>
      </c>
      <c r="J785" s="121" t="s">
        <v>2566</v>
      </c>
      <c r="K785" s="121" t="s">
        <v>3624</v>
      </c>
      <c r="L785" s="141">
        <v>38070</v>
      </c>
      <c r="M785" s="141">
        <v>47759</v>
      </c>
      <c r="N785" s="121">
        <f t="shared" ca="1" si="27"/>
        <v>-1572</v>
      </c>
      <c r="O785" s="142" t="str">
        <f ca="1">IF(Tabla1[[#This Row],[|]]&gt;=0,"VENCIDA",IF(Tabla1[[#This Row],[|]]&gt;=-14,"POR VENCER","OK"))</f>
        <v>OK</v>
      </c>
      <c r="P785" s="120" t="s">
        <v>597</v>
      </c>
      <c r="Q785" s="121" t="s">
        <v>312</v>
      </c>
      <c r="R785" s="121" t="s">
        <v>17</v>
      </c>
      <c r="S785" s="88"/>
      <c r="T785" s="88"/>
      <c r="U785" s="88"/>
      <c r="V785" s="121" t="s">
        <v>282</v>
      </c>
      <c r="W785" s="122" t="s">
        <v>4220</v>
      </c>
      <c r="X785" s="121" t="s">
        <v>597</v>
      </c>
    </row>
    <row r="786" spans="1:24" s="63" customFormat="1" ht="32.25" customHeight="1" x14ac:dyDescent="0.2">
      <c r="A786" s="202">
        <v>826</v>
      </c>
      <c r="B786" s="88" t="s">
        <v>279</v>
      </c>
      <c r="C786" s="89">
        <v>826</v>
      </c>
      <c r="D786" s="88" t="str">
        <f t="shared" si="28"/>
        <v>SUPERMIX826</v>
      </c>
      <c r="E786" s="58" t="s">
        <v>2567</v>
      </c>
      <c r="F786" s="58" t="s">
        <v>22</v>
      </c>
      <c r="G786" s="88" t="s">
        <v>25</v>
      </c>
      <c r="H786" s="90">
        <v>43040676</v>
      </c>
      <c r="I786" s="90" t="s">
        <v>3787</v>
      </c>
      <c r="J786" s="88" t="s">
        <v>2568</v>
      </c>
      <c r="K786" s="88" t="s">
        <v>281</v>
      </c>
      <c r="L786" s="91">
        <v>42102</v>
      </c>
      <c r="M786" s="91">
        <v>43198</v>
      </c>
      <c r="N786" s="88">
        <f t="shared" ca="1" si="27"/>
        <v>2989</v>
      </c>
      <c r="O786" s="84" t="str">
        <f ca="1">IF(Tabla1[[#This Row],[|]]&gt;=0,"VENCIDA",IF(Tabla1[[#This Row],[|]]&gt;=-14,"POR VENCER","OK"))</f>
        <v>VENCIDA</v>
      </c>
      <c r="P786" s="90" t="s">
        <v>597</v>
      </c>
      <c r="Q786" s="88" t="s">
        <v>312</v>
      </c>
      <c r="R786" s="88" t="s">
        <v>317</v>
      </c>
      <c r="S786" s="88"/>
      <c r="T786" s="88"/>
      <c r="U786" s="88"/>
      <c r="V786" s="88" t="s">
        <v>2534</v>
      </c>
      <c r="W786" s="92" t="s">
        <v>1112</v>
      </c>
      <c r="X786" s="88"/>
    </row>
    <row r="787" spans="1:24" s="63" customFormat="1" ht="32.25" customHeight="1" x14ac:dyDescent="0.2">
      <c r="A787" s="202">
        <v>827</v>
      </c>
      <c r="B787" s="88" t="s">
        <v>279</v>
      </c>
      <c r="C787" s="89">
        <v>827</v>
      </c>
      <c r="D787" s="88" t="str">
        <f t="shared" si="28"/>
        <v>SUPERMIX827</v>
      </c>
      <c r="E787" s="58" t="s">
        <v>2569</v>
      </c>
      <c r="F787" s="58" t="s">
        <v>2570</v>
      </c>
      <c r="G787" s="88" t="s">
        <v>25</v>
      </c>
      <c r="H787" s="90">
        <v>44179649</v>
      </c>
      <c r="I787" s="90" t="s">
        <v>3787</v>
      </c>
      <c r="J787" s="88" t="s">
        <v>2571</v>
      </c>
      <c r="K787" s="88" t="s">
        <v>281</v>
      </c>
      <c r="L787" s="91">
        <v>42474</v>
      </c>
      <c r="M787" s="91">
        <v>43569</v>
      </c>
      <c r="N787" s="88">
        <f t="shared" ca="1" si="27"/>
        <v>2618</v>
      </c>
      <c r="O787" s="84" t="str">
        <f ca="1">IF(Tabla1[[#This Row],[|]]&gt;=0,"VENCIDA",IF(Tabla1[[#This Row],[|]]&gt;=-14,"POR VENCER","OK"))</f>
        <v>VENCIDA</v>
      </c>
      <c r="P787" s="90" t="s">
        <v>624</v>
      </c>
      <c r="Q787" s="88" t="s">
        <v>312</v>
      </c>
      <c r="R787" s="88" t="s">
        <v>317</v>
      </c>
      <c r="S787" s="88"/>
      <c r="T787" s="88"/>
      <c r="U787" s="88"/>
      <c r="V787" s="88" t="s">
        <v>2298</v>
      </c>
      <c r="W787" s="92" t="s">
        <v>299</v>
      </c>
      <c r="X787" s="88"/>
    </row>
    <row r="788" spans="1:24" s="63" customFormat="1" ht="32.25" customHeight="1" x14ac:dyDescent="0.2">
      <c r="A788" s="202">
        <v>828</v>
      </c>
      <c r="B788" s="88" t="s">
        <v>279</v>
      </c>
      <c r="C788" s="89">
        <v>828</v>
      </c>
      <c r="D788" s="88" t="str">
        <f t="shared" si="28"/>
        <v>SUPERMIX828</v>
      </c>
      <c r="E788" s="58" t="s">
        <v>2572</v>
      </c>
      <c r="F788" s="58" t="s">
        <v>2573</v>
      </c>
      <c r="G788" s="88" t="s">
        <v>1968</v>
      </c>
      <c r="H788" s="90">
        <v>30842289</v>
      </c>
      <c r="I788" s="90" t="s">
        <v>3787</v>
      </c>
      <c r="J788" s="88" t="s">
        <v>2574</v>
      </c>
      <c r="K788" s="88" t="s">
        <v>281</v>
      </c>
      <c r="L788" s="91">
        <v>37680</v>
      </c>
      <c r="M788" s="91">
        <v>44491</v>
      </c>
      <c r="N788" s="88">
        <f t="shared" ca="1" si="27"/>
        <v>1696</v>
      </c>
      <c r="O788" s="84" t="str">
        <f ca="1">IF(Tabla1[[#This Row],[|]]&gt;=0,"VENCIDA",IF(Tabla1[[#This Row],[|]]&gt;=-14,"POR VENCER","OK"))</f>
        <v>VENCIDA</v>
      </c>
      <c r="P788" s="90" t="s">
        <v>3269</v>
      </c>
      <c r="Q788" s="88" t="s">
        <v>312</v>
      </c>
      <c r="R788" s="88" t="s">
        <v>17</v>
      </c>
      <c r="S788" s="88"/>
      <c r="T788" s="88"/>
      <c r="U788" s="88"/>
      <c r="V788" s="88" t="s">
        <v>2298</v>
      </c>
      <c r="W788" s="92" t="s">
        <v>1411</v>
      </c>
      <c r="X788" s="88" t="s">
        <v>2860</v>
      </c>
    </row>
    <row r="789" spans="1:24" s="63" customFormat="1" ht="32.25" customHeight="1" x14ac:dyDescent="0.2">
      <c r="A789" s="202">
        <v>829</v>
      </c>
      <c r="B789" s="88" t="s">
        <v>279</v>
      </c>
      <c r="C789" s="89">
        <v>829</v>
      </c>
      <c r="D789" s="88" t="str">
        <f t="shared" si="28"/>
        <v>SUPERMIX829</v>
      </c>
      <c r="E789" s="58" t="s">
        <v>2575</v>
      </c>
      <c r="F789" s="58" t="s">
        <v>847</v>
      </c>
      <c r="G789" s="88" t="s">
        <v>25</v>
      </c>
      <c r="H789" s="90">
        <v>40307124</v>
      </c>
      <c r="I789" s="90" t="s">
        <v>3787</v>
      </c>
      <c r="J789" s="88" t="s">
        <v>2576</v>
      </c>
      <c r="K789" s="88" t="s">
        <v>1954</v>
      </c>
      <c r="L789" s="91">
        <v>39339</v>
      </c>
      <c r="M789" s="91">
        <v>43737</v>
      </c>
      <c r="N789" s="88">
        <f t="shared" ca="1" si="27"/>
        <v>2450</v>
      </c>
      <c r="O789" s="84" t="str">
        <f ca="1">IF(Tabla1[[#This Row],[|]]&gt;=0,"VENCIDA",IF(Tabla1[[#This Row],[|]]&gt;=-14,"POR VENCER","OK"))</f>
        <v>VENCIDA</v>
      </c>
      <c r="P789" s="90" t="s">
        <v>624</v>
      </c>
      <c r="Q789" s="88" t="s">
        <v>312</v>
      </c>
      <c r="R789" s="88" t="s">
        <v>17</v>
      </c>
      <c r="S789" s="88"/>
      <c r="T789" s="88"/>
      <c r="U789" s="88"/>
      <c r="V789" s="88" t="s">
        <v>2298</v>
      </c>
      <c r="W789" s="92" t="s">
        <v>299</v>
      </c>
      <c r="X789" s="88"/>
    </row>
    <row r="790" spans="1:24" s="63" customFormat="1" ht="32.25" customHeight="1" x14ac:dyDescent="0.2">
      <c r="A790" s="202">
        <v>830</v>
      </c>
      <c r="B790" s="88" t="s">
        <v>279</v>
      </c>
      <c r="C790" s="89">
        <v>830</v>
      </c>
      <c r="D790" s="88" t="str">
        <f t="shared" si="28"/>
        <v>SUPERMIX830</v>
      </c>
      <c r="E790" s="58" t="s">
        <v>2577</v>
      </c>
      <c r="F790" s="58" t="s">
        <v>507</v>
      </c>
      <c r="G790" s="88" t="s">
        <v>310</v>
      </c>
      <c r="H790" s="90">
        <v>40709300</v>
      </c>
      <c r="I790" s="90" t="s">
        <v>3787</v>
      </c>
      <c r="J790" s="88" t="s">
        <v>2578</v>
      </c>
      <c r="K790" s="88" t="s">
        <v>281</v>
      </c>
      <c r="L790" s="91">
        <v>41291</v>
      </c>
      <c r="M790" s="91">
        <v>43483</v>
      </c>
      <c r="N790" s="88">
        <f t="shared" ca="1" si="27"/>
        <v>2704</v>
      </c>
      <c r="O790" s="84" t="str">
        <f ca="1">IF(Tabla1[[#This Row],[|]]&gt;=0,"VENCIDA",IF(Tabla1[[#This Row],[|]]&gt;=-14,"POR VENCER","OK"))</f>
        <v>VENCIDA</v>
      </c>
      <c r="P790" s="90" t="s">
        <v>624</v>
      </c>
      <c r="Q790" s="88" t="s">
        <v>312</v>
      </c>
      <c r="R790" s="88" t="s">
        <v>317</v>
      </c>
      <c r="S790" s="88"/>
      <c r="T790" s="88"/>
      <c r="U790" s="88"/>
      <c r="V790" s="88" t="s">
        <v>2298</v>
      </c>
      <c r="W790" s="92" t="s">
        <v>299</v>
      </c>
      <c r="X790" s="88"/>
    </row>
    <row r="791" spans="1:24" s="63" customFormat="1" ht="32.25" customHeight="1" x14ac:dyDescent="0.2">
      <c r="A791" s="202">
        <v>831</v>
      </c>
      <c r="B791" s="88" t="s">
        <v>279</v>
      </c>
      <c r="C791" s="89">
        <v>831</v>
      </c>
      <c r="D791" s="88" t="str">
        <f t="shared" si="28"/>
        <v>SUPERMIX831</v>
      </c>
      <c r="E791" s="58" t="s">
        <v>2579</v>
      </c>
      <c r="F791" s="58" t="s">
        <v>2580</v>
      </c>
      <c r="G791" s="88" t="s">
        <v>25</v>
      </c>
      <c r="H791" s="90">
        <v>44428446</v>
      </c>
      <c r="I791" s="90" t="s">
        <v>3787</v>
      </c>
      <c r="J791" s="88" t="s">
        <v>2581</v>
      </c>
      <c r="K791" s="88" t="s">
        <v>1961</v>
      </c>
      <c r="L791" s="91">
        <v>41901</v>
      </c>
      <c r="M791" s="91">
        <v>44085</v>
      </c>
      <c r="N791" s="88">
        <f t="shared" ca="1" si="27"/>
        <v>2102</v>
      </c>
      <c r="O791" s="84" t="str">
        <f ca="1">IF(Tabla1[[#This Row],[|]]&gt;=0,"VENCIDA",IF(Tabla1[[#This Row],[|]]&gt;=-14,"POR VENCER","OK"))</f>
        <v>VENCIDA</v>
      </c>
      <c r="P791" s="90" t="s">
        <v>2294</v>
      </c>
      <c r="Q791" s="88" t="s">
        <v>312</v>
      </c>
      <c r="R791" s="88" t="s">
        <v>317</v>
      </c>
      <c r="S791" s="88"/>
      <c r="T791" s="88"/>
      <c r="U791" s="88"/>
      <c r="V791" s="88" t="s">
        <v>334</v>
      </c>
      <c r="W791" s="92" t="s">
        <v>2582</v>
      </c>
      <c r="X791" s="88"/>
    </row>
    <row r="792" spans="1:24" s="63" customFormat="1" ht="32.25" customHeight="1" x14ac:dyDescent="0.2">
      <c r="A792" s="202">
        <v>832</v>
      </c>
      <c r="B792" s="88" t="s">
        <v>279</v>
      </c>
      <c r="C792" s="89">
        <v>832</v>
      </c>
      <c r="D792" s="88" t="str">
        <f t="shared" si="28"/>
        <v>SUPERMIX832</v>
      </c>
      <c r="E792" s="58" t="s">
        <v>2583</v>
      </c>
      <c r="F792" s="58" t="s">
        <v>2584</v>
      </c>
      <c r="G792" s="88" t="s">
        <v>25</v>
      </c>
      <c r="H792" s="90">
        <v>43226833</v>
      </c>
      <c r="I792" s="90" t="s">
        <v>3787</v>
      </c>
      <c r="J792" s="88" t="s">
        <v>2585</v>
      </c>
      <c r="K792" s="88" t="s">
        <v>3142</v>
      </c>
      <c r="L792" s="91">
        <v>41470</v>
      </c>
      <c r="M792" s="91">
        <v>44392</v>
      </c>
      <c r="N792" s="88">
        <f t="shared" ca="1" si="27"/>
        <v>1795</v>
      </c>
      <c r="O792" s="84" t="str">
        <f ca="1">IF(Tabla1[[#This Row],[|]]&gt;=0,"VENCIDA",IF(Tabla1[[#This Row],[|]]&gt;=-14,"POR VENCER","OK"))</f>
        <v>VENCIDA</v>
      </c>
      <c r="P792" s="90" t="s">
        <v>2294</v>
      </c>
      <c r="Q792" s="88" t="s">
        <v>312</v>
      </c>
      <c r="R792" s="88" t="s">
        <v>17</v>
      </c>
      <c r="S792" s="88"/>
      <c r="T792" s="88"/>
      <c r="U792" s="88"/>
      <c r="V792" s="88" t="s">
        <v>831</v>
      </c>
      <c r="W792" s="92" t="s">
        <v>832</v>
      </c>
      <c r="X792" s="88"/>
    </row>
    <row r="793" spans="1:24" s="63" customFormat="1" ht="32.25" customHeight="1" x14ac:dyDescent="0.2">
      <c r="A793" s="202">
        <v>833</v>
      </c>
      <c r="B793" s="88" t="s">
        <v>279</v>
      </c>
      <c r="C793" s="89">
        <v>833</v>
      </c>
      <c r="D793" s="88" t="str">
        <f t="shared" si="28"/>
        <v>SUPERMIX833</v>
      </c>
      <c r="E793" s="58" t="s">
        <v>2586</v>
      </c>
      <c r="F793" s="58" t="s">
        <v>2587</v>
      </c>
      <c r="G793" s="88" t="s">
        <v>25</v>
      </c>
      <c r="H793" s="90">
        <v>44819842</v>
      </c>
      <c r="I793" s="90" t="s">
        <v>3787</v>
      </c>
      <c r="J793" s="88" t="s">
        <v>2588</v>
      </c>
      <c r="K793" s="88" t="s">
        <v>3142</v>
      </c>
      <c r="L793" s="91">
        <v>39091</v>
      </c>
      <c r="M793" s="91">
        <v>44733</v>
      </c>
      <c r="N793" s="88">
        <f t="shared" ca="1" si="27"/>
        <v>1454</v>
      </c>
      <c r="O793" s="84" t="str">
        <f ca="1">IF(Tabla1[[#This Row],[|]]&gt;=0,"VENCIDA",IF(Tabla1[[#This Row],[|]]&gt;=-14,"POR VENCER","OK"))</f>
        <v>VENCIDA</v>
      </c>
      <c r="P793" s="90" t="s">
        <v>2294</v>
      </c>
      <c r="Q793" s="88" t="s">
        <v>312</v>
      </c>
      <c r="R793" s="88" t="s">
        <v>317</v>
      </c>
      <c r="S793" s="88"/>
      <c r="T793" s="88"/>
      <c r="U793" s="88"/>
      <c r="V793" s="88" t="s">
        <v>2589</v>
      </c>
      <c r="W793" s="92" t="s">
        <v>1112</v>
      </c>
      <c r="X793" s="88"/>
    </row>
    <row r="794" spans="1:24" s="43" customFormat="1" ht="32.25" customHeight="1" x14ac:dyDescent="0.2">
      <c r="A794" s="42">
        <v>834</v>
      </c>
      <c r="B794" s="93" t="s">
        <v>279</v>
      </c>
      <c r="C794" s="94">
        <v>834</v>
      </c>
      <c r="D794" s="93" t="str">
        <f t="shared" si="28"/>
        <v>SUPERMIX834</v>
      </c>
      <c r="E794" s="115" t="s">
        <v>2590</v>
      </c>
      <c r="F794" s="115" t="s">
        <v>2591</v>
      </c>
      <c r="G794" s="93" t="s">
        <v>25</v>
      </c>
      <c r="H794" s="95">
        <v>41562267</v>
      </c>
      <c r="I794" s="95" t="s">
        <v>3788</v>
      </c>
      <c r="J794" s="93" t="s">
        <v>2592</v>
      </c>
      <c r="K794" s="93" t="s">
        <v>281</v>
      </c>
      <c r="L794" s="96">
        <v>42529</v>
      </c>
      <c r="M794" s="117">
        <v>46694</v>
      </c>
      <c r="N794" s="93">
        <f t="shared" ca="1" si="27"/>
        <v>-507</v>
      </c>
      <c r="O794" s="84" t="str">
        <f ca="1">IF(Tabla1[[#This Row],[|]]&gt;=0,"VENCIDA",IF(Tabla1[[#This Row],[|]]&gt;=-14,"POR VENCER","OK"))</f>
        <v>OK</v>
      </c>
      <c r="P794" s="95" t="s">
        <v>2294</v>
      </c>
      <c r="Q794" s="93" t="s">
        <v>312</v>
      </c>
      <c r="R794" s="93" t="s">
        <v>317</v>
      </c>
      <c r="S794" s="93"/>
      <c r="T794" s="93"/>
      <c r="U794" s="93"/>
      <c r="V794" s="93" t="s">
        <v>831</v>
      </c>
      <c r="W794" s="97" t="s">
        <v>2835</v>
      </c>
      <c r="X794" s="93" t="s">
        <v>2836</v>
      </c>
    </row>
    <row r="795" spans="1:24" s="43" customFormat="1" ht="32.25" customHeight="1" x14ac:dyDescent="0.2">
      <c r="A795" s="42">
        <v>835</v>
      </c>
      <c r="B795" s="93" t="s">
        <v>279</v>
      </c>
      <c r="C795" s="94">
        <v>835</v>
      </c>
      <c r="D795" s="93" t="str">
        <f t="shared" si="28"/>
        <v>SUPERMIX835</v>
      </c>
      <c r="E795" s="115" t="s">
        <v>2593</v>
      </c>
      <c r="F795" s="115" t="s">
        <v>2594</v>
      </c>
      <c r="G795" s="93" t="s">
        <v>310</v>
      </c>
      <c r="H795" s="95">
        <v>42554624</v>
      </c>
      <c r="I795" s="95" t="s">
        <v>3788</v>
      </c>
      <c r="J795" s="93" t="s">
        <v>2595</v>
      </c>
      <c r="K795" s="93" t="s">
        <v>343</v>
      </c>
      <c r="L795" s="96">
        <v>42584</v>
      </c>
      <c r="M795" s="96">
        <v>46678</v>
      </c>
      <c r="N795" s="93">
        <f t="shared" ca="1" si="27"/>
        <v>-491</v>
      </c>
      <c r="O795" s="84" t="str">
        <f ca="1">IF(Tabla1[[#This Row],[|]]&gt;=0,"VENCIDA",IF(Tabla1[[#This Row],[|]]&gt;=-14,"POR VENCER","OK"))</f>
        <v>OK</v>
      </c>
      <c r="P795" s="95" t="s">
        <v>2596</v>
      </c>
      <c r="Q795" s="93" t="s">
        <v>312</v>
      </c>
      <c r="R795" s="93" t="s">
        <v>317</v>
      </c>
      <c r="S795" s="93"/>
      <c r="T795" s="93"/>
      <c r="U795" s="93"/>
      <c r="V795" s="93" t="s">
        <v>334</v>
      </c>
      <c r="W795" s="97" t="s">
        <v>2997</v>
      </c>
      <c r="X795" s="93" t="s">
        <v>2829</v>
      </c>
    </row>
    <row r="796" spans="1:24" s="43" customFormat="1" ht="32.25" customHeight="1" x14ac:dyDescent="0.2">
      <c r="A796" s="42">
        <v>836</v>
      </c>
      <c r="B796" s="93" t="s">
        <v>279</v>
      </c>
      <c r="C796" s="94">
        <v>836</v>
      </c>
      <c r="D796" s="93" t="str">
        <f t="shared" si="28"/>
        <v>SUPERMIX836</v>
      </c>
      <c r="E796" s="115" t="s">
        <v>2597</v>
      </c>
      <c r="F796" s="115" t="s">
        <v>2598</v>
      </c>
      <c r="G796" s="93" t="s">
        <v>25</v>
      </c>
      <c r="H796" s="95">
        <v>29636974</v>
      </c>
      <c r="I796" s="95" t="s">
        <v>3788</v>
      </c>
      <c r="J796" s="93" t="s">
        <v>2599</v>
      </c>
      <c r="K796" s="93" t="s">
        <v>293</v>
      </c>
      <c r="L796" s="96">
        <v>41281</v>
      </c>
      <c r="M796" s="117">
        <v>44575</v>
      </c>
      <c r="N796" s="93">
        <f t="shared" ca="1" si="27"/>
        <v>1612</v>
      </c>
      <c r="O796" s="84" t="str">
        <f ca="1">IF(Tabla1[[#This Row],[|]]&gt;=0,"VENCIDA",IF(Tabla1[[#This Row],[|]]&gt;=-14,"POR VENCER","OK"))</f>
        <v>VENCIDA</v>
      </c>
      <c r="P796" s="95" t="s">
        <v>2827</v>
      </c>
      <c r="Q796" s="93" t="s">
        <v>312</v>
      </c>
      <c r="R796" s="93" t="s">
        <v>317</v>
      </c>
      <c r="S796" s="93"/>
      <c r="T796" s="93"/>
      <c r="U796" s="93"/>
      <c r="V796" s="93" t="s">
        <v>334</v>
      </c>
      <c r="W796" s="97" t="s">
        <v>2947</v>
      </c>
      <c r="X796" s="93" t="s">
        <v>2949</v>
      </c>
    </row>
    <row r="797" spans="1:24" s="45" customFormat="1" ht="32.25" customHeight="1" x14ac:dyDescent="0.2">
      <c r="A797" s="202">
        <v>837</v>
      </c>
      <c r="B797" s="88" t="s">
        <v>279</v>
      </c>
      <c r="C797" s="89">
        <v>837</v>
      </c>
      <c r="D797" s="88" t="str">
        <f t="shared" si="28"/>
        <v>SUPERMIX837</v>
      </c>
      <c r="E797" s="58" t="s">
        <v>2600</v>
      </c>
      <c r="F797" s="58" t="s">
        <v>2601</v>
      </c>
      <c r="G797" s="88" t="s">
        <v>25</v>
      </c>
      <c r="H797" s="90">
        <v>45907882</v>
      </c>
      <c r="I797" s="90" t="s">
        <v>3788</v>
      </c>
      <c r="J797" s="88" t="s">
        <v>2602</v>
      </c>
      <c r="K797" s="88" t="s">
        <v>343</v>
      </c>
      <c r="L797" s="91">
        <v>41227</v>
      </c>
      <c r="M797" s="91">
        <v>46302</v>
      </c>
      <c r="N797" s="88">
        <f t="shared" ca="1" si="27"/>
        <v>-115</v>
      </c>
      <c r="O797" s="84" t="str">
        <f ca="1">IF(Tabla1[[#This Row],[|]]&gt;=0,"VENCIDA",IF(Tabla1[[#This Row],[|]]&gt;=-14,"POR VENCER","OK"))</f>
        <v>OK</v>
      </c>
      <c r="P797" s="90" t="s">
        <v>824</v>
      </c>
      <c r="Q797" s="88" t="s">
        <v>312</v>
      </c>
      <c r="R797" s="88" t="s">
        <v>17</v>
      </c>
      <c r="S797" s="88"/>
      <c r="T797" s="88"/>
      <c r="U797" s="88"/>
      <c r="V797" s="88" t="s">
        <v>1981</v>
      </c>
      <c r="W797" s="92" t="s">
        <v>3345</v>
      </c>
      <c r="X797" s="88" t="s">
        <v>4226</v>
      </c>
    </row>
    <row r="798" spans="1:24" s="43" customFormat="1" ht="32.25" customHeight="1" x14ac:dyDescent="0.2">
      <c r="A798" s="42">
        <v>838</v>
      </c>
      <c r="B798" s="93" t="s">
        <v>279</v>
      </c>
      <c r="C798" s="94">
        <v>838</v>
      </c>
      <c r="D798" s="93" t="str">
        <f t="shared" si="28"/>
        <v>SUPERMIX838</v>
      </c>
      <c r="E798" s="115" t="s">
        <v>2603</v>
      </c>
      <c r="F798" s="115" t="s">
        <v>2604</v>
      </c>
      <c r="G798" s="93" t="s">
        <v>25</v>
      </c>
      <c r="H798" s="95">
        <v>43479785</v>
      </c>
      <c r="I798" s="95" t="s">
        <v>3788</v>
      </c>
      <c r="J798" s="93" t="s">
        <v>2605</v>
      </c>
      <c r="K798" s="93" t="s">
        <v>281</v>
      </c>
      <c r="L798" s="96">
        <v>42283</v>
      </c>
      <c r="M798" s="117">
        <v>44471</v>
      </c>
      <c r="N798" s="93">
        <f t="shared" ca="1" si="27"/>
        <v>1716</v>
      </c>
      <c r="O798" s="84" t="str">
        <f ca="1">IF(Tabla1[[#This Row],[|]]&gt;=0,"VENCIDA",IF(Tabla1[[#This Row],[|]]&gt;=-14,"POR VENCER","OK"))</f>
        <v>VENCIDA</v>
      </c>
      <c r="P798" s="95" t="s">
        <v>2827</v>
      </c>
      <c r="Q798" s="93" t="s">
        <v>312</v>
      </c>
      <c r="R798" s="93" t="s">
        <v>317</v>
      </c>
      <c r="S798" s="93"/>
      <c r="T798" s="93"/>
      <c r="U798" s="93"/>
      <c r="V798" s="93" t="s">
        <v>831</v>
      </c>
      <c r="W798" s="97" t="s">
        <v>2776</v>
      </c>
      <c r="X798" s="93" t="s">
        <v>3159</v>
      </c>
    </row>
    <row r="799" spans="1:24" s="63" customFormat="1" ht="32.25" customHeight="1" x14ac:dyDescent="0.2">
      <c r="A799" s="202">
        <v>839</v>
      </c>
      <c r="B799" s="88" t="s">
        <v>279</v>
      </c>
      <c r="C799" s="89">
        <v>839</v>
      </c>
      <c r="D799" s="88" t="str">
        <f t="shared" si="28"/>
        <v>SUPERMIX839</v>
      </c>
      <c r="E799" s="58" t="s">
        <v>2606</v>
      </c>
      <c r="F799" s="58" t="s">
        <v>2607</v>
      </c>
      <c r="G799" s="88" t="s">
        <v>25</v>
      </c>
      <c r="H799" s="90">
        <v>48053516</v>
      </c>
      <c r="I799" s="90" t="s">
        <v>3787</v>
      </c>
      <c r="J799" s="88" t="s">
        <v>2608</v>
      </c>
      <c r="K799" s="88" t="s">
        <v>293</v>
      </c>
      <c r="L799" s="91">
        <v>43049</v>
      </c>
      <c r="M799" s="91">
        <v>44145</v>
      </c>
      <c r="N799" s="88">
        <f t="shared" ca="1" si="27"/>
        <v>2042</v>
      </c>
      <c r="O799" s="84" t="str">
        <f ca="1">IF(Tabla1[[#This Row],[|]]&gt;=0,"VENCIDA",IF(Tabla1[[#This Row],[|]]&gt;=-14,"POR VENCER","OK"))</f>
        <v>VENCIDA</v>
      </c>
      <c r="P799" s="90" t="s">
        <v>624</v>
      </c>
      <c r="Q799" s="88" t="s">
        <v>312</v>
      </c>
      <c r="R799" s="88" t="s">
        <v>317</v>
      </c>
      <c r="S799" s="88"/>
      <c r="T799" s="88"/>
      <c r="U799" s="88"/>
      <c r="V799" s="88" t="s">
        <v>2298</v>
      </c>
      <c r="W799" s="92" t="s">
        <v>299</v>
      </c>
      <c r="X799" s="88"/>
    </row>
    <row r="800" spans="1:24" s="63" customFormat="1" ht="32.25" customHeight="1" x14ac:dyDescent="0.2">
      <c r="A800" s="202">
        <v>840</v>
      </c>
      <c r="B800" s="88" t="s">
        <v>279</v>
      </c>
      <c r="C800" s="89">
        <v>840</v>
      </c>
      <c r="D800" s="88" t="str">
        <f t="shared" si="28"/>
        <v>SUPERMIX840</v>
      </c>
      <c r="E800" s="58" t="s">
        <v>2609</v>
      </c>
      <c r="F800" s="58" t="s">
        <v>2610</v>
      </c>
      <c r="G800" s="88" t="s">
        <v>1968</v>
      </c>
      <c r="H800" s="90">
        <v>44104470</v>
      </c>
      <c r="I800" s="90" t="s">
        <v>3787</v>
      </c>
      <c r="J800" s="88" t="s">
        <v>2611</v>
      </c>
      <c r="K800" s="88" t="s">
        <v>3142</v>
      </c>
      <c r="L800" s="91">
        <v>43082</v>
      </c>
      <c r="M800" s="91">
        <v>46734</v>
      </c>
      <c r="N800" s="88">
        <f t="shared" ca="1" si="27"/>
        <v>-547</v>
      </c>
      <c r="O800" s="84" t="str">
        <f ca="1">IF(Tabla1[[#This Row],[|]]&gt;=0,"VENCIDA",IF(Tabla1[[#This Row],[|]]&gt;=-14,"POR VENCER","OK"))</f>
        <v>OK</v>
      </c>
      <c r="P800" s="90" t="s">
        <v>2294</v>
      </c>
      <c r="Q800" s="88" t="s">
        <v>312</v>
      </c>
      <c r="R800" s="88" t="s">
        <v>317</v>
      </c>
      <c r="S800" s="88"/>
      <c r="T800" s="88"/>
      <c r="U800" s="88"/>
      <c r="V800" s="88" t="s">
        <v>1981</v>
      </c>
      <c r="W800" s="92" t="s">
        <v>1943</v>
      </c>
      <c r="X800" s="88"/>
    </row>
    <row r="801" spans="1:24" s="63" customFormat="1" ht="32.25" customHeight="1" x14ac:dyDescent="0.2">
      <c r="A801" s="202">
        <v>841</v>
      </c>
      <c r="B801" s="88" t="s">
        <v>279</v>
      </c>
      <c r="C801" s="89">
        <v>841</v>
      </c>
      <c r="D801" s="88" t="str">
        <f t="shared" si="28"/>
        <v>SUPERMIX841</v>
      </c>
      <c r="E801" s="58" t="s">
        <v>2612</v>
      </c>
      <c r="F801" s="58" t="s">
        <v>2613</v>
      </c>
      <c r="G801" s="88" t="s">
        <v>310</v>
      </c>
      <c r="H801" s="90">
        <v>70767018</v>
      </c>
      <c r="I801" s="90" t="s">
        <v>3787</v>
      </c>
      <c r="J801" s="88" t="s">
        <v>2614</v>
      </c>
      <c r="K801" s="88" t="s">
        <v>343</v>
      </c>
      <c r="L801" s="91">
        <v>42871</v>
      </c>
      <c r="M801" s="91">
        <v>43967</v>
      </c>
      <c r="N801" s="88">
        <f t="shared" ca="1" si="27"/>
        <v>2220</v>
      </c>
      <c r="O801" s="84" t="str">
        <f ca="1">IF(Tabla1[[#This Row],[|]]&gt;=0,"VENCIDA",IF(Tabla1[[#This Row],[|]]&gt;=-14,"POR VENCER","OK"))</f>
        <v>VENCIDA</v>
      </c>
      <c r="P801" s="90" t="s">
        <v>2294</v>
      </c>
      <c r="Q801" s="88" t="s">
        <v>312</v>
      </c>
      <c r="R801" s="88" t="s">
        <v>317</v>
      </c>
      <c r="S801" s="88"/>
      <c r="T801" s="88"/>
      <c r="U801" s="88"/>
      <c r="V801" s="88" t="s">
        <v>1981</v>
      </c>
      <c r="W801" s="92" t="s">
        <v>1943</v>
      </c>
      <c r="X801" s="88"/>
    </row>
    <row r="802" spans="1:24" s="63" customFormat="1" ht="32.25" customHeight="1" x14ac:dyDescent="0.2">
      <c r="A802" s="202">
        <v>842</v>
      </c>
      <c r="B802" s="88" t="s">
        <v>279</v>
      </c>
      <c r="C802" s="89">
        <v>842</v>
      </c>
      <c r="D802" s="88" t="str">
        <f t="shared" si="28"/>
        <v>SUPERMIX842</v>
      </c>
      <c r="E802" s="58" t="s">
        <v>2615</v>
      </c>
      <c r="F802" s="58" t="s">
        <v>2616</v>
      </c>
      <c r="G802" s="88" t="s">
        <v>25</v>
      </c>
      <c r="H802" s="90">
        <v>40391229</v>
      </c>
      <c r="I802" s="90" t="s">
        <v>3787</v>
      </c>
      <c r="J802" s="88" t="s">
        <v>2617</v>
      </c>
      <c r="K802" s="88" t="s">
        <v>3142</v>
      </c>
      <c r="L802" s="91">
        <v>39659</v>
      </c>
      <c r="M802" s="91">
        <v>46054</v>
      </c>
      <c r="N802" s="88">
        <f t="shared" ca="1" si="27"/>
        <v>133</v>
      </c>
      <c r="O802" s="84" t="str">
        <f ca="1">IF(Tabla1[[#This Row],[|]]&gt;=0,"VENCIDA",IF(Tabla1[[#This Row],[|]]&gt;=-14,"POR VENCER","OK"))</f>
        <v>VENCIDA</v>
      </c>
      <c r="P802" s="90" t="s">
        <v>2294</v>
      </c>
      <c r="Q802" s="88" t="s">
        <v>312</v>
      </c>
      <c r="R802" s="88" t="s">
        <v>317</v>
      </c>
      <c r="S802" s="88"/>
      <c r="T802" s="88"/>
      <c r="U802" s="88"/>
      <c r="V802" s="88" t="s">
        <v>836</v>
      </c>
      <c r="W802" s="92" t="s">
        <v>1267</v>
      </c>
      <c r="X802" s="88"/>
    </row>
    <row r="803" spans="1:24" s="63" customFormat="1" ht="32.25" customHeight="1" x14ac:dyDescent="0.2">
      <c r="A803" s="202">
        <v>843</v>
      </c>
      <c r="B803" s="88" t="s">
        <v>279</v>
      </c>
      <c r="C803" s="89">
        <v>843</v>
      </c>
      <c r="D803" s="88" t="str">
        <f t="shared" si="28"/>
        <v>SUPERMIX843</v>
      </c>
      <c r="E803" s="58" t="s">
        <v>2561</v>
      </c>
      <c r="F803" s="58" t="s">
        <v>2619</v>
      </c>
      <c r="G803" s="88" t="s">
        <v>25</v>
      </c>
      <c r="H803" s="90">
        <v>42044636</v>
      </c>
      <c r="I803" s="90" t="s">
        <v>3787</v>
      </c>
      <c r="J803" s="88" t="s">
        <v>2620</v>
      </c>
      <c r="K803" s="88" t="s">
        <v>3142</v>
      </c>
      <c r="L803" s="91">
        <v>38399</v>
      </c>
      <c r="M803" s="91">
        <v>45298</v>
      </c>
      <c r="N803" s="88">
        <f t="shared" ca="1" si="27"/>
        <v>889</v>
      </c>
      <c r="O803" s="84" t="str">
        <f ca="1">IF(Tabla1[[#This Row],[|]]&gt;=0,"VENCIDA",IF(Tabla1[[#This Row],[|]]&gt;=-14,"POR VENCER","OK"))</f>
        <v>VENCIDA</v>
      </c>
      <c r="P803" s="90" t="s">
        <v>2294</v>
      </c>
      <c r="Q803" s="88" t="s">
        <v>312</v>
      </c>
      <c r="R803" s="88" t="s">
        <v>317</v>
      </c>
      <c r="S803" s="88"/>
      <c r="T803" s="88"/>
      <c r="U803" s="88"/>
      <c r="V803" s="88" t="s">
        <v>836</v>
      </c>
      <c r="W803" s="92" t="s">
        <v>1267</v>
      </c>
      <c r="X803" s="88"/>
    </row>
    <row r="804" spans="1:24" s="63" customFormat="1" ht="32.25" customHeight="1" x14ac:dyDescent="0.2">
      <c r="A804" s="202">
        <v>844</v>
      </c>
      <c r="B804" s="88" t="s">
        <v>279</v>
      </c>
      <c r="C804" s="89">
        <v>844</v>
      </c>
      <c r="D804" s="88" t="str">
        <f t="shared" si="28"/>
        <v>SUPERMIX844</v>
      </c>
      <c r="E804" s="58" t="s">
        <v>2624</v>
      </c>
      <c r="F804" s="58" t="s">
        <v>2625</v>
      </c>
      <c r="G804" s="88" t="s">
        <v>25</v>
      </c>
      <c r="H804" s="90">
        <v>42647787</v>
      </c>
      <c r="I804" s="90" t="s">
        <v>3787</v>
      </c>
      <c r="J804" s="88" t="s">
        <v>2626</v>
      </c>
      <c r="K804" s="88" t="s">
        <v>281</v>
      </c>
      <c r="L804" s="91">
        <v>41404</v>
      </c>
      <c r="M804" s="91">
        <v>43568</v>
      </c>
      <c r="N804" s="88">
        <f t="shared" ca="1" si="27"/>
        <v>2619</v>
      </c>
      <c r="O804" s="84" t="str">
        <f ca="1">IF(Tabla1[[#This Row],[|]]&gt;=0,"VENCIDA",IF(Tabla1[[#This Row],[|]]&gt;=-14,"POR VENCER","OK"))</f>
        <v>VENCIDA</v>
      </c>
      <c r="P804" s="90" t="s">
        <v>2294</v>
      </c>
      <c r="Q804" s="88" t="s">
        <v>312</v>
      </c>
      <c r="R804" s="88" t="s">
        <v>317</v>
      </c>
      <c r="S804" s="88"/>
      <c r="T804" s="88"/>
      <c r="U804" s="88"/>
      <c r="V804" s="88" t="s">
        <v>282</v>
      </c>
      <c r="W804" s="92" t="s">
        <v>1112</v>
      </c>
      <c r="X804" s="88"/>
    </row>
    <row r="805" spans="1:24" s="63" customFormat="1" ht="32.25" customHeight="1" x14ac:dyDescent="0.2">
      <c r="A805" s="202">
        <v>845</v>
      </c>
      <c r="B805" s="88" t="s">
        <v>279</v>
      </c>
      <c r="C805" s="89">
        <v>845</v>
      </c>
      <c r="D805" s="88" t="str">
        <f t="shared" si="28"/>
        <v>SUPERMIX845</v>
      </c>
      <c r="E805" s="58" t="s">
        <v>2627</v>
      </c>
      <c r="F805" s="58" t="s">
        <v>2628</v>
      </c>
      <c r="G805" s="88" t="s">
        <v>25</v>
      </c>
      <c r="H805" s="90">
        <v>44755174</v>
      </c>
      <c r="I805" s="90" t="s">
        <v>3787</v>
      </c>
      <c r="J805" s="88" t="s">
        <v>2629</v>
      </c>
      <c r="K805" s="88" t="s">
        <v>1954</v>
      </c>
      <c r="L805" s="91">
        <v>42227</v>
      </c>
      <c r="M805" s="91">
        <v>44408</v>
      </c>
      <c r="N805" s="88">
        <f t="shared" ca="1" si="27"/>
        <v>1779</v>
      </c>
      <c r="O805" s="84" t="str">
        <f ca="1">IF(Tabla1[[#This Row],[|]]&gt;=0,"VENCIDA",IF(Tabla1[[#This Row],[|]]&gt;=-14,"POR VENCER","OK"))</f>
        <v>VENCIDA</v>
      </c>
      <c r="P805" s="90" t="s">
        <v>2790</v>
      </c>
      <c r="Q805" s="88" t="s">
        <v>312</v>
      </c>
      <c r="R805" s="88" t="s">
        <v>317</v>
      </c>
      <c r="S805" s="88"/>
      <c r="T805" s="88"/>
      <c r="U805" s="88"/>
      <c r="V805" s="88" t="s">
        <v>2298</v>
      </c>
      <c r="W805" s="92" t="s">
        <v>2772</v>
      </c>
      <c r="X805" s="88" t="s">
        <v>624</v>
      </c>
    </row>
    <row r="806" spans="1:24" s="63" customFormat="1" ht="32.25" customHeight="1" x14ac:dyDescent="0.2">
      <c r="A806" s="202">
        <v>846</v>
      </c>
      <c r="B806" s="88" t="s">
        <v>279</v>
      </c>
      <c r="C806" s="89">
        <v>846</v>
      </c>
      <c r="D806" s="88" t="str">
        <f t="shared" si="28"/>
        <v>SUPERMIX846</v>
      </c>
      <c r="E806" s="58" t="s">
        <v>2630</v>
      </c>
      <c r="F806" s="58" t="s">
        <v>1046</v>
      </c>
      <c r="G806" s="88" t="s">
        <v>25</v>
      </c>
      <c r="H806" s="90">
        <v>80216108</v>
      </c>
      <c r="I806" s="90" t="s">
        <v>3787</v>
      </c>
      <c r="J806" s="88" t="s">
        <v>2631</v>
      </c>
      <c r="K806" s="88" t="s">
        <v>281</v>
      </c>
      <c r="L806" s="91">
        <v>43362</v>
      </c>
      <c r="M806" s="91">
        <v>44458</v>
      </c>
      <c r="N806" s="88">
        <f t="shared" ca="1" si="27"/>
        <v>1729</v>
      </c>
      <c r="O806" s="84" t="str">
        <f ca="1">IF(Tabla1[[#This Row],[|]]&gt;=0,"VENCIDA",IF(Tabla1[[#This Row],[|]]&gt;=-14,"POR VENCER","OK"))</f>
        <v>VENCIDA</v>
      </c>
      <c r="P806" s="90" t="s">
        <v>2837</v>
      </c>
      <c r="Q806" s="88" t="s">
        <v>312</v>
      </c>
      <c r="R806" s="88" t="s">
        <v>317</v>
      </c>
      <c r="S806" s="88"/>
      <c r="T806" s="88"/>
      <c r="U806" s="88"/>
      <c r="V806" s="88" t="s">
        <v>2298</v>
      </c>
      <c r="W806" s="92" t="s">
        <v>299</v>
      </c>
      <c r="X806" s="88" t="s">
        <v>624</v>
      </c>
    </row>
    <row r="807" spans="1:24" s="63" customFormat="1" ht="32.25" customHeight="1" x14ac:dyDescent="0.2">
      <c r="A807" s="202">
        <v>847</v>
      </c>
      <c r="B807" s="88" t="s">
        <v>279</v>
      </c>
      <c r="C807" s="89">
        <v>847</v>
      </c>
      <c r="D807" s="88" t="str">
        <f t="shared" si="28"/>
        <v>SUPERMIX847</v>
      </c>
      <c r="E807" s="58" t="s">
        <v>385</v>
      </c>
      <c r="F807" s="58" t="s">
        <v>570</v>
      </c>
      <c r="G807" s="88" t="s">
        <v>25</v>
      </c>
      <c r="H807" s="90">
        <v>41068236</v>
      </c>
      <c r="I807" s="90" t="s">
        <v>3787</v>
      </c>
      <c r="J807" s="88" t="s">
        <v>2633</v>
      </c>
      <c r="K807" s="88" t="s">
        <v>281</v>
      </c>
      <c r="L807" s="91">
        <v>41982</v>
      </c>
      <c r="M807" s="91">
        <v>45659</v>
      </c>
      <c r="N807" s="88">
        <f t="shared" ca="1" si="27"/>
        <v>528</v>
      </c>
      <c r="O807" s="84" t="str">
        <f ca="1">IF(Tabla1[[#This Row],[|]]&gt;=0,"VENCIDA",IF(Tabla1[[#This Row],[|]]&gt;=-14,"POR VENCER","OK"))</f>
        <v>VENCIDA</v>
      </c>
      <c r="P807" s="90" t="s">
        <v>3283</v>
      </c>
      <c r="Q807" s="88" t="s">
        <v>312</v>
      </c>
      <c r="R807" s="88" t="s">
        <v>317</v>
      </c>
      <c r="S807" s="88"/>
      <c r="T807" s="88"/>
      <c r="U807" s="88"/>
      <c r="V807" s="88" t="s">
        <v>282</v>
      </c>
      <c r="W807" s="92" t="s">
        <v>1112</v>
      </c>
      <c r="X807" s="88" t="s">
        <v>824</v>
      </c>
    </row>
    <row r="808" spans="1:24" s="63" customFormat="1" ht="32.25" customHeight="1" x14ac:dyDescent="0.2">
      <c r="A808" s="202">
        <v>848</v>
      </c>
      <c r="B808" s="88" t="s">
        <v>279</v>
      </c>
      <c r="C808" s="89">
        <v>848</v>
      </c>
      <c r="D808" s="88" t="str">
        <f t="shared" si="28"/>
        <v>SUPERMIX848</v>
      </c>
      <c r="E808" s="58" t="s">
        <v>2635</v>
      </c>
      <c r="F808" s="58" t="s">
        <v>2636</v>
      </c>
      <c r="G808" s="88" t="s">
        <v>25</v>
      </c>
      <c r="H808" s="90">
        <v>45581042</v>
      </c>
      <c r="I808" s="90" t="s">
        <v>3787</v>
      </c>
      <c r="J808" s="88" t="s">
        <v>2637</v>
      </c>
      <c r="K808" s="88" t="s">
        <v>1961</v>
      </c>
      <c r="L808" s="91">
        <v>42243</v>
      </c>
      <c r="M808" s="91">
        <v>43339</v>
      </c>
      <c r="N808" s="88">
        <f t="shared" ca="1" si="27"/>
        <v>2848</v>
      </c>
      <c r="O808" s="84" t="str">
        <f ca="1">IF(Tabla1[[#This Row],[|]]&gt;=0,"VENCIDA",IF(Tabla1[[#This Row],[|]]&gt;=-14,"POR VENCER","OK"))</f>
        <v>VENCIDA</v>
      </c>
      <c r="P808" s="90" t="s">
        <v>2294</v>
      </c>
      <c r="Q808" s="88" t="s">
        <v>312</v>
      </c>
      <c r="R808" s="88" t="s">
        <v>317</v>
      </c>
      <c r="S808" s="88"/>
      <c r="T808" s="88"/>
      <c r="U808" s="88"/>
      <c r="V808" s="88" t="s">
        <v>282</v>
      </c>
      <c r="W808" s="92" t="s">
        <v>1112</v>
      </c>
      <c r="X808" s="88"/>
    </row>
    <row r="809" spans="1:24" s="63" customFormat="1" ht="32.25" customHeight="1" x14ac:dyDescent="0.2">
      <c r="A809" s="202">
        <v>849</v>
      </c>
      <c r="B809" s="88" t="s">
        <v>279</v>
      </c>
      <c r="C809" s="89">
        <v>849</v>
      </c>
      <c r="D809" s="88" t="str">
        <f t="shared" si="28"/>
        <v>SUPERMIX849</v>
      </c>
      <c r="E809" s="58" t="s">
        <v>2639</v>
      </c>
      <c r="F809" s="58" t="s">
        <v>2640</v>
      </c>
      <c r="G809" s="88" t="s">
        <v>25</v>
      </c>
      <c r="H809" s="90">
        <v>47237581</v>
      </c>
      <c r="I809" s="90" t="s">
        <v>3787</v>
      </c>
      <c r="J809" s="88" t="s">
        <v>2641</v>
      </c>
      <c r="K809" s="88" t="s">
        <v>1961</v>
      </c>
      <c r="L809" s="91">
        <v>42347</v>
      </c>
      <c r="M809" s="91">
        <v>43443</v>
      </c>
      <c r="N809" s="88">
        <f t="shared" ref="N809:N872" ca="1" si="29">TODAY()-M809</f>
        <v>2744</v>
      </c>
      <c r="O809" s="84" t="str">
        <f ca="1">IF(Tabla1[[#This Row],[|]]&gt;=0,"VENCIDA",IF(Tabla1[[#This Row],[|]]&gt;=-14,"POR VENCER","OK"))</f>
        <v>VENCIDA</v>
      </c>
      <c r="P809" s="90" t="s">
        <v>2161</v>
      </c>
      <c r="Q809" s="88" t="s">
        <v>312</v>
      </c>
      <c r="R809" s="88" t="s">
        <v>317</v>
      </c>
      <c r="S809" s="88"/>
      <c r="T809" s="88"/>
      <c r="U809" s="88"/>
      <c r="V809" s="88" t="s">
        <v>2153</v>
      </c>
      <c r="W809" s="92" t="s">
        <v>525</v>
      </c>
      <c r="X809" s="88"/>
    </row>
    <row r="810" spans="1:24" s="63" customFormat="1" ht="32.25" customHeight="1" x14ac:dyDescent="0.2">
      <c r="A810" s="202">
        <v>850</v>
      </c>
      <c r="B810" s="88" t="s">
        <v>279</v>
      </c>
      <c r="C810" s="89">
        <v>850</v>
      </c>
      <c r="D810" s="88" t="str">
        <f t="shared" si="28"/>
        <v>SUPERMIX850</v>
      </c>
      <c r="E810" s="58" t="s">
        <v>994</v>
      </c>
      <c r="F810" s="58" t="s">
        <v>2644</v>
      </c>
      <c r="G810" s="88" t="s">
        <v>25</v>
      </c>
      <c r="H810" s="90">
        <v>45126915</v>
      </c>
      <c r="I810" s="90" t="s">
        <v>3787</v>
      </c>
      <c r="J810" s="88" t="s">
        <v>2645</v>
      </c>
      <c r="K810" s="88" t="s">
        <v>281</v>
      </c>
      <c r="L810" s="91">
        <v>42202</v>
      </c>
      <c r="M810" s="91">
        <v>44382</v>
      </c>
      <c r="N810" s="88">
        <f t="shared" ca="1" si="29"/>
        <v>1805</v>
      </c>
      <c r="O810" s="84" t="str">
        <f ca="1">IF(Tabla1[[#This Row],[|]]&gt;=0,"VENCIDA",IF(Tabla1[[#This Row],[|]]&gt;=-14,"POR VENCER","OK"))</f>
        <v>VENCIDA</v>
      </c>
      <c r="P810" s="90" t="s">
        <v>2790</v>
      </c>
      <c r="Q810" s="88" t="s">
        <v>312</v>
      </c>
      <c r="R810" s="88" t="s">
        <v>17</v>
      </c>
      <c r="S810" s="88"/>
      <c r="T810" s="88"/>
      <c r="U810" s="88"/>
      <c r="V810" s="88" t="s">
        <v>2711</v>
      </c>
      <c r="W810" s="92" t="s">
        <v>2772</v>
      </c>
      <c r="X810" s="88" t="s">
        <v>624</v>
      </c>
    </row>
    <row r="811" spans="1:24" s="63" customFormat="1" ht="32.25" customHeight="1" x14ac:dyDescent="0.2">
      <c r="A811" s="202">
        <v>851</v>
      </c>
      <c r="B811" s="88" t="s">
        <v>279</v>
      </c>
      <c r="C811" s="89">
        <v>851</v>
      </c>
      <c r="D811" s="88" t="str">
        <f t="shared" si="28"/>
        <v>SUPERMIX851</v>
      </c>
      <c r="E811" s="58" t="s">
        <v>997</v>
      </c>
      <c r="F811" s="58" t="s">
        <v>998</v>
      </c>
      <c r="G811" s="88" t="s">
        <v>25</v>
      </c>
      <c r="H811" s="90">
        <v>29607859</v>
      </c>
      <c r="I811" s="90" t="s">
        <v>3787</v>
      </c>
      <c r="J811" s="88" t="s">
        <v>999</v>
      </c>
      <c r="K811" s="88" t="s">
        <v>1954</v>
      </c>
      <c r="L811" s="91">
        <v>41789</v>
      </c>
      <c r="M811" s="91">
        <v>43970</v>
      </c>
      <c r="N811" s="88">
        <f t="shared" ca="1" si="29"/>
        <v>2217</v>
      </c>
      <c r="O811" s="84" t="str">
        <f ca="1">IF(Tabla1[[#This Row],[|]]&gt;=0,"VENCIDA",IF(Tabla1[[#This Row],[|]]&gt;=-14,"POR VENCER","OK"))</f>
        <v>VENCIDA</v>
      </c>
      <c r="P811" s="90" t="s">
        <v>2735</v>
      </c>
      <c r="Q811" s="88" t="s">
        <v>312</v>
      </c>
      <c r="R811" s="88" t="s">
        <v>317</v>
      </c>
      <c r="S811" s="88"/>
      <c r="T811" s="88"/>
      <c r="U811" s="88"/>
      <c r="V811" s="88" t="s">
        <v>1772</v>
      </c>
      <c r="W811" s="92" t="s">
        <v>299</v>
      </c>
      <c r="X811" s="88"/>
    </row>
    <row r="812" spans="1:24" s="45" customFormat="1" ht="32.25" customHeight="1" x14ac:dyDescent="0.2">
      <c r="A812" s="212">
        <v>852</v>
      </c>
      <c r="B812" s="121" t="s">
        <v>279</v>
      </c>
      <c r="C812" s="139">
        <v>852</v>
      </c>
      <c r="D812" s="121" t="str">
        <f t="shared" si="28"/>
        <v>SUPERMIX852</v>
      </c>
      <c r="E812" s="140" t="s">
        <v>2647</v>
      </c>
      <c r="F812" s="140" t="s">
        <v>2648</v>
      </c>
      <c r="G812" s="121" t="s">
        <v>25</v>
      </c>
      <c r="H812" s="120" t="s">
        <v>2649</v>
      </c>
      <c r="I812" s="120" t="s">
        <v>3787</v>
      </c>
      <c r="J812" s="121" t="s">
        <v>2650</v>
      </c>
      <c r="K812" s="121" t="s">
        <v>281</v>
      </c>
      <c r="L812" s="141">
        <v>37944</v>
      </c>
      <c r="M812" s="141">
        <v>43654</v>
      </c>
      <c r="N812" s="121">
        <f t="shared" ca="1" si="29"/>
        <v>2533</v>
      </c>
      <c r="O812" s="142" t="str">
        <f ca="1">IF(Tabla1[[#This Row],[|]]&gt;=0,"VENCIDA",IF(Tabla1[[#This Row],[|]]&gt;=-14,"POR VENCER","OK"))</f>
        <v>VENCIDA</v>
      </c>
      <c r="P812" s="120" t="s">
        <v>2643</v>
      </c>
      <c r="Q812" s="121" t="s">
        <v>312</v>
      </c>
      <c r="R812" s="121" t="s">
        <v>17</v>
      </c>
      <c r="S812" s="88"/>
      <c r="T812" s="88"/>
      <c r="U812" s="88"/>
      <c r="V812" s="121" t="s">
        <v>2646</v>
      </c>
      <c r="W812" s="122" t="s">
        <v>299</v>
      </c>
      <c r="X812" s="121"/>
    </row>
    <row r="813" spans="1:24" s="63" customFormat="1" ht="32.25" customHeight="1" x14ac:dyDescent="0.2">
      <c r="A813" s="202">
        <v>853</v>
      </c>
      <c r="B813" s="88" t="s">
        <v>279</v>
      </c>
      <c r="C813" s="89">
        <v>853</v>
      </c>
      <c r="D813" s="88" t="str">
        <f t="shared" si="28"/>
        <v>SUPERMIX853</v>
      </c>
      <c r="E813" s="58" t="s">
        <v>2651</v>
      </c>
      <c r="F813" s="58" t="s">
        <v>2652</v>
      </c>
      <c r="G813" s="88" t="s">
        <v>25</v>
      </c>
      <c r="H813" s="90">
        <v>73332828</v>
      </c>
      <c r="I813" s="90" t="s">
        <v>3787</v>
      </c>
      <c r="J813" s="88" t="s">
        <v>2653</v>
      </c>
      <c r="K813" s="88" t="s">
        <v>1954</v>
      </c>
      <c r="L813" s="91">
        <v>43005</v>
      </c>
      <c r="M813" s="91">
        <v>44101</v>
      </c>
      <c r="N813" s="88">
        <f t="shared" ca="1" si="29"/>
        <v>2086</v>
      </c>
      <c r="O813" s="84" t="str">
        <f ca="1">IF(Tabla1[[#This Row],[|]]&gt;=0,"VENCIDA",IF(Tabla1[[#This Row],[|]]&gt;=-14,"POR VENCER","OK"))</f>
        <v>VENCIDA</v>
      </c>
      <c r="P813" s="90" t="s">
        <v>624</v>
      </c>
      <c r="Q813" s="88" t="s">
        <v>312</v>
      </c>
      <c r="R813" s="88" t="s">
        <v>317</v>
      </c>
      <c r="S813" s="88"/>
      <c r="T813" s="88"/>
      <c r="U813" s="88"/>
      <c r="V813" s="88" t="s">
        <v>2646</v>
      </c>
      <c r="W813" s="92" t="s">
        <v>299</v>
      </c>
      <c r="X813" s="88"/>
    </row>
    <row r="814" spans="1:24" s="63" customFormat="1" ht="32.25" customHeight="1" x14ac:dyDescent="0.2">
      <c r="A814" s="202">
        <v>854</v>
      </c>
      <c r="B814" s="88" t="s">
        <v>279</v>
      </c>
      <c r="C814" s="89">
        <v>854</v>
      </c>
      <c r="D814" s="88" t="str">
        <f t="shared" si="28"/>
        <v>SUPERMIX854</v>
      </c>
      <c r="E814" s="58" t="s">
        <v>2654</v>
      </c>
      <c r="F814" s="58" t="s">
        <v>2655</v>
      </c>
      <c r="G814" s="88" t="s">
        <v>25</v>
      </c>
      <c r="H814" s="90">
        <v>41856858</v>
      </c>
      <c r="I814" s="90" t="s">
        <v>3787</v>
      </c>
      <c r="J814" s="88" t="s">
        <v>2656</v>
      </c>
      <c r="K814" s="88" t="s">
        <v>281</v>
      </c>
      <c r="L814" s="91">
        <v>42145</v>
      </c>
      <c r="M814" s="91">
        <v>44310</v>
      </c>
      <c r="N814" s="88">
        <f t="shared" ca="1" si="29"/>
        <v>1877</v>
      </c>
      <c r="O814" s="84" t="str">
        <f ca="1">IF(Tabla1[[#This Row],[|]]&gt;=0,"VENCIDA",IF(Tabla1[[#This Row],[|]]&gt;=-14,"POR VENCER","OK"))</f>
        <v>VENCIDA</v>
      </c>
      <c r="P814" s="90" t="s">
        <v>2848</v>
      </c>
      <c r="Q814" s="88" t="s">
        <v>312</v>
      </c>
      <c r="R814" s="88" t="s">
        <v>317</v>
      </c>
      <c r="S814" s="88"/>
      <c r="T814" s="88"/>
      <c r="U814" s="88"/>
      <c r="V814" s="88" t="s">
        <v>2646</v>
      </c>
      <c r="W814" s="92" t="s">
        <v>299</v>
      </c>
      <c r="X814" s="88" t="s">
        <v>624</v>
      </c>
    </row>
    <row r="815" spans="1:24" s="63" customFormat="1" ht="32.25" customHeight="1" x14ac:dyDescent="0.2">
      <c r="A815" s="202">
        <v>855</v>
      </c>
      <c r="B815" s="88" t="s">
        <v>279</v>
      </c>
      <c r="C815" s="89">
        <v>855</v>
      </c>
      <c r="D815" s="88" t="str">
        <f t="shared" si="28"/>
        <v>SUPERMIX855</v>
      </c>
      <c r="E815" s="58" t="s">
        <v>2657</v>
      </c>
      <c r="F815" s="58" t="s">
        <v>2658</v>
      </c>
      <c r="G815" s="88" t="s">
        <v>25</v>
      </c>
      <c r="H815" s="90">
        <v>42547611</v>
      </c>
      <c r="I815" s="90" t="s">
        <v>3787</v>
      </c>
      <c r="J815" s="88" t="s">
        <v>2659</v>
      </c>
      <c r="K815" s="88" t="s">
        <v>1954</v>
      </c>
      <c r="L815" s="91">
        <v>41675</v>
      </c>
      <c r="M815" s="91">
        <v>45628</v>
      </c>
      <c r="N815" s="88">
        <f t="shared" ca="1" si="29"/>
        <v>559</v>
      </c>
      <c r="O815" s="84" t="str">
        <f ca="1">IF(Tabla1[[#This Row],[|]]&gt;=0,"VENCIDA",IF(Tabla1[[#This Row],[|]]&gt;=-14,"POR VENCER","OK"))</f>
        <v>VENCIDA</v>
      </c>
      <c r="P815" s="90" t="s">
        <v>624</v>
      </c>
      <c r="Q815" s="88" t="s">
        <v>312</v>
      </c>
      <c r="R815" s="88" t="s">
        <v>317</v>
      </c>
      <c r="S815" s="88"/>
      <c r="T815" s="88"/>
      <c r="U815" s="88"/>
      <c r="V815" s="88" t="s">
        <v>2646</v>
      </c>
      <c r="W815" s="92" t="s">
        <v>299</v>
      </c>
      <c r="X815" s="88" t="s">
        <v>624</v>
      </c>
    </row>
    <row r="816" spans="1:24" s="63" customFormat="1" ht="32.25" customHeight="1" x14ac:dyDescent="0.2">
      <c r="A816" s="202">
        <v>856</v>
      </c>
      <c r="B816" s="88" t="s">
        <v>279</v>
      </c>
      <c r="C816" s="89">
        <v>856</v>
      </c>
      <c r="D816" s="88" t="str">
        <f t="shared" si="28"/>
        <v>SUPERMIX856</v>
      </c>
      <c r="E816" s="58" t="s">
        <v>2660</v>
      </c>
      <c r="F816" s="58" t="s">
        <v>2661</v>
      </c>
      <c r="G816" s="88" t="s">
        <v>25</v>
      </c>
      <c r="H816" s="90">
        <v>29354137</v>
      </c>
      <c r="I816" s="90" t="s">
        <v>3787</v>
      </c>
      <c r="J816" s="88" t="s">
        <v>2662</v>
      </c>
      <c r="K816" s="88" t="s">
        <v>343</v>
      </c>
      <c r="L816" s="91">
        <v>38918</v>
      </c>
      <c r="M816" s="91">
        <v>43714</v>
      </c>
      <c r="N816" s="88">
        <f t="shared" ca="1" si="29"/>
        <v>2473</v>
      </c>
      <c r="O816" s="84" t="str">
        <f ca="1">IF(Tabla1[[#This Row],[|]]&gt;=0,"VENCIDA",IF(Tabla1[[#This Row],[|]]&gt;=-14,"POR VENCER","OK"))</f>
        <v>VENCIDA</v>
      </c>
      <c r="P816" s="90" t="s">
        <v>640</v>
      </c>
      <c r="Q816" s="88" t="s">
        <v>312</v>
      </c>
      <c r="R816" s="88" t="s">
        <v>17</v>
      </c>
      <c r="S816" s="88"/>
      <c r="T816" s="88"/>
      <c r="U816" s="88"/>
      <c r="V816" s="88" t="s">
        <v>2646</v>
      </c>
      <c r="W816" s="92" t="s">
        <v>299</v>
      </c>
      <c r="X816" s="88"/>
    </row>
    <row r="817" spans="1:24" s="63" customFormat="1" ht="32.25" customHeight="1" x14ac:dyDescent="0.2">
      <c r="A817" s="202">
        <v>857</v>
      </c>
      <c r="B817" s="88" t="s">
        <v>279</v>
      </c>
      <c r="C817" s="89">
        <v>857</v>
      </c>
      <c r="D817" s="88" t="str">
        <f t="shared" si="28"/>
        <v>SUPERMIX857</v>
      </c>
      <c r="E817" s="58" t="s">
        <v>2663</v>
      </c>
      <c r="F817" s="58" t="s">
        <v>847</v>
      </c>
      <c r="G817" s="88" t="s">
        <v>25</v>
      </c>
      <c r="H817" s="90">
        <v>46883436</v>
      </c>
      <c r="I817" s="90" t="s">
        <v>3787</v>
      </c>
      <c r="J817" s="88" t="s">
        <v>2664</v>
      </c>
      <c r="K817" s="88" t="s">
        <v>343</v>
      </c>
      <c r="L817" s="91">
        <v>42300</v>
      </c>
      <c r="M817" s="91">
        <v>43396</v>
      </c>
      <c r="N817" s="88">
        <f t="shared" ca="1" si="29"/>
        <v>2791</v>
      </c>
      <c r="O817" s="84" t="str">
        <f ca="1">IF(Tabla1[[#This Row],[|]]&gt;=0,"VENCIDA",IF(Tabla1[[#This Row],[|]]&gt;=-14,"POR VENCER","OK"))</f>
        <v>VENCIDA</v>
      </c>
      <c r="P817" s="90" t="s">
        <v>824</v>
      </c>
      <c r="Q817" s="88" t="s">
        <v>312</v>
      </c>
      <c r="R817" s="88" t="s">
        <v>317</v>
      </c>
      <c r="S817" s="88"/>
      <c r="T817" s="88"/>
      <c r="U817" s="88"/>
      <c r="V817" s="88" t="s">
        <v>2665</v>
      </c>
      <c r="W817" s="92" t="s">
        <v>2666</v>
      </c>
      <c r="X817" s="88"/>
    </row>
    <row r="818" spans="1:24" s="63" customFormat="1" ht="32.25" customHeight="1" x14ac:dyDescent="0.2">
      <c r="A818" s="202">
        <v>858</v>
      </c>
      <c r="B818" s="88" t="s">
        <v>279</v>
      </c>
      <c r="C818" s="89">
        <v>858</v>
      </c>
      <c r="D818" s="88" t="str">
        <f t="shared" si="28"/>
        <v>SUPERMIX858</v>
      </c>
      <c r="E818" s="58" t="s">
        <v>2667</v>
      </c>
      <c r="F818" s="58" t="s">
        <v>203</v>
      </c>
      <c r="G818" s="88" t="s">
        <v>25</v>
      </c>
      <c r="H818" s="90">
        <v>29466534</v>
      </c>
      <c r="I818" s="90" t="s">
        <v>3787</v>
      </c>
      <c r="J818" s="88" t="s">
        <v>2668</v>
      </c>
      <c r="K818" s="88" t="s">
        <v>281</v>
      </c>
      <c r="L818" s="91">
        <v>37174</v>
      </c>
      <c r="M818" s="91">
        <v>43638</v>
      </c>
      <c r="N818" s="88">
        <f t="shared" ca="1" si="29"/>
        <v>2549</v>
      </c>
      <c r="O818" s="84" t="str">
        <f ca="1">IF(Tabla1[[#This Row],[|]]&gt;=0,"VENCIDA",IF(Tabla1[[#This Row],[|]]&gt;=-14,"POR VENCER","OK"))</f>
        <v>VENCIDA</v>
      </c>
      <c r="P818" s="90" t="s">
        <v>1992</v>
      </c>
      <c r="Q818" s="88" t="s">
        <v>312</v>
      </c>
      <c r="R818" s="88" t="s">
        <v>17</v>
      </c>
      <c r="S818" s="88"/>
      <c r="T818" s="88"/>
      <c r="U818" s="88"/>
      <c r="V818" s="88" t="s">
        <v>282</v>
      </c>
      <c r="W818" s="92" t="s">
        <v>1112</v>
      </c>
      <c r="X818" s="88"/>
    </row>
    <row r="819" spans="1:24" s="63" customFormat="1" ht="32.25" customHeight="1" x14ac:dyDescent="0.2">
      <c r="A819" s="202">
        <v>859</v>
      </c>
      <c r="B819" s="88" t="s">
        <v>279</v>
      </c>
      <c r="C819" s="89">
        <v>859</v>
      </c>
      <c r="D819" s="88" t="str">
        <f t="shared" si="28"/>
        <v>SUPERMIX859</v>
      </c>
      <c r="E819" s="58" t="s">
        <v>2670</v>
      </c>
      <c r="F819" s="58" t="s">
        <v>2671</v>
      </c>
      <c r="G819" s="88" t="s">
        <v>25</v>
      </c>
      <c r="H819" s="90">
        <v>73601941</v>
      </c>
      <c r="I819" s="90" t="s">
        <v>3787</v>
      </c>
      <c r="J819" s="88" t="s">
        <v>2672</v>
      </c>
      <c r="K819" s="88" t="s">
        <v>343</v>
      </c>
      <c r="L819" s="91">
        <v>42374</v>
      </c>
      <c r="M819" s="91">
        <v>43470</v>
      </c>
      <c r="N819" s="88">
        <f t="shared" ca="1" si="29"/>
        <v>2717</v>
      </c>
      <c r="O819" s="84" t="str">
        <f ca="1">IF(Tabla1[[#This Row],[|]]&gt;=0,"VENCIDA",IF(Tabla1[[#This Row],[|]]&gt;=-14,"POR VENCER","OK"))</f>
        <v>VENCIDA</v>
      </c>
      <c r="P819" s="90" t="s">
        <v>2681</v>
      </c>
      <c r="Q819" s="88" t="s">
        <v>312</v>
      </c>
      <c r="R819" s="88" t="s">
        <v>317</v>
      </c>
      <c r="S819" s="88"/>
      <c r="T819" s="88"/>
      <c r="U819" s="88"/>
      <c r="V819" s="88" t="s">
        <v>2055</v>
      </c>
      <c r="W819" s="92" t="s">
        <v>525</v>
      </c>
      <c r="X819" s="88"/>
    </row>
    <row r="820" spans="1:24" s="43" customFormat="1" ht="32.25" customHeight="1" x14ac:dyDescent="0.2">
      <c r="A820" s="42">
        <v>860</v>
      </c>
      <c r="B820" s="93" t="s">
        <v>279</v>
      </c>
      <c r="C820" s="94">
        <v>860</v>
      </c>
      <c r="D820" s="93" t="str">
        <f t="shared" si="28"/>
        <v>SUPERMIX860</v>
      </c>
      <c r="E820" s="115" t="s">
        <v>2673</v>
      </c>
      <c r="F820" s="115" t="s">
        <v>2674</v>
      </c>
      <c r="G820" s="93" t="s">
        <v>310</v>
      </c>
      <c r="H820" s="95">
        <v>29687856</v>
      </c>
      <c r="I820" s="95" t="s">
        <v>3788</v>
      </c>
      <c r="J820" s="93" t="s">
        <v>2675</v>
      </c>
      <c r="K820" s="93" t="s">
        <v>3142</v>
      </c>
      <c r="L820" s="96">
        <v>40085</v>
      </c>
      <c r="M820" s="96">
        <v>48063</v>
      </c>
      <c r="N820" s="93">
        <f t="shared" ca="1" si="29"/>
        <v>-1876</v>
      </c>
      <c r="O820" s="84" t="str">
        <f ca="1">IF(Tabla1[[#This Row],[|]]&gt;=0,"VENCIDA",IF(Tabla1[[#This Row],[|]]&gt;=-14,"POR VENCER","OK"))</f>
        <v>OK</v>
      </c>
      <c r="P820" s="95" t="s">
        <v>824</v>
      </c>
      <c r="Q820" s="93" t="s">
        <v>312</v>
      </c>
      <c r="R820" s="93" t="s">
        <v>317</v>
      </c>
      <c r="S820" s="93"/>
      <c r="T820" s="93"/>
      <c r="U820" s="93"/>
      <c r="V820" s="93" t="s">
        <v>2055</v>
      </c>
      <c r="W820" s="97" t="s">
        <v>525</v>
      </c>
      <c r="X820" s="93" t="s">
        <v>3546</v>
      </c>
    </row>
    <row r="821" spans="1:24" s="63" customFormat="1" ht="32.25" customHeight="1" x14ac:dyDescent="0.2">
      <c r="A821" s="202">
        <v>861</v>
      </c>
      <c r="B821" s="88" t="s">
        <v>279</v>
      </c>
      <c r="C821" s="89">
        <v>861</v>
      </c>
      <c r="D821" s="88" t="str">
        <f t="shared" si="28"/>
        <v>SUPERMIX861</v>
      </c>
      <c r="E821" s="58" t="s">
        <v>2678</v>
      </c>
      <c r="F821" s="58" t="s">
        <v>2679</v>
      </c>
      <c r="G821" s="88" t="s">
        <v>25</v>
      </c>
      <c r="H821" s="90">
        <v>44045116</v>
      </c>
      <c r="I821" s="90" t="s">
        <v>3787</v>
      </c>
      <c r="J821" s="88" t="s">
        <v>2680</v>
      </c>
      <c r="K821" s="88" t="s">
        <v>1954</v>
      </c>
      <c r="L821" s="91">
        <v>41808</v>
      </c>
      <c r="M821" s="91">
        <v>44001</v>
      </c>
      <c r="N821" s="88">
        <f t="shared" ca="1" si="29"/>
        <v>2186</v>
      </c>
      <c r="O821" s="84" t="str">
        <f ca="1">IF(Tabla1[[#This Row],[|]]&gt;=0,"VENCIDA",IF(Tabla1[[#This Row],[|]]&gt;=-14,"POR VENCER","OK"))</f>
        <v>VENCIDA</v>
      </c>
      <c r="P821" s="90" t="s">
        <v>624</v>
      </c>
      <c r="Q821" s="88" t="s">
        <v>312</v>
      </c>
      <c r="R821" s="88" t="s">
        <v>317</v>
      </c>
      <c r="S821" s="88"/>
      <c r="T821" s="88"/>
      <c r="U821" s="88"/>
      <c r="V821" s="88" t="s">
        <v>1939</v>
      </c>
      <c r="W821" s="92" t="s">
        <v>299</v>
      </c>
      <c r="X821" s="88"/>
    </row>
    <row r="822" spans="1:24" s="63" customFormat="1" ht="32.25" customHeight="1" x14ac:dyDescent="0.2">
      <c r="A822" s="202">
        <v>862</v>
      </c>
      <c r="B822" s="88" t="s">
        <v>279</v>
      </c>
      <c r="C822" s="89">
        <v>862</v>
      </c>
      <c r="D822" s="88" t="str">
        <f t="shared" si="28"/>
        <v>SUPERMIX862</v>
      </c>
      <c r="E822" s="58" t="s">
        <v>2682</v>
      </c>
      <c r="F822" s="58" t="s">
        <v>2683</v>
      </c>
      <c r="G822" s="88" t="s">
        <v>25</v>
      </c>
      <c r="H822" s="90">
        <v>44830126</v>
      </c>
      <c r="I822" s="90" t="s">
        <v>3787</v>
      </c>
      <c r="J822" s="88" t="s">
        <v>2684</v>
      </c>
      <c r="K822" s="88" t="s">
        <v>1954</v>
      </c>
      <c r="L822" s="91">
        <v>41976</v>
      </c>
      <c r="M822" s="91">
        <v>44141</v>
      </c>
      <c r="N822" s="88">
        <f t="shared" ca="1" si="29"/>
        <v>2046</v>
      </c>
      <c r="O822" s="84" t="str">
        <f ca="1">IF(Tabla1[[#This Row],[|]]&gt;=0,"VENCIDA",IF(Tabla1[[#This Row],[|]]&gt;=-14,"POR VENCER","OK"))</f>
        <v>VENCIDA</v>
      </c>
      <c r="P822" s="90" t="s">
        <v>2790</v>
      </c>
      <c r="Q822" s="88" t="s">
        <v>312</v>
      </c>
      <c r="R822" s="88" t="s">
        <v>317</v>
      </c>
      <c r="S822" s="88"/>
      <c r="T822" s="88"/>
      <c r="U822" s="88"/>
      <c r="V822" s="88" t="s">
        <v>2646</v>
      </c>
      <c r="W822" s="92" t="s">
        <v>299</v>
      </c>
      <c r="X822" s="88" t="s">
        <v>624</v>
      </c>
    </row>
    <row r="823" spans="1:24" s="63" customFormat="1" ht="32.25" customHeight="1" x14ac:dyDescent="0.2">
      <c r="A823" s="202">
        <v>863</v>
      </c>
      <c r="B823" s="88" t="s">
        <v>279</v>
      </c>
      <c r="C823" s="89">
        <v>863</v>
      </c>
      <c r="D823" s="88" t="str">
        <f t="shared" si="28"/>
        <v>SUPERMIX863</v>
      </c>
      <c r="E823" s="58" t="s">
        <v>2685</v>
      </c>
      <c r="F823" s="58" t="s">
        <v>2686</v>
      </c>
      <c r="G823" s="88" t="s">
        <v>25</v>
      </c>
      <c r="H823" s="90">
        <v>70480175</v>
      </c>
      <c r="I823" s="90" t="s">
        <v>3787</v>
      </c>
      <c r="J823" s="88" t="s">
        <v>2687</v>
      </c>
      <c r="K823" s="88" t="s">
        <v>343</v>
      </c>
      <c r="L823" s="91">
        <v>42359</v>
      </c>
      <c r="M823" s="91">
        <v>43455</v>
      </c>
      <c r="N823" s="88">
        <f t="shared" ca="1" si="29"/>
        <v>2732</v>
      </c>
      <c r="O823" s="84" t="str">
        <f ca="1">IF(Tabla1[[#This Row],[|]]&gt;=0,"VENCIDA",IF(Tabla1[[#This Row],[|]]&gt;=-14,"POR VENCER","OK"))</f>
        <v>VENCIDA</v>
      </c>
      <c r="P823" s="90" t="s">
        <v>760</v>
      </c>
      <c r="Q823" s="88" t="s">
        <v>312</v>
      </c>
      <c r="R823" s="88" t="s">
        <v>317</v>
      </c>
      <c r="S823" s="88"/>
      <c r="T823" s="88"/>
      <c r="U823" s="88"/>
      <c r="V823" s="88" t="s">
        <v>2646</v>
      </c>
      <c r="W823" s="92" t="s">
        <v>299</v>
      </c>
      <c r="X823" s="88"/>
    </row>
    <row r="824" spans="1:24" s="63" customFormat="1" ht="32.25" customHeight="1" x14ac:dyDescent="0.2">
      <c r="A824" s="202">
        <v>864</v>
      </c>
      <c r="B824" s="88" t="s">
        <v>279</v>
      </c>
      <c r="C824" s="89">
        <v>864</v>
      </c>
      <c r="D824" s="88" t="str">
        <f t="shared" si="28"/>
        <v>SUPERMIX864</v>
      </c>
      <c r="E824" s="58" t="s">
        <v>2688</v>
      </c>
      <c r="F824" s="58" t="s">
        <v>2689</v>
      </c>
      <c r="G824" s="88" t="s">
        <v>25</v>
      </c>
      <c r="H824" s="90">
        <v>45676111</v>
      </c>
      <c r="I824" s="90" t="s">
        <v>3787</v>
      </c>
      <c r="J824" s="88" t="s">
        <v>2690</v>
      </c>
      <c r="K824" s="88" t="s">
        <v>1961</v>
      </c>
      <c r="L824" s="91">
        <v>42074</v>
      </c>
      <c r="M824" s="91">
        <v>44283</v>
      </c>
      <c r="N824" s="88">
        <f t="shared" ca="1" si="29"/>
        <v>1904</v>
      </c>
      <c r="O824" s="84" t="str">
        <f ca="1">IF(Tabla1[[#This Row],[|]]&gt;=0,"VENCIDA",IF(Tabla1[[#This Row],[|]]&gt;=-14,"POR VENCER","OK"))</f>
        <v>VENCIDA</v>
      </c>
      <c r="P824" s="90" t="s">
        <v>2161</v>
      </c>
      <c r="Q824" s="88" t="s">
        <v>312</v>
      </c>
      <c r="R824" s="88" t="s">
        <v>317</v>
      </c>
      <c r="S824" s="88"/>
      <c r="T824" s="88"/>
      <c r="U824" s="88"/>
      <c r="V824" s="88" t="s">
        <v>2691</v>
      </c>
      <c r="W824" s="92" t="s">
        <v>525</v>
      </c>
      <c r="X824" s="88"/>
    </row>
    <row r="825" spans="1:24" s="43" customFormat="1" ht="32.25" customHeight="1" x14ac:dyDescent="0.2">
      <c r="A825" s="42">
        <v>865</v>
      </c>
      <c r="B825" s="93" t="s">
        <v>279</v>
      </c>
      <c r="C825" s="94">
        <v>865</v>
      </c>
      <c r="D825" s="93" t="str">
        <f t="shared" si="28"/>
        <v>SUPERMIX865</v>
      </c>
      <c r="E825" s="115" t="s">
        <v>495</v>
      </c>
      <c r="F825" s="115" t="s">
        <v>496</v>
      </c>
      <c r="G825" s="93" t="s">
        <v>310</v>
      </c>
      <c r="H825" s="95">
        <v>29412199</v>
      </c>
      <c r="I825" s="95" t="s">
        <v>3788</v>
      </c>
      <c r="J825" s="93" t="s">
        <v>515</v>
      </c>
      <c r="K825" s="93" t="s">
        <v>1954</v>
      </c>
      <c r="L825" s="96">
        <v>36682</v>
      </c>
      <c r="M825" s="96">
        <v>47924</v>
      </c>
      <c r="N825" s="93">
        <f t="shared" ca="1" si="29"/>
        <v>-1737</v>
      </c>
      <c r="O825" s="84" t="str">
        <f ca="1">IF(Tabla1[[#This Row],[|]]&gt;=0,"VENCIDA",IF(Tabla1[[#This Row],[|]]&gt;=-14,"POR VENCER","OK"))</f>
        <v>OK</v>
      </c>
      <c r="P825" s="95" t="s">
        <v>4254</v>
      </c>
      <c r="Q825" s="95" t="s">
        <v>312</v>
      </c>
      <c r="R825" s="93" t="s">
        <v>17</v>
      </c>
      <c r="S825" s="93"/>
      <c r="T825" s="93"/>
      <c r="U825" s="93"/>
      <c r="V825" s="93" t="s">
        <v>282</v>
      </c>
      <c r="W825" s="97" t="s">
        <v>1017</v>
      </c>
      <c r="X825" s="204" t="s">
        <v>597</v>
      </c>
    </row>
    <row r="826" spans="1:24" s="59" customFormat="1" ht="32.25" customHeight="1" x14ac:dyDescent="0.2">
      <c r="A826" s="200">
        <v>866</v>
      </c>
      <c r="B826" s="61" t="s">
        <v>279</v>
      </c>
      <c r="C826" s="87">
        <v>866</v>
      </c>
      <c r="D826" s="61" t="str">
        <f t="shared" si="28"/>
        <v>SUPERMIX866</v>
      </c>
      <c r="E826" s="82" t="s">
        <v>2692</v>
      </c>
      <c r="F826" s="82" t="s">
        <v>2693</v>
      </c>
      <c r="G826" s="61" t="s">
        <v>341</v>
      </c>
      <c r="H826" s="60">
        <v>41791097</v>
      </c>
      <c r="I826" s="60" t="s">
        <v>3787</v>
      </c>
      <c r="J826" s="61" t="s">
        <v>2694</v>
      </c>
      <c r="K826" s="61" t="s">
        <v>1954</v>
      </c>
      <c r="L826" s="62">
        <v>42061</v>
      </c>
      <c r="M826" s="62">
        <v>44262</v>
      </c>
      <c r="N826" s="61">
        <f t="shared" ca="1" si="29"/>
        <v>1925</v>
      </c>
      <c r="O826" s="84" t="str">
        <f ca="1">IF(Tabla1[[#This Row],[|]]&gt;=0,"VENCIDA",IF(Tabla1[[#This Row],[|]]&gt;=-14,"POR VENCER","OK"))</f>
        <v>VENCIDA</v>
      </c>
      <c r="P826" s="60" t="s">
        <v>2790</v>
      </c>
      <c r="Q826" s="61" t="s">
        <v>312</v>
      </c>
      <c r="R826" s="61" t="s">
        <v>317</v>
      </c>
      <c r="S826" s="61"/>
      <c r="T826" s="61"/>
      <c r="U826" s="61"/>
      <c r="V826" s="61" t="s">
        <v>2711</v>
      </c>
      <c r="W826" s="86" t="s">
        <v>2772</v>
      </c>
      <c r="X826" s="61" t="s">
        <v>624</v>
      </c>
    </row>
    <row r="827" spans="1:24" s="63" customFormat="1" ht="32.25" customHeight="1" x14ac:dyDescent="0.2">
      <c r="A827" s="202">
        <v>867</v>
      </c>
      <c r="B827" s="88" t="s">
        <v>279</v>
      </c>
      <c r="C827" s="89">
        <v>867</v>
      </c>
      <c r="D827" s="88" t="str">
        <f t="shared" si="28"/>
        <v>SUPERMIX867</v>
      </c>
      <c r="E827" s="58" t="s">
        <v>2696</v>
      </c>
      <c r="F827" s="58" t="s">
        <v>2697</v>
      </c>
      <c r="G827" s="88" t="s">
        <v>25</v>
      </c>
      <c r="H827" s="90">
        <v>45263434</v>
      </c>
      <c r="I827" s="90" t="s">
        <v>3787</v>
      </c>
      <c r="J827" s="88" t="s">
        <v>2698</v>
      </c>
      <c r="K827" s="88" t="s">
        <v>343</v>
      </c>
      <c r="L827" s="91">
        <v>42374</v>
      </c>
      <c r="M827" s="91">
        <v>43470</v>
      </c>
      <c r="N827" s="88">
        <f t="shared" ca="1" si="29"/>
        <v>2717</v>
      </c>
      <c r="O827" s="84" t="str">
        <f ca="1">IF(Tabla1[[#This Row],[|]]&gt;=0,"VENCIDA",IF(Tabla1[[#This Row],[|]]&gt;=-14,"POR VENCER","OK"))</f>
        <v>VENCIDA</v>
      </c>
      <c r="P827" s="90" t="s">
        <v>824</v>
      </c>
      <c r="Q827" s="88" t="s">
        <v>312</v>
      </c>
      <c r="R827" s="88" t="s">
        <v>317</v>
      </c>
      <c r="S827" s="88"/>
      <c r="T827" s="88"/>
      <c r="U827" s="88"/>
      <c r="V827" s="88" t="s">
        <v>831</v>
      </c>
      <c r="W827" s="92" t="s">
        <v>832</v>
      </c>
      <c r="X827" s="88"/>
    </row>
    <row r="828" spans="1:24" s="63" customFormat="1" ht="32.25" customHeight="1" x14ac:dyDescent="0.2">
      <c r="A828" s="202">
        <v>868</v>
      </c>
      <c r="B828" s="88" t="s">
        <v>279</v>
      </c>
      <c r="C828" s="89">
        <v>868</v>
      </c>
      <c r="D828" s="88" t="str">
        <f t="shared" si="28"/>
        <v>SUPERMIX868</v>
      </c>
      <c r="E828" s="58" t="s">
        <v>2915</v>
      </c>
      <c r="F828" s="58" t="s">
        <v>2699</v>
      </c>
      <c r="G828" s="88" t="s">
        <v>25</v>
      </c>
      <c r="H828" s="90">
        <v>44292764</v>
      </c>
      <c r="I828" s="90" t="s">
        <v>3787</v>
      </c>
      <c r="J828" s="88" t="s">
        <v>2700</v>
      </c>
      <c r="K828" s="88" t="s">
        <v>281</v>
      </c>
      <c r="L828" s="91">
        <v>42072</v>
      </c>
      <c r="M828" s="91">
        <v>44271</v>
      </c>
      <c r="N828" s="88">
        <f t="shared" ca="1" si="29"/>
        <v>1916</v>
      </c>
      <c r="O828" s="84" t="str">
        <f ca="1">IF(Tabla1[[#This Row],[|]]&gt;=0,"VENCIDA",IF(Tabla1[[#This Row],[|]]&gt;=-14,"POR VENCER","OK"))</f>
        <v>VENCIDA</v>
      </c>
      <c r="P828" s="90" t="s">
        <v>624</v>
      </c>
      <c r="Q828" s="88" t="s">
        <v>312</v>
      </c>
      <c r="R828" s="88" t="s">
        <v>317</v>
      </c>
      <c r="S828" s="88"/>
      <c r="T828" s="88"/>
      <c r="U828" s="88"/>
      <c r="V828" s="88" t="s">
        <v>2646</v>
      </c>
      <c r="W828" s="92" t="s">
        <v>299</v>
      </c>
      <c r="X828" s="88" t="s">
        <v>624</v>
      </c>
    </row>
    <row r="829" spans="1:24" s="63" customFormat="1" ht="32.25" customHeight="1" x14ac:dyDescent="0.2">
      <c r="A829" s="202">
        <v>869</v>
      </c>
      <c r="B829" s="88" t="s">
        <v>279</v>
      </c>
      <c r="C829" s="89">
        <v>869</v>
      </c>
      <c r="D829" s="88" t="str">
        <f t="shared" si="28"/>
        <v>SUPERMIX869</v>
      </c>
      <c r="E829" s="58" t="s">
        <v>2702</v>
      </c>
      <c r="F829" s="58" t="s">
        <v>2703</v>
      </c>
      <c r="G829" s="88" t="s">
        <v>25</v>
      </c>
      <c r="H829" s="90">
        <v>44201650</v>
      </c>
      <c r="I829" s="90" t="s">
        <v>3787</v>
      </c>
      <c r="J829" s="88" t="s">
        <v>2704</v>
      </c>
      <c r="K829" s="88" t="s">
        <v>1954</v>
      </c>
      <c r="L829" s="91">
        <v>41335</v>
      </c>
      <c r="M829" s="91">
        <v>43568</v>
      </c>
      <c r="N829" s="88">
        <f t="shared" ca="1" si="29"/>
        <v>2619</v>
      </c>
      <c r="O829" s="84" t="str">
        <f ca="1">IF(Tabla1[[#This Row],[|]]&gt;=0,"VENCIDA",IF(Tabla1[[#This Row],[|]]&gt;=-14,"POR VENCER","OK"))</f>
        <v>VENCIDA</v>
      </c>
      <c r="P829" s="90" t="s">
        <v>640</v>
      </c>
      <c r="Q829" s="88" t="s">
        <v>312</v>
      </c>
      <c r="R829" s="88" t="s">
        <v>317</v>
      </c>
      <c r="S829" s="88"/>
      <c r="T829" s="88"/>
      <c r="U829" s="88"/>
      <c r="V829" s="88" t="s">
        <v>2705</v>
      </c>
      <c r="W829" s="92" t="s">
        <v>1112</v>
      </c>
      <c r="X829" s="88"/>
    </row>
    <row r="830" spans="1:24" s="59" customFormat="1" ht="32.25" customHeight="1" x14ac:dyDescent="0.2">
      <c r="A830" s="200">
        <v>870</v>
      </c>
      <c r="B830" s="61" t="s">
        <v>279</v>
      </c>
      <c r="C830" s="87">
        <v>870</v>
      </c>
      <c r="D830" s="61" t="str">
        <f t="shared" si="28"/>
        <v>SUPERMIX870</v>
      </c>
      <c r="E830" s="82" t="s">
        <v>3687</v>
      </c>
      <c r="F830" s="82" t="s">
        <v>2706</v>
      </c>
      <c r="G830" s="61" t="s">
        <v>341</v>
      </c>
      <c r="H830" s="60">
        <v>40782321</v>
      </c>
      <c r="I830" s="60" t="s">
        <v>3787</v>
      </c>
      <c r="J830" s="61" t="s">
        <v>2707</v>
      </c>
      <c r="K830" s="61" t="s">
        <v>368</v>
      </c>
      <c r="L830" s="62">
        <v>41121</v>
      </c>
      <c r="M830" s="62">
        <v>44418</v>
      </c>
      <c r="N830" s="61">
        <f t="shared" ca="1" si="29"/>
        <v>1769</v>
      </c>
      <c r="O830" s="84" t="str">
        <f ca="1">IF(Tabla1[[#This Row],[|]]&gt;=0,"VENCIDA",IF(Tabla1[[#This Row],[|]]&gt;=-14,"POR VENCER","OK"))</f>
        <v>VENCIDA</v>
      </c>
      <c r="P830" s="60" t="s">
        <v>824</v>
      </c>
      <c r="Q830" s="61" t="s">
        <v>312</v>
      </c>
      <c r="R830" s="61" t="s">
        <v>317</v>
      </c>
      <c r="S830" s="61"/>
      <c r="T830" s="61"/>
      <c r="U830" s="61"/>
      <c r="V830" s="61" t="s">
        <v>1102</v>
      </c>
      <c r="W830" s="86" t="s">
        <v>907</v>
      </c>
      <c r="X830" s="61"/>
    </row>
    <row r="831" spans="1:24" s="63" customFormat="1" ht="32.25" customHeight="1" x14ac:dyDescent="0.2">
      <c r="A831" s="202">
        <v>871</v>
      </c>
      <c r="B831" s="88" t="s">
        <v>279</v>
      </c>
      <c r="C831" s="89">
        <v>871</v>
      </c>
      <c r="D831" s="88" t="str">
        <f t="shared" si="28"/>
        <v>SUPERMIX871</v>
      </c>
      <c r="E831" s="58" t="s">
        <v>2229</v>
      </c>
      <c r="F831" s="58" t="s">
        <v>1403</v>
      </c>
      <c r="G831" s="88" t="s">
        <v>2710</v>
      </c>
      <c r="H831" s="90">
        <v>42546617</v>
      </c>
      <c r="I831" s="90" t="s">
        <v>3787</v>
      </c>
      <c r="J831" s="88" t="s">
        <v>2230</v>
      </c>
      <c r="K831" s="88" t="s">
        <v>1954</v>
      </c>
      <c r="L831" s="91">
        <v>42768</v>
      </c>
      <c r="M831" s="91">
        <v>44178</v>
      </c>
      <c r="N831" s="88">
        <f t="shared" ca="1" si="29"/>
        <v>2009</v>
      </c>
      <c r="O831" s="84" t="str">
        <f ca="1">IF(Tabla1[[#This Row],[|]]&gt;=0,"VENCIDA",IF(Tabla1[[#This Row],[|]]&gt;=-14,"POR VENCER","OK"))</f>
        <v>VENCIDA</v>
      </c>
      <c r="P831" s="90" t="s">
        <v>2743</v>
      </c>
      <c r="Q831" s="88" t="s">
        <v>312</v>
      </c>
      <c r="R831" s="88" t="s">
        <v>317</v>
      </c>
      <c r="S831" s="88"/>
      <c r="T831" s="88"/>
      <c r="U831" s="88"/>
      <c r="V831" s="88" t="s">
        <v>2711</v>
      </c>
      <c r="W831" s="92" t="s">
        <v>299</v>
      </c>
      <c r="X831" s="88"/>
    </row>
    <row r="832" spans="1:24" s="63" customFormat="1" ht="32.25" customHeight="1" x14ac:dyDescent="0.2">
      <c r="A832" s="202">
        <v>872</v>
      </c>
      <c r="B832" s="88" t="s">
        <v>279</v>
      </c>
      <c r="C832" s="89">
        <v>872</v>
      </c>
      <c r="D832" s="88" t="str">
        <f t="shared" si="28"/>
        <v>SUPERMIX872</v>
      </c>
      <c r="E832" s="58" t="s">
        <v>2712</v>
      </c>
      <c r="F832" s="58" t="s">
        <v>609</v>
      </c>
      <c r="G832" s="88" t="s">
        <v>2710</v>
      </c>
      <c r="H832" s="90">
        <v>41238909</v>
      </c>
      <c r="I832" s="90" t="s">
        <v>3787</v>
      </c>
      <c r="J832" s="90" t="s">
        <v>2713</v>
      </c>
      <c r="K832" s="88" t="s">
        <v>1954</v>
      </c>
      <c r="L832" s="91">
        <v>39266</v>
      </c>
      <c r="M832" s="91">
        <v>43736</v>
      </c>
      <c r="N832" s="88">
        <f t="shared" ca="1" si="29"/>
        <v>2451</v>
      </c>
      <c r="O832" s="84" t="str">
        <f ca="1">IF(Tabla1[[#This Row],[|]]&gt;=0,"VENCIDA",IF(Tabla1[[#This Row],[|]]&gt;=-14,"POR VENCER","OK"))</f>
        <v>VENCIDA</v>
      </c>
      <c r="P832" s="90" t="s">
        <v>2632</v>
      </c>
      <c r="Q832" s="88" t="s">
        <v>312</v>
      </c>
      <c r="R832" s="88" t="s">
        <v>317</v>
      </c>
      <c r="S832" s="88"/>
      <c r="T832" s="88"/>
      <c r="U832" s="88"/>
      <c r="V832" s="88" t="s">
        <v>2695</v>
      </c>
      <c r="W832" s="92" t="s">
        <v>850</v>
      </c>
      <c r="X832" s="88"/>
    </row>
    <row r="833" spans="1:24" s="63" customFormat="1" ht="32.25" customHeight="1" x14ac:dyDescent="0.2">
      <c r="A833" s="202">
        <v>873</v>
      </c>
      <c r="B833" s="88" t="s">
        <v>279</v>
      </c>
      <c r="C833" s="89">
        <v>873</v>
      </c>
      <c r="D833" s="88" t="str">
        <f t="shared" si="28"/>
        <v>SUPERMIX873</v>
      </c>
      <c r="E833" s="58" t="s">
        <v>210</v>
      </c>
      <c r="F833" s="58" t="s">
        <v>2719</v>
      </c>
      <c r="G833" s="88" t="s">
        <v>2710</v>
      </c>
      <c r="H833" s="90">
        <v>45525076</v>
      </c>
      <c r="I833" s="90" t="s">
        <v>3787</v>
      </c>
      <c r="J833" s="90" t="s">
        <v>2714</v>
      </c>
      <c r="K833" s="88" t="s">
        <v>343</v>
      </c>
      <c r="L833" s="91">
        <v>40547</v>
      </c>
      <c r="M833" s="91">
        <v>44159</v>
      </c>
      <c r="N833" s="88">
        <f t="shared" ca="1" si="29"/>
        <v>2028</v>
      </c>
      <c r="O833" s="84" t="str">
        <f ca="1">IF(Tabla1[[#This Row],[|]]&gt;=0,"VENCIDA",IF(Tabla1[[#This Row],[|]]&gt;=-14,"POR VENCER","OK"))</f>
        <v>VENCIDA</v>
      </c>
      <c r="P833" s="90" t="s">
        <v>824</v>
      </c>
      <c r="Q833" s="88" t="s">
        <v>312</v>
      </c>
      <c r="R833" s="88" t="s">
        <v>317</v>
      </c>
      <c r="S833" s="88"/>
      <c r="T833" s="88"/>
      <c r="U833" s="88"/>
      <c r="V833" s="88" t="s">
        <v>2646</v>
      </c>
      <c r="W833" s="92" t="s">
        <v>299</v>
      </c>
      <c r="X833" s="88"/>
    </row>
    <row r="834" spans="1:24" s="63" customFormat="1" ht="32.25" customHeight="1" x14ac:dyDescent="0.2">
      <c r="A834" s="202">
        <v>874</v>
      </c>
      <c r="B834" s="88" t="s">
        <v>279</v>
      </c>
      <c r="C834" s="89">
        <v>874</v>
      </c>
      <c r="D834" s="88" t="str">
        <f t="shared" si="28"/>
        <v>SUPERMIX874</v>
      </c>
      <c r="E834" s="58" t="s">
        <v>2715</v>
      </c>
      <c r="F834" s="58" t="s">
        <v>2716</v>
      </c>
      <c r="G834" s="88" t="s">
        <v>2710</v>
      </c>
      <c r="H834" s="90">
        <v>40694429</v>
      </c>
      <c r="I834" s="90" t="s">
        <v>3787</v>
      </c>
      <c r="J834" s="88" t="s">
        <v>2717</v>
      </c>
      <c r="K834" s="88" t="s">
        <v>281</v>
      </c>
      <c r="L834" s="91">
        <v>42528</v>
      </c>
      <c r="M834" s="91">
        <v>43623</v>
      </c>
      <c r="N834" s="88">
        <f t="shared" ca="1" si="29"/>
        <v>2564</v>
      </c>
      <c r="O834" s="84" t="str">
        <f ca="1">IF(Tabla1[[#This Row],[|]]&gt;=0,"VENCIDA",IF(Tabla1[[#This Row],[|]]&gt;=-14,"POR VENCER","OK"))</f>
        <v>VENCIDA</v>
      </c>
      <c r="P834" s="90" t="s">
        <v>824</v>
      </c>
      <c r="Q834" s="88" t="s">
        <v>312</v>
      </c>
      <c r="R834" s="88" t="s">
        <v>317</v>
      </c>
      <c r="S834" s="88"/>
      <c r="T834" s="88"/>
      <c r="U834" s="88"/>
      <c r="V834" s="88" t="s">
        <v>2646</v>
      </c>
      <c r="W834" s="92" t="s">
        <v>1943</v>
      </c>
      <c r="X834" s="88"/>
    </row>
    <row r="835" spans="1:24" s="63" customFormat="1" ht="32.25" customHeight="1" x14ac:dyDescent="0.2">
      <c r="A835" s="202">
        <v>875</v>
      </c>
      <c r="B835" s="88" t="s">
        <v>279</v>
      </c>
      <c r="C835" s="89">
        <v>875</v>
      </c>
      <c r="D835" s="88" t="str">
        <f t="shared" si="28"/>
        <v>SUPERMIX875</v>
      </c>
      <c r="E835" s="58" t="s">
        <v>2723</v>
      </c>
      <c r="F835" s="58" t="s">
        <v>2724</v>
      </c>
      <c r="G835" s="88" t="s">
        <v>2825</v>
      </c>
      <c r="H835" s="90">
        <v>41800655</v>
      </c>
      <c r="I835" s="90" t="s">
        <v>3787</v>
      </c>
      <c r="J835" s="88" t="s">
        <v>2725</v>
      </c>
      <c r="K835" s="88" t="s">
        <v>3443</v>
      </c>
      <c r="L835" s="91">
        <v>42095</v>
      </c>
      <c r="M835" s="138">
        <v>46204</v>
      </c>
      <c r="N835" s="88">
        <f t="shared" ca="1" si="29"/>
        <v>-17</v>
      </c>
      <c r="O835" s="84" t="str">
        <f ca="1">IF(Tabla1[[#This Row],[|]]&gt;=0,"VENCIDA",IF(Tabla1[[#This Row],[|]]&gt;=-14,"POR VENCER","OK"))</f>
        <v>OK</v>
      </c>
      <c r="P835" s="90" t="s">
        <v>624</v>
      </c>
      <c r="Q835" s="88" t="s">
        <v>2726</v>
      </c>
      <c r="R835" s="88" t="s">
        <v>317</v>
      </c>
      <c r="S835" s="88"/>
      <c r="T835" s="88"/>
      <c r="U835" s="88"/>
      <c r="V835" s="88" t="s">
        <v>1939</v>
      </c>
      <c r="W835" s="92" t="s">
        <v>3429</v>
      </c>
      <c r="X835" s="88" t="s">
        <v>624</v>
      </c>
    </row>
    <row r="836" spans="1:24" s="63" customFormat="1" ht="32.25" customHeight="1" x14ac:dyDescent="0.2">
      <c r="A836" s="202">
        <v>876</v>
      </c>
      <c r="B836" s="88" t="s">
        <v>279</v>
      </c>
      <c r="C836" s="89">
        <v>876</v>
      </c>
      <c r="D836" s="88" t="str">
        <f t="shared" si="28"/>
        <v>SUPERMIX876</v>
      </c>
      <c r="E836" s="58" t="s">
        <v>2727</v>
      </c>
      <c r="F836" s="58" t="s">
        <v>2728</v>
      </c>
      <c r="G836" s="88" t="s">
        <v>25</v>
      </c>
      <c r="H836" s="90">
        <v>44472289</v>
      </c>
      <c r="I836" s="90" t="s">
        <v>3787</v>
      </c>
      <c r="J836" s="88" t="s">
        <v>2729</v>
      </c>
      <c r="K836" s="88" t="s">
        <v>1954</v>
      </c>
      <c r="L836" s="91">
        <v>41964</v>
      </c>
      <c r="M836" s="91">
        <v>44149</v>
      </c>
      <c r="N836" s="88">
        <f t="shared" ca="1" si="29"/>
        <v>2038</v>
      </c>
      <c r="O836" s="84" t="str">
        <f ca="1">IF(Tabla1[[#This Row],[|]]&gt;=0,"VENCIDA",IF(Tabla1[[#This Row],[|]]&gt;=-14,"POR VENCER","OK"))</f>
        <v>VENCIDA</v>
      </c>
      <c r="P836" s="90" t="s">
        <v>824</v>
      </c>
      <c r="Q836" s="88" t="s">
        <v>312</v>
      </c>
      <c r="R836" s="88" t="s">
        <v>317</v>
      </c>
      <c r="S836" s="88"/>
      <c r="T836" s="88"/>
      <c r="U836" s="88"/>
      <c r="V836" s="88" t="s">
        <v>2711</v>
      </c>
      <c r="W836" s="92" t="s">
        <v>299</v>
      </c>
      <c r="X836" s="88"/>
    </row>
    <row r="837" spans="1:24" s="63" customFormat="1" ht="32.25" customHeight="1" x14ac:dyDescent="0.2">
      <c r="A837" s="202">
        <v>877</v>
      </c>
      <c r="B837" s="88" t="s">
        <v>279</v>
      </c>
      <c r="C837" s="89">
        <v>877</v>
      </c>
      <c r="D837" s="88" t="str">
        <f t="shared" si="28"/>
        <v>SUPERMIX877</v>
      </c>
      <c r="E837" s="58" t="s">
        <v>2730</v>
      </c>
      <c r="F837" s="58" t="s">
        <v>1162</v>
      </c>
      <c r="G837" s="88" t="s">
        <v>25</v>
      </c>
      <c r="H837" s="90">
        <v>47330965</v>
      </c>
      <c r="I837" s="90" t="s">
        <v>3787</v>
      </c>
      <c r="J837" s="88" t="s">
        <v>2731</v>
      </c>
      <c r="K837" s="88" t="s">
        <v>368</v>
      </c>
      <c r="L837" s="91">
        <v>41262</v>
      </c>
      <c r="M837" s="91">
        <v>46352</v>
      </c>
      <c r="N837" s="88">
        <f t="shared" ca="1" si="29"/>
        <v>-165</v>
      </c>
      <c r="O837" s="84" t="str">
        <f ca="1">IF(Tabla1[[#This Row],[|]]&gt;=0,"VENCIDA",IF(Tabla1[[#This Row],[|]]&gt;=-14,"POR VENCER","OK"))</f>
        <v>OK</v>
      </c>
      <c r="P837" s="90" t="s">
        <v>2827</v>
      </c>
      <c r="Q837" s="88" t="s">
        <v>312</v>
      </c>
      <c r="R837" s="88" t="s">
        <v>17</v>
      </c>
      <c r="S837" s="88"/>
      <c r="T837" s="88"/>
      <c r="U837" s="88"/>
      <c r="V837" s="88" t="s">
        <v>1939</v>
      </c>
      <c r="W837" s="92" t="s">
        <v>2772</v>
      </c>
      <c r="X837" s="88" t="s">
        <v>2931</v>
      </c>
    </row>
    <row r="838" spans="1:24" s="59" customFormat="1" ht="32.25" customHeight="1" x14ac:dyDescent="0.2">
      <c r="A838" s="200">
        <v>878</v>
      </c>
      <c r="B838" s="61" t="s">
        <v>279</v>
      </c>
      <c r="C838" s="87">
        <v>878</v>
      </c>
      <c r="D838" s="61" t="str">
        <f t="shared" si="28"/>
        <v>SUPERMIX878</v>
      </c>
      <c r="E838" s="82" t="s">
        <v>2732</v>
      </c>
      <c r="F838" s="82" t="s">
        <v>2733</v>
      </c>
      <c r="G838" s="61" t="s">
        <v>341</v>
      </c>
      <c r="H838" s="60">
        <v>45787651</v>
      </c>
      <c r="I838" s="60" t="s">
        <v>3787</v>
      </c>
      <c r="J838" s="61" t="s">
        <v>2734</v>
      </c>
      <c r="K838" s="61" t="s">
        <v>1961</v>
      </c>
      <c r="L838" s="62">
        <v>41782</v>
      </c>
      <c r="M838" s="62">
        <v>43953</v>
      </c>
      <c r="N838" s="61">
        <f t="shared" ca="1" si="29"/>
        <v>2234</v>
      </c>
      <c r="O838" s="84" t="str">
        <f ca="1">IF(Tabla1[[#This Row],[|]]&gt;=0,"VENCIDA",IF(Tabla1[[#This Row],[|]]&gt;=-14,"POR VENCER","OK"))</f>
        <v>VENCIDA</v>
      </c>
      <c r="P838" s="60" t="s">
        <v>824</v>
      </c>
      <c r="Q838" s="61" t="s">
        <v>312</v>
      </c>
      <c r="R838" s="61" t="s">
        <v>317</v>
      </c>
      <c r="S838" s="61"/>
      <c r="T838" s="61"/>
      <c r="U838" s="61"/>
      <c r="V838" s="61" t="s">
        <v>1939</v>
      </c>
      <c r="W838" s="86" t="s">
        <v>299</v>
      </c>
      <c r="X838" s="61"/>
    </row>
    <row r="839" spans="1:24" s="63" customFormat="1" ht="32.25" customHeight="1" x14ac:dyDescent="0.2">
      <c r="A839" s="202">
        <v>879</v>
      </c>
      <c r="B839" s="88" t="s">
        <v>279</v>
      </c>
      <c r="C839" s="89">
        <v>879</v>
      </c>
      <c r="D839" s="88" t="str">
        <f t="shared" si="28"/>
        <v>SUPERMIX879</v>
      </c>
      <c r="E839" s="58" t="s">
        <v>2736</v>
      </c>
      <c r="F839" s="58" t="s">
        <v>21</v>
      </c>
      <c r="G839" s="88" t="s">
        <v>25</v>
      </c>
      <c r="H839" s="90">
        <v>18068173</v>
      </c>
      <c r="I839" s="90" t="s">
        <v>3787</v>
      </c>
      <c r="J839" s="88" t="s">
        <v>2737</v>
      </c>
      <c r="K839" s="88" t="s">
        <v>281</v>
      </c>
      <c r="L839" s="91">
        <v>37630</v>
      </c>
      <c r="M839" s="91">
        <v>43575</v>
      </c>
      <c r="N839" s="88">
        <f t="shared" ca="1" si="29"/>
        <v>2612</v>
      </c>
      <c r="O839" s="84" t="str">
        <f ca="1">IF(Tabla1[[#This Row],[|]]&gt;=0,"VENCIDA",IF(Tabla1[[#This Row],[|]]&gt;=-14,"POR VENCER","OK"))</f>
        <v>VENCIDA</v>
      </c>
      <c r="P839" s="90" t="s">
        <v>2738</v>
      </c>
      <c r="Q839" s="88" t="s">
        <v>312</v>
      </c>
      <c r="R839" s="88" t="s">
        <v>317</v>
      </c>
      <c r="S839" s="88"/>
      <c r="T839" s="88"/>
      <c r="U839" s="88"/>
      <c r="V839" s="90" t="s">
        <v>2739</v>
      </c>
      <c r="W839" s="92" t="s">
        <v>850</v>
      </c>
      <c r="X839" s="88"/>
    </row>
    <row r="840" spans="1:24" s="63" customFormat="1" ht="32.25" customHeight="1" x14ac:dyDescent="0.2">
      <c r="A840" s="202">
        <v>880</v>
      </c>
      <c r="B840" s="88" t="s">
        <v>279</v>
      </c>
      <c r="C840" s="89">
        <v>880</v>
      </c>
      <c r="D840" s="88" t="str">
        <f t="shared" ref="D840:D903" si="30">CONCATENATE(B840,C840)</f>
        <v>SUPERMIX880</v>
      </c>
      <c r="E840" s="58" t="s">
        <v>2740</v>
      </c>
      <c r="F840" s="58" t="s">
        <v>1023</v>
      </c>
      <c r="G840" s="88" t="s">
        <v>25</v>
      </c>
      <c r="H840" s="90">
        <v>72197710</v>
      </c>
      <c r="I840" s="90" t="s">
        <v>3787</v>
      </c>
      <c r="J840" s="88" t="s">
        <v>2741</v>
      </c>
      <c r="K840" s="88" t="s">
        <v>1961</v>
      </c>
      <c r="L840" s="91">
        <v>41662</v>
      </c>
      <c r="M840" s="91">
        <v>43960</v>
      </c>
      <c r="N840" s="88">
        <f t="shared" ca="1" si="29"/>
        <v>2227</v>
      </c>
      <c r="O840" s="84" t="str">
        <f ca="1">IF(Tabla1[[#This Row],[|]]&gt;=0,"VENCIDA",IF(Tabla1[[#This Row],[|]]&gt;=-14,"POR VENCER","OK"))</f>
        <v>VENCIDA</v>
      </c>
      <c r="P840" s="90" t="s">
        <v>2742</v>
      </c>
      <c r="Q840" s="88" t="s">
        <v>312</v>
      </c>
      <c r="R840" s="88" t="s">
        <v>317</v>
      </c>
      <c r="S840" s="88"/>
      <c r="T840" s="88"/>
      <c r="U840" s="88"/>
      <c r="V840" s="88" t="s">
        <v>2701</v>
      </c>
      <c r="W840" s="92" t="s">
        <v>299</v>
      </c>
      <c r="X840" s="88"/>
    </row>
    <row r="841" spans="1:24" s="63" customFormat="1" ht="32.25" customHeight="1" x14ac:dyDescent="0.2">
      <c r="A841" s="202">
        <v>881</v>
      </c>
      <c r="B841" s="88" t="s">
        <v>279</v>
      </c>
      <c r="C841" s="89">
        <v>881</v>
      </c>
      <c r="D841" s="88" t="str">
        <f t="shared" si="30"/>
        <v>SUPERMIX881</v>
      </c>
      <c r="E841" s="58" t="s">
        <v>2744</v>
      </c>
      <c r="F841" s="58" t="s">
        <v>2745</v>
      </c>
      <c r="G841" s="88" t="s">
        <v>25</v>
      </c>
      <c r="H841" s="90">
        <v>80358371</v>
      </c>
      <c r="I841" s="90" t="s">
        <v>3787</v>
      </c>
      <c r="J841" s="88" t="s">
        <v>2746</v>
      </c>
      <c r="K841" s="88" t="s">
        <v>281</v>
      </c>
      <c r="L841" s="91">
        <v>41435</v>
      </c>
      <c r="M841" s="91">
        <v>43617</v>
      </c>
      <c r="N841" s="88">
        <f t="shared" ca="1" si="29"/>
        <v>2570</v>
      </c>
      <c r="O841" s="84" t="str">
        <f ca="1">IF(Tabla1[[#This Row],[|]]&gt;=0,"VENCIDA",IF(Tabla1[[#This Row],[|]]&gt;=-14,"POR VENCER","OK"))</f>
        <v>VENCIDA</v>
      </c>
      <c r="P841" s="90" t="s">
        <v>2747</v>
      </c>
      <c r="Q841" s="88" t="s">
        <v>312</v>
      </c>
      <c r="R841" s="88" t="s">
        <v>17</v>
      </c>
      <c r="S841" s="88"/>
      <c r="T841" s="88"/>
      <c r="U841" s="88"/>
      <c r="V841" s="88" t="s">
        <v>2701</v>
      </c>
      <c r="W841" s="92" t="s">
        <v>299</v>
      </c>
      <c r="X841" s="88"/>
    </row>
    <row r="842" spans="1:24" s="63" customFormat="1" ht="32.25" customHeight="1" x14ac:dyDescent="0.2">
      <c r="A842" s="202">
        <v>882</v>
      </c>
      <c r="B842" s="88" t="s">
        <v>279</v>
      </c>
      <c r="C842" s="89">
        <v>882</v>
      </c>
      <c r="D842" s="88" t="str">
        <f t="shared" si="30"/>
        <v>SUPERMIX882</v>
      </c>
      <c r="E842" s="58" t="s">
        <v>2748</v>
      </c>
      <c r="F842" s="58" t="s">
        <v>2749</v>
      </c>
      <c r="G842" s="88" t="s">
        <v>25</v>
      </c>
      <c r="H842" s="90">
        <v>41147065</v>
      </c>
      <c r="I842" s="90" t="s">
        <v>3787</v>
      </c>
      <c r="J842" s="88" t="s">
        <v>2750</v>
      </c>
      <c r="K842" s="88" t="s">
        <v>1961</v>
      </c>
      <c r="L842" s="91">
        <v>42669</v>
      </c>
      <c r="M842" s="91">
        <v>43764</v>
      </c>
      <c r="N842" s="88">
        <f t="shared" ca="1" si="29"/>
        <v>2423</v>
      </c>
      <c r="O842" s="84" t="str">
        <f ca="1">IF(Tabla1[[#This Row],[|]]&gt;=0,"VENCIDA",IF(Tabla1[[#This Row],[|]]&gt;=-14,"POR VENCER","OK"))</f>
        <v>VENCIDA</v>
      </c>
      <c r="P842" s="90" t="s">
        <v>824</v>
      </c>
      <c r="Q842" s="88" t="s">
        <v>312</v>
      </c>
      <c r="R842" s="88" t="s">
        <v>317</v>
      </c>
      <c r="S842" s="88"/>
      <c r="T842" s="88"/>
      <c r="U842" s="88"/>
      <c r="V842" s="88" t="s">
        <v>1981</v>
      </c>
      <c r="W842" s="92" t="s">
        <v>1943</v>
      </c>
      <c r="X842" s="88"/>
    </row>
    <row r="843" spans="1:24" s="63" customFormat="1" ht="32.25" customHeight="1" x14ac:dyDescent="0.2">
      <c r="A843" s="202">
        <v>883</v>
      </c>
      <c r="B843" s="88" t="s">
        <v>279</v>
      </c>
      <c r="C843" s="89">
        <v>883</v>
      </c>
      <c r="D843" s="88" t="str">
        <f t="shared" si="30"/>
        <v>SUPERMIX883</v>
      </c>
      <c r="E843" s="58" t="s">
        <v>2751</v>
      </c>
      <c r="F843" s="58" t="s">
        <v>2752</v>
      </c>
      <c r="G843" s="88" t="s">
        <v>25</v>
      </c>
      <c r="H843" s="90">
        <v>41282376</v>
      </c>
      <c r="I843" s="90" t="s">
        <v>3787</v>
      </c>
      <c r="J843" s="88" t="s">
        <v>2753</v>
      </c>
      <c r="K843" s="88" t="s">
        <v>3142</v>
      </c>
      <c r="L843" s="91">
        <v>40288</v>
      </c>
      <c r="M843" s="91">
        <v>47171</v>
      </c>
      <c r="N843" s="88">
        <f t="shared" ca="1" si="29"/>
        <v>-984</v>
      </c>
      <c r="O843" s="84" t="str">
        <f ca="1">IF(Tabla1[[#This Row],[|]]&gt;=0,"VENCIDA",IF(Tabla1[[#This Row],[|]]&gt;=-14,"POR VENCER","OK"))</f>
        <v>OK</v>
      </c>
      <c r="P843" s="90" t="s">
        <v>824</v>
      </c>
      <c r="Q843" s="88" t="s">
        <v>312</v>
      </c>
      <c r="R843" s="88" t="s">
        <v>317</v>
      </c>
      <c r="S843" s="88"/>
      <c r="T843" s="88"/>
      <c r="U843" s="88"/>
      <c r="V843" s="88" t="s">
        <v>2646</v>
      </c>
      <c r="W843" s="92" t="s">
        <v>299</v>
      </c>
      <c r="X843" s="88" t="s">
        <v>2931</v>
      </c>
    </row>
    <row r="844" spans="1:24" s="63" customFormat="1" ht="32.25" customHeight="1" x14ac:dyDescent="0.2">
      <c r="A844" s="202">
        <v>884</v>
      </c>
      <c r="B844" s="88" t="s">
        <v>279</v>
      </c>
      <c r="C844" s="89">
        <v>884</v>
      </c>
      <c r="D844" s="88" t="str">
        <f t="shared" si="30"/>
        <v>SUPERMIX884</v>
      </c>
      <c r="E844" s="58" t="s">
        <v>2754</v>
      </c>
      <c r="F844" s="58" t="s">
        <v>2755</v>
      </c>
      <c r="G844" s="88" t="s">
        <v>25</v>
      </c>
      <c r="H844" s="90">
        <v>46031685</v>
      </c>
      <c r="I844" s="90" t="s">
        <v>3787</v>
      </c>
      <c r="J844" s="88" t="s">
        <v>2756</v>
      </c>
      <c r="K844" s="88" t="s">
        <v>1961</v>
      </c>
      <c r="L844" s="91">
        <v>41752</v>
      </c>
      <c r="M844" s="91">
        <v>43966</v>
      </c>
      <c r="N844" s="88">
        <f t="shared" ca="1" si="29"/>
        <v>2221</v>
      </c>
      <c r="O844" s="84" t="str">
        <f ca="1">IF(Tabla1[[#This Row],[|]]&gt;=0,"VENCIDA",IF(Tabla1[[#This Row],[|]]&gt;=-14,"POR VENCER","OK"))</f>
        <v>VENCIDA</v>
      </c>
      <c r="P844" s="90" t="s">
        <v>824</v>
      </c>
      <c r="Q844" s="88" t="s">
        <v>312</v>
      </c>
      <c r="R844" s="88" t="s">
        <v>317</v>
      </c>
      <c r="S844" s="88"/>
      <c r="T844" s="88"/>
      <c r="U844" s="88"/>
      <c r="V844" s="88" t="s">
        <v>2646</v>
      </c>
      <c r="W844" s="92" t="s">
        <v>299</v>
      </c>
      <c r="X844" s="88"/>
    </row>
    <row r="845" spans="1:24" s="63" customFormat="1" ht="32.25" customHeight="1" x14ac:dyDescent="0.2">
      <c r="A845" s="202">
        <v>885</v>
      </c>
      <c r="B845" s="88" t="s">
        <v>279</v>
      </c>
      <c r="C845" s="89">
        <v>885</v>
      </c>
      <c r="D845" s="88" t="str">
        <f t="shared" si="30"/>
        <v>SUPERMIX885</v>
      </c>
      <c r="E845" s="58" t="s">
        <v>2757</v>
      </c>
      <c r="F845" s="58" t="s">
        <v>2758</v>
      </c>
      <c r="G845" s="88" t="s">
        <v>25</v>
      </c>
      <c r="H845" s="90">
        <v>40829701</v>
      </c>
      <c r="I845" s="90" t="s">
        <v>3787</v>
      </c>
      <c r="J845" s="88" t="s">
        <v>2759</v>
      </c>
      <c r="K845" s="88" t="s">
        <v>3142</v>
      </c>
      <c r="L845" s="91">
        <v>39340</v>
      </c>
      <c r="M845" s="91">
        <v>46706</v>
      </c>
      <c r="N845" s="88">
        <f t="shared" ca="1" si="29"/>
        <v>-519</v>
      </c>
      <c r="O845" s="84" t="str">
        <f ca="1">IF(Tabla1[[#This Row],[|]]&gt;=0,"VENCIDA",IF(Tabla1[[#This Row],[|]]&gt;=-14,"POR VENCER","OK"))</f>
        <v>OK</v>
      </c>
      <c r="P845" s="90" t="s">
        <v>824</v>
      </c>
      <c r="Q845" s="88" t="s">
        <v>312</v>
      </c>
      <c r="R845" s="88" t="s">
        <v>317</v>
      </c>
      <c r="S845" s="88"/>
      <c r="T845" s="88"/>
      <c r="U845" s="88"/>
      <c r="V845" s="88" t="s">
        <v>2646</v>
      </c>
      <c r="W845" s="92" t="s">
        <v>299</v>
      </c>
      <c r="X845" s="88"/>
    </row>
    <row r="846" spans="1:24" s="63" customFormat="1" ht="32.25" customHeight="1" x14ac:dyDescent="0.2">
      <c r="A846" s="202">
        <v>886</v>
      </c>
      <c r="B846" s="88" t="s">
        <v>279</v>
      </c>
      <c r="C846" s="89">
        <v>886</v>
      </c>
      <c r="D846" s="88" t="str">
        <f t="shared" si="30"/>
        <v>SUPERMIX886</v>
      </c>
      <c r="E846" s="58" t="s">
        <v>2760</v>
      </c>
      <c r="F846" s="58" t="s">
        <v>1256</v>
      </c>
      <c r="G846" s="88" t="s">
        <v>25</v>
      </c>
      <c r="H846" s="90">
        <v>25139999</v>
      </c>
      <c r="I846" s="90" t="s">
        <v>3787</v>
      </c>
      <c r="J846" s="88" t="s">
        <v>2761</v>
      </c>
      <c r="K846" s="88" t="s">
        <v>1954</v>
      </c>
      <c r="L846" s="91">
        <v>38282</v>
      </c>
      <c r="M846" s="91">
        <v>44235</v>
      </c>
      <c r="N846" s="88">
        <f t="shared" ca="1" si="29"/>
        <v>1952</v>
      </c>
      <c r="O846" s="84" t="str">
        <f ca="1">IF(Tabla1[[#This Row],[|]]&gt;=0,"VENCIDA",IF(Tabla1[[#This Row],[|]]&gt;=-14,"POR VENCER","OK"))</f>
        <v>VENCIDA</v>
      </c>
      <c r="P846" s="90" t="s">
        <v>2790</v>
      </c>
      <c r="Q846" s="88" t="s">
        <v>312</v>
      </c>
      <c r="R846" s="88" t="s">
        <v>17</v>
      </c>
      <c r="S846" s="88"/>
      <c r="T846" s="88"/>
      <c r="U846" s="88"/>
      <c r="V846" s="88" t="s">
        <v>2762</v>
      </c>
      <c r="W846" s="92" t="s">
        <v>299</v>
      </c>
      <c r="X846" s="88" t="s">
        <v>624</v>
      </c>
    </row>
    <row r="847" spans="1:24" s="63" customFormat="1" ht="32.25" customHeight="1" x14ac:dyDescent="0.2">
      <c r="A847" s="202">
        <v>887</v>
      </c>
      <c r="B847" s="88" t="s">
        <v>279</v>
      </c>
      <c r="C847" s="89">
        <v>887</v>
      </c>
      <c r="D847" s="88" t="str">
        <f t="shared" si="30"/>
        <v>SUPERMIX887</v>
      </c>
      <c r="E847" s="58" t="s">
        <v>2763</v>
      </c>
      <c r="F847" s="58" t="s">
        <v>2764</v>
      </c>
      <c r="G847" s="88" t="s">
        <v>25</v>
      </c>
      <c r="H847" s="90">
        <v>72290996</v>
      </c>
      <c r="I847" s="90" t="s">
        <v>3787</v>
      </c>
      <c r="J847" s="88" t="s">
        <v>2765</v>
      </c>
      <c r="K847" s="88" t="s">
        <v>3142</v>
      </c>
      <c r="L847" s="91">
        <v>43272</v>
      </c>
      <c r="M847" s="91">
        <v>46925</v>
      </c>
      <c r="N847" s="88">
        <f t="shared" ca="1" si="29"/>
        <v>-738</v>
      </c>
      <c r="O847" s="84" t="str">
        <f ca="1">IF(Tabla1[[#This Row],[|]]&gt;=0,"VENCIDA",IF(Tabla1[[#This Row],[|]]&gt;=-14,"POR VENCER","OK"))</f>
        <v>OK</v>
      </c>
      <c r="P847" s="90" t="s">
        <v>3246</v>
      </c>
      <c r="Q847" s="88" t="s">
        <v>312</v>
      </c>
      <c r="R847" s="88" t="s">
        <v>317</v>
      </c>
      <c r="S847" s="88"/>
      <c r="T847" s="88"/>
      <c r="U847" s="88"/>
      <c r="V847" s="88" t="s">
        <v>2766</v>
      </c>
      <c r="W847" s="92" t="s">
        <v>2768</v>
      </c>
      <c r="X847" s="88" t="s">
        <v>3055</v>
      </c>
    </row>
    <row r="848" spans="1:24" s="63" customFormat="1" ht="32.25" customHeight="1" x14ac:dyDescent="0.2">
      <c r="A848" s="202">
        <v>888</v>
      </c>
      <c r="B848" s="88" t="s">
        <v>279</v>
      </c>
      <c r="C848" s="89">
        <v>888</v>
      </c>
      <c r="D848" s="88" t="str">
        <f t="shared" si="30"/>
        <v>SUPERMIX888</v>
      </c>
      <c r="E848" s="58" t="s">
        <v>2769</v>
      </c>
      <c r="F848" s="58" t="s">
        <v>1502</v>
      </c>
      <c r="G848" s="88" t="s">
        <v>25</v>
      </c>
      <c r="H848" s="90">
        <v>45285709</v>
      </c>
      <c r="I848" s="90" t="s">
        <v>3787</v>
      </c>
      <c r="J848" s="88" t="s">
        <v>2770</v>
      </c>
      <c r="K848" s="88" t="s">
        <v>2771</v>
      </c>
      <c r="L848" s="91">
        <v>42468</v>
      </c>
      <c r="M848" s="91">
        <v>43563</v>
      </c>
      <c r="N848" s="88">
        <f t="shared" ca="1" si="29"/>
        <v>2624</v>
      </c>
      <c r="O848" s="84" t="str">
        <f ca="1">IF(Tabla1[[#This Row],[|]]&gt;=0,"VENCIDA",IF(Tabla1[[#This Row],[|]]&gt;=-14,"POR VENCER","OK"))</f>
        <v>VENCIDA</v>
      </c>
      <c r="P848" s="90" t="s">
        <v>640</v>
      </c>
      <c r="Q848" s="88" t="s">
        <v>312</v>
      </c>
      <c r="R848" s="88" t="s">
        <v>317</v>
      </c>
      <c r="S848" s="88"/>
      <c r="T848" s="88"/>
      <c r="U848" s="88"/>
      <c r="V848" s="88" t="s">
        <v>2701</v>
      </c>
      <c r="W848" s="92" t="s">
        <v>2772</v>
      </c>
      <c r="X848" s="88"/>
    </row>
    <row r="849" spans="1:24" s="63" customFormat="1" ht="32.25" customHeight="1" x14ac:dyDescent="0.2">
      <c r="A849" s="202">
        <v>889</v>
      </c>
      <c r="B849" s="88" t="s">
        <v>279</v>
      </c>
      <c r="C849" s="89">
        <v>889</v>
      </c>
      <c r="D849" s="88" t="str">
        <f t="shared" si="30"/>
        <v>SUPERMIX889</v>
      </c>
      <c r="E849" s="58" t="s">
        <v>76</v>
      </c>
      <c r="F849" s="58" t="s">
        <v>2793</v>
      </c>
      <c r="G849" s="88" t="s">
        <v>310</v>
      </c>
      <c r="H849" s="90">
        <v>29622428</v>
      </c>
      <c r="I849" s="90" t="s">
        <v>3787</v>
      </c>
      <c r="J849" s="88" t="s">
        <v>2789</v>
      </c>
      <c r="K849" s="88" t="s">
        <v>1954</v>
      </c>
      <c r="L849" s="91">
        <v>42079</v>
      </c>
      <c r="M849" s="91">
        <v>44275</v>
      </c>
      <c r="N849" s="88">
        <f t="shared" ca="1" si="29"/>
        <v>1912</v>
      </c>
      <c r="O849" s="84" t="str">
        <f ca="1">IF(Tabla1[[#This Row],[|]]&gt;=0,"VENCIDA",IF(Tabla1[[#This Row],[|]]&gt;=-14,"POR VENCER","OK"))</f>
        <v>VENCIDA</v>
      </c>
      <c r="P849" s="90" t="s">
        <v>2790</v>
      </c>
      <c r="Q849" s="88" t="s">
        <v>312</v>
      </c>
      <c r="R849" s="88" t="s">
        <v>317</v>
      </c>
      <c r="S849" s="88"/>
      <c r="T849" s="88"/>
      <c r="U849" s="88"/>
      <c r="V849" s="88" t="s">
        <v>2646</v>
      </c>
      <c r="W849" s="92" t="s">
        <v>2772</v>
      </c>
      <c r="X849" s="88" t="s">
        <v>624</v>
      </c>
    </row>
    <row r="850" spans="1:24" s="63" customFormat="1" ht="32.25" customHeight="1" x14ac:dyDescent="0.2">
      <c r="A850" s="202">
        <v>890</v>
      </c>
      <c r="B850" s="88" t="s">
        <v>279</v>
      </c>
      <c r="C850" s="89">
        <v>890</v>
      </c>
      <c r="D850" s="88" t="str">
        <f t="shared" si="30"/>
        <v>SUPERMIX890</v>
      </c>
      <c r="E850" s="58" t="s">
        <v>2791</v>
      </c>
      <c r="F850" s="58" t="s">
        <v>2794</v>
      </c>
      <c r="G850" s="88" t="s">
        <v>25</v>
      </c>
      <c r="H850" s="90">
        <v>45076865</v>
      </c>
      <c r="I850" s="90" t="s">
        <v>3787</v>
      </c>
      <c r="J850" s="88" t="s">
        <v>2792</v>
      </c>
      <c r="K850" s="88" t="s">
        <v>281</v>
      </c>
      <c r="L850" s="91">
        <v>42482</v>
      </c>
      <c r="M850" s="91">
        <v>43577</v>
      </c>
      <c r="N850" s="88">
        <f t="shared" ca="1" si="29"/>
        <v>2610</v>
      </c>
      <c r="O850" s="84" t="str">
        <f ca="1">IF(Tabla1[[#This Row],[|]]&gt;=0,"VENCIDA",IF(Tabla1[[#This Row],[|]]&gt;=-14,"POR VENCER","OK"))</f>
        <v>VENCIDA</v>
      </c>
      <c r="P850" s="90" t="s">
        <v>2790</v>
      </c>
      <c r="Q850" s="88" t="s">
        <v>312</v>
      </c>
      <c r="R850" s="88" t="s">
        <v>317</v>
      </c>
      <c r="S850" s="88"/>
      <c r="T850" s="88"/>
      <c r="U850" s="88"/>
      <c r="V850" s="88" t="s">
        <v>2646</v>
      </c>
      <c r="W850" s="92" t="s">
        <v>2772</v>
      </c>
      <c r="X850" s="88" t="s">
        <v>624</v>
      </c>
    </row>
    <row r="851" spans="1:24" s="56" customFormat="1" ht="32.25" customHeight="1" x14ac:dyDescent="0.2">
      <c r="A851" s="213">
        <v>891</v>
      </c>
      <c r="B851" s="146" t="s">
        <v>279</v>
      </c>
      <c r="C851" s="147">
        <v>891</v>
      </c>
      <c r="D851" s="146" t="str">
        <f t="shared" si="30"/>
        <v>SUPERMIX891</v>
      </c>
      <c r="E851" s="148" t="s">
        <v>2799</v>
      </c>
      <c r="F851" s="148" t="s">
        <v>2800</v>
      </c>
      <c r="G851" s="146" t="s">
        <v>341</v>
      </c>
      <c r="H851" s="149">
        <v>43763960</v>
      </c>
      <c r="I851" s="149" t="s">
        <v>3787</v>
      </c>
      <c r="J851" s="146" t="s">
        <v>2801</v>
      </c>
      <c r="K851" s="146" t="s">
        <v>343</v>
      </c>
      <c r="L851" s="150" t="s">
        <v>2924</v>
      </c>
      <c r="M851" s="150">
        <v>44717</v>
      </c>
      <c r="N851" s="146">
        <f t="shared" ca="1" si="29"/>
        <v>1470</v>
      </c>
      <c r="O851" s="142" t="str">
        <f ca="1">IF(Tabla1[[#This Row],[|]]&gt;=0,"VENCIDA",IF(Tabla1[[#This Row],[|]]&gt;=-14,"POR VENCER","OK"))</f>
        <v>VENCIDA</v>
      </c>
      <c r="P851" s="149" t="s">
        <v>2827</v>
      </c>
      <c r="Q851" s="146" t="s">
        <v>312</v>
      </c>
      <c r="R851" s="146" t="s">
        <v>17</v>
      </c>
      <c r="S851" s="61"/>
      <c r="T851" s="61"/>
      <c r="U851" s="61"/>
      <c r="V851" s="146" t="s">
        <v>2480</v>
      </c>
      <c r="W851" s="151" t="s">
        <v>2776</v>
      </c>
      <c r="X851" s="146" t="s">
        <v>2913</v>
      </c>
    </row>
    <row r="852" spans="1:24" s="63" customFormat="1" ht="32.25" customHeight="1" x14ac:dyDescent="0.2">
      <c r="A852" s="202">
        <v>892</v>
      </c>
      <c r="B852" s="88" t="s">
        <v>279</v>
      </c>
      <c r="C852" s="89">
        <v>892</v>
      </c>
      <c r="D852" s="88" t="str">
        <f t="shared" si="30"/>
        <v>SUPERMIX892</v>
      </c>
      <c r="E852" s="58" t="s">
        <v>2802</v>
      </c>
      <c r="F852" s="58" t="s">
        <v>2803</v>
      </c>
      <c r="G852" s="88" t="s">
        <v>398</v>
      </c>
      <c r="H852" s="90" t="s">
        <v>2806</v>
      </c>
      <c r="I852" s="90" t="s">
        <v>3787</v>
      </c>
      <c r="J852" s="88" t="s">
        <v>2804</v>
      </c>
      <c r="K852" s="88" t="s">
        <v>3142</v>
      </c>
      <c r="L852" s="91">
        <v>43426</v>
      </c>
      <c r="M852" s="91">
        <v>47079</v>
      </c>
      <c r="N852" s="88">
        <f t="shared" ca="1" si="29"/>
        <v>-892</v>
      </c>
      <c r="O852" s="84" t="str">
        <f ca="1">IF(Tabla1[[#This Row],[|]]&gt;=0,"VENCIDA",IF(Tabla1[[#This Row],[|]]&gt;=-14,"POR VENCER","OK"))</f>
        <v>OK</v>
      </c>
      <c r="P852" s="90" t="s">
        <v>824</v>
      </c>
      <c r="Q852" s="88" t="s">
        <v>312</v>
      </c>
      <c r="R852" s="88" t="s">
        <v>317</v>
      </c>
      <c r="S852" s="88"/>
      <c r="T852" s="88"/>
      <c r="U852" s="88"/>
      <c r="V852" s="88" t="s">
        <v>1939</v>
      </c>
      <c r="W852" s="92" t="s">
        <v>2805</v>
      </c>
      <c r="X852" s="88" t="s">
        <v>2807</v>
      </c>
    </row>
    <row r="853" spans="1:24" s="63" customFormat="1" ht="32.25" customHeight="1" x14ac:dyDescent="0.2">
      <c r="A853" s="202">
        <v>893</v>
      </c>
      <c r="B853" s="88" t="s">
        <v>279</v>
      </c>
      <c r="C853" s="89">
        <v>893</v>
      </c>
      <c r="D853" s="88" t="str">
        <f t="shared" si="30"/>
        <v>SUPERMIX893</v>
      </c>
      <c r="E853" s="58" t="s">
        <v>2808</v>
      </c>
      <c r="F853" s="58" t="s">
        <v>2809</v>
      </c>
      <c r="G853" s="88" t="s">
        <v>25</v>
      </c>
      <c r="H853" s="90">
        <v>47024625</v>
      </c>
      <c r="I853" s="90" t="s">
        <v>3787</v>
      </c>
      <c r="J853" s="88" t="s">
        <v>2810</v>
      </c>
      <c r="K853" s="88" t="s">
        <v>1954</v>
      </c>
      <c r="L853" s="91">
        <v>42937</v>
      </c>
      <c r="M853" s="91">
        <v>44033</v>
      </c>
      <c r="N853" s="88">
        <f t="shared" ca="1" si="29"/>
        <v>2154</v>
      </c>
      <c r="O853" s="84" t="str">
        <f ca="1">IF(Tabla1[[#This Row],[|]]&gt;=0,"VENCIDA",IF(Tabla1[[#This Row],[|]]&gt;=-14,"POR VENCER","OK"))</f>
        <v>VENCIDA</v>
      </c>
      <c r="P853" s="90" t="s">
        <v>2811</v>
      </c>
      <c r="Q853" s="88" t="s">
        <v>312</v>
      </c>
      <c r="R853" s="88" t="s">
        <v>317</v>
      </c>
      <c r="S853" s="88"/>
      <c r="T853" s="88"/>
      <c r="U853" s="88"/>
      <c r="V853" s="88" t="s">
        <v>2405</v>
      </c>
      <c r="W853" s="92" t="s">
        <v>2776</v>
      </c>
      <c r="X853" s="88" t="s">
        <v>2812</v>
      </c>
    </row>
    <row r="854" spans="1:24" ht="32.25" customHeight="1" x14ac:dyDescent="0.2">
      <c r="A854" s="37">
        <v>894</v>
      </c>
      <c r="B854" s="100" t="s">
        <v>279</v>
      </c>
      <c r="C854" s="101">
        <v>894</v>
      </c>
      <c r="D854" s="100" t="str">
        <f t="shared" si="30"/>
        <v>SUPERMIX894</v>
      </c>
      <c r="E854" s="169" t="s">
        <v>2814</v>
      </c>
      <c r="F854" s="169" t="s">
        <v>2815</v>
      </c>
      <c r="G854" s="100" t="s">
        <v>341</v>
      </c>
      <c r="H854" s="102">
        <v>41539924</v>
      </c>
      <c r="I854" s="102" t="s">
        <v>3788</v>
      </c>
      <c r="J854" s="100" t="s">
        <v>2816</v>
      </c>
      <c r="K854" s="100" t="s">
        <v>2092</v>
      </c>
      <c r="L854" s="103">
        <v>40975</v>
      </c>
      <c r="M854" s="103">
        <v>46258</v>
      </c>
      <c r="N854" s="100">
        <f t="shared" ca="1" si="29"/>
        <v>-71</v>
      </c>
      <c r="O854" s="84" t="str">
        <f ca="1">IF(Tabla1[[#This Row],[|]]&gt;=0,"VENCIDA",IF(Tabla1[[#This Row],[|]]&gt;=-14,"POR VENCER","OK"))</f>
        <v>OK</v>
      </c>
      <c r="P854" s="102" t="s">
        <v>2817</v>
      </c>
      <c r="Q854" s="100" t="s">
        <v>312</v>
      </c>
      <c r="R854" s="100" t="s">
        <v>317</v>
      </c>
      <c r="S854" s="100"/>
      <c r="T854" s="100"/>
      <c r="U854" s="100"/>
      <c r="V854" s="100" t="s">
        <v>2818</v>
      </c>
      <c r="W854" s="104" t="s">
        <v>2776</v>
      </c>
      <c r="X854" s="100" t="s">
        <v>2819</v>
      </c>
    </row>
    <row r="855" spans="1:24" s="43" customFormat="1" ht="32.25" customHeight="1" x14ac:dyDescent="0.2">
      <c r="A855" s="42">
        <v>895</v>
      </c>
      <c r="B855" s="93" t="s">
        <v>279</v>
      </c>
      <c r="C855" s="94">
        <v>895</v>
      </c>
      <c r="D855" s="93" t="str">
        <f t="shared" si="30"/>
        <v>SUPERMIX895</v>
      </c>
      <c r="E855" s="115" t="s">
        <v>2820</v>
      </c>
      <c r="F855" s="115" t="s">
        <v>2821</v>
      </c>
      <c r="G855" s="93" t="s">
        <v>25</v>
      </c>
      <c r="H855" s="95">
        <v>40650652</v>
      </c>
      <c r="I855" s="95" t="s">
        <v>3788</v>
      </c>
      <c r="J855" s="93" t="s">
        <v>2861</v>
      </c>
      <c r="K855" s="93" t="s">
        <v>1954</v>
      </c>
      <c r="L855" s="96">
        <v>38343</v>
      </c>
      <c r="M855" s="96">
        <v>46643</v>
      </c>
      <c r="N855" s="93">
        <f t="shared" ca="1" si="29"/>
        <v>-456</v>
      </c>
      <c r="O855" s="84" t="str">
        <f ca="1">IF(Tabla1[[#This Row],[|]]&gt;=0,"VENCIDA",IF(Tabla1[[#This Row],[|]]&gt;=-14,"POR VENCER","OK"))</f>
        <v>OK</v>
      </c>
      <c r="P855" s="95" t="s">
        <v>2847</v>
      </c>
      <c r="Q855" s="93" t="s">
        <v>312</v>
      </c>
      <c r="R855" s="93" t="s">
        <v>317</v>
      </c>
      <c r="S855" s="93"/>
      <c r="T855" s="93"/>
      <c r="U855" s="93"/>
      <c r="V855" s="93" t="s">
        <v>282</v>
      </c>
      <c r="W855" s="97" t="s">
        <v>1017</v>
      </c>
      <c r="X855" s="204" t="s">
        <v>597</v>
      </c>
    </row>
    <row r="856" spans="1:24" s="43" customFormat="1" ht="32.25" customHeight="1" x14ac:dyDescent="0.2">
      <c r="A856" s="42">
        <v>896</v>
      </c>
      <c r="B856" s="93" t="s">
        <v>279</v>
      </c>
      <c r="C856" s="94">
        <v>896</v>
      </c>
      <c r="D856" s="93" t="str">
        <f t="shared" si="30"/>
        <v>SUPERMIX896</v>
      </c>
      <c r="E856" s="115" t="s">
        <v>2823</v>
      </c>
      <c r="F856" s="115" t="s">
        <v>2824</v>
      </c>
      <c r="G856" s="93" t="s">
        <v>2825</v>
      </c>
      <c r="H856" s="95">
        <v>45899882</v>
      </c>
      <c r="I856" s="95" t="s">
        <v>3788</v>
      </c>
      <c r="J856" s="93" t="s">
        <v>2826</v>
      </c>
      <c r="K856" s="93" t="s">
        <v>343</v>
      </c>
      <c r="L856" s="96">
        <v>42660</v>
      </c>
      <c r="M856" s="96">
        <v>46856</v>
      </c>
      <c r="N856" s="93">
        <f t="shared" ca="1" si="29"/>
        <v>-669</v>
      </c>
      <c r="O856" s="84" t="str">
        <f ca="1">IF(Tabla1[[#This Row],[|]]&gt;=0,"VENCIDA",IF(Tabla1[[#This Row],[|]]&gt;=-14,"POR VENCER","OK"))</f>
        <v>OK</v>
      </c>
      <c r="P856" s="95" t="s">
        <v>2827</v>
      </c>
      <c r="Q856" s="93" t="s">
        <v>312</v>
      </c>
      <c r="R856" s="93" t="s">
        <v>317</v>
      </c>
      <c r="S856" s="93"/>
      <c r="T856" s="93"/>
      <c r="U856" s="93"/>
      <c r="V856" s="93" t="s">
        <v>2828</v>
      </c>
      <c r="W856" s="97" t="s">
        <v>2997</v>
      </c>
      <c r="X856" s="93" t="s">
        <v>2829</v>
      </c>
    </row>
    <row r="857" spans="1:24" s="63" customFormat="1" ht="32.25" customHeight="1" x14ac:dyDescent="0.2">
      <c r="A857" s="202">
        <v>897</v>
      </c>
      <c r="B857" s="88" t="s">
        <v>279</v>
      </c>
      <c r="C857" s="89">
        <v>897</v>
      </c>
      <c r="D857" s="88" t="str">
        <f t="shared" si="30"/>
        <v>SUPERMIX897</v>
      </c>
      <c r="E857" s="58" t="s">
        <v>2831</v>
      </c>
      <c r="F857" s="58" t="s">
        <v>2832</v>
      </c>
      <c r="G857" s="88" t="s">
        <v>2825</v>
      </c>
      <c r="H857" s="90">
        <v>43188443</v>
      </c>
      <c r="I857" s="90" t="s">
        <v>3787</v>
      </c>
      <c r="J857" s="88" t="s">
        <v>2833</v>
      </c>
      <c r="K857" s="88" t="s">
        <v>281</v>
      </c>
      <c r="L857" s="91">
        <v>42606</v>
      </c>
      <c r="M857" s="91">
        <v>44858</v>
      </c>
      <c r="N857" s="88">
        <f t="shared" ca="1" si="29"/>
        <v>1329</v>
      </c>
      <c r="O857" s="84" t="str">
        <f ca="1">IF(Tabla1[[#This Row],[|]]&gt;=0,"VENCIDA",IF(Tabla1[[#This Row],[|]]&gt;=-14,"POR VENCER","OK"))</f>
        <v>VENCIDA</v>
      </c>
      <c r="P857" s="90" t="s">
        <v>2827</v>
      </c>
      <c r="Q857" s="88" t="s">
        <v>312</v>
      </c>
      <c r="R857" s="88" t="s">
        <v>317</v>
      </c>
      <c r="S857" s="88"/>
      <c r="T857" s="88"/>
      <c r="U857" s="88"/>
      <c r="V857" s="88" t="s">
        <v>2834</v>
      </c>
      <c r="W857" s="92" t="s">
        <v>2835</v>
      </c>
      <c r="X857" s="88" t="s">
        <v>2836</v>
      </c>
    </row>
    <row r="858" spans="1:24" s="43" customFormat="1" ht="32.25" customHeight="1" x14ac:dyDescent="0.2">
      <c r="A858" s="42">
        <v>898</v>
      </c>
      <c r="B858" s="93" t="s">
        <v>279</v>
      </c>
      <c r="C858" s="94">
        <v>898</v>
      </c>
      <c r="D858" s="93" t="str">
        <f t="shared" si="30"/>
        <v>SUPERMIX898</v>
      </c>
      <c r="E858" s="115" t="s">
        <v>2839</v>
      </c>
      <c r="F858" s="115" t="s">
        <v>2840</v>
      </c>
      <c r="G858" s="93" t="s">
        <v>2825</v>
      </c>
      <c r="H858" s="95">
        <v>24887042</v>
      </c>
      <c r="I858" s="95" t="s">
        <v>3788</v>
      </c>
      <c r="J858" s="93" t="s">
        <v>2841</v>
      </c>
      <c r="K858" s="93" t="s">
        <v>1954</v>
      </c>
      <c r="L858" s="96">
        <v>38118</v>
      </c>
      <c r="M858" s="96">
        <v>46667</v>
      </c>
      <c r="N858" s="93">
        <f t="shared" ca="1" si="29"/>
        <v>-480</v>
      </c>
      <c r="O858" s="84" t="str">
        <f ca="1">IF(Tabla1[[#This Row],[|]]&gt;=0,"VENCIDA",IF(Tabla1[[#This Row],[|]]&gt;=-14,"POR VENCER","OK"))</f>
        <v>OK</v>
      </c>
      <c r="P858" s="95" t="s">
        <v>2838</v>
      </c>
      <c r="Q858" s="93" t="s">
        <v>312</v>
      </c>
      <c r="R858" s="93" t="s">
        <v>17</v>
      </c>
      <c r="S858" s="93"/>
      <c r="T858" s="93"/>
      <c r="U858" s="93"/>
      <c r="V858" s="93" t="s">
        <v>282</v>
      </c>
      <c r="W858" s="97" t="s">
        <v>1017</v>
      </c>
      <c r="X858" s="204" t="s">
        <v>597</v>
      </c>
    </row>
    <row r="859" spans="1:24" s="59" customFormat="1" ht="32.25" customHeight="1" x14ac:dyDescent="0.2">
      <c r="A859" s="200">
        <v>899</v>
      </c>
      <c r="B859" s="61" t="s">
        <v>279</v>
      </c>
      <c r="C859" s="87">
        <v>899</v>
      </c>
      <c r="D859" s="61" t="str">
        <f t="shared" si="30"/>
        <v>SUPERMIX899</v>
      </c>
      <c r="E859" s="82" t="s">
        <v>2842</v>
      </c>
      <c r="F859" s="82" t="s">
        <v>2843</v>
      </c>
      <c r="G859" s="61" t="s">
        <v>341</v>
      </c>
      <c r="H859" s="60">
        <v>29469218</v>
      </c>
      <c r="I859" s="60" t="s">
        <v>3787</v>
      </c>
      <c r="J859" s="61" t="s">
        <v>2844</v>
      </c>
      <c r="K859" s="61" t="s">
        <v>1954</v>
      </c>
      <c r="L859" s="62">
        <v>34173</v>
      </c>
      <c r="M859" s="62">
        <v>46526</v>
      </c>
      <c r="N859" s="61">
        <f t="shared" ca="1" si="29"/>
        <v>-339</v>
      </c>
      <c r="O859" s="84" t="str">
        <f ca="1">IF(Tabla1[[#This Row],[|]]&gt;=0,"VENCIDA",IF(Tabla1[[#This Row],[|]]&gt;=-14,"POR VENCER","OK"))</f>
        <v>OK</v>
      </c>
      <c r="P859" s="60" t="s">
        <v>3211</v>
      </c>
      <c r="Q859" s="61" t="s">
        <v>312</v>
      </c>
      <c r="R859" s="61" t="s">
        <v>317</v>
      </c>
      <c r="S859" s="61"/>
      <c r="T859" s="61"/>
      <c r="U859" s="61"/>
      <c r="V859" s="61" t="s">
        <v>282</v>
      </c>
      <c r="W859" s="86" t="s">
        <v>850</v>
      </c>
      <c r="X859" s="61" t="s">
        <v>597</v>
      </c>
    </row>
    <row r="860" spans="1:24" s="63" customFormat="1" ht="32.25" customHeight="1" x14ac:dyDescent="0.2">
      <c r="A860" s="202">
        <v>900</v>
      </c>
      <c r="B860" s="88" t="s">
        <v>279</v>
      </c>
      <c r="C860" s="89">
        <v>900</v>
      </c>
      <c r="D860" s="88" t="str">
        <f t="shared" si="30"/>
        <v>SUPERMIX900</v>
      </c>
      <c r="E860" s="58" t="s">
        <v>2845</v>
      </c>
      <c r="F860" s="58" t="s">
        <v>1220</v>
      </c>
      <c r="G860" s="88" t="s">
        <v>2825</v>
      </c>
      <c r="H860" s="90">
        <v>29482370</v>
      </c>
      <c r="I860" s="90" t="s">
        <v>3787</v>
      </c>
      <c r="J860" s="88" t="s">
        <v>2846</v>
      </c>
      <c r="K860" s="88" t="s">
        <v>281</v>
      </c>
      <c r="L860" s="91">
        <v>36957</v>
      </c>
      <c r="M860" s="91">
        <v>43514</v>
      </c>
      <c r="N860" s="88">
        <f t="shared" ca="1" si="29"/>
        <v>2673</v>
      </c>
      <c r="O860" s="84" t="str">
        <f ca="1">IF(Tabla1[[#This Row],[|]]&gt;=0,"VENCIDA",IF(Tabla1[[#This Row],[|]]&gt;=-14,"POR VENCER","OK"))</f>
        <v>VENCIDA</v>
      </c>
      <c r="P860" s="90" t="s">
        <v>2847</v>
      </c>
      <c r="Q860" s="88" t="s">
        <v>312</v>
      </c>
      <c r="R860" s="88" t="s">
        <v>317</v>
      </c>
      <c r="S860" s="88"/>
      <c r="T860" s="88"/>
      <c r="U860" s="88"/>
      <c r="V860" s="88" t="s">
        <v>282</v>
      </c>
      <c r="W860" s="92" t="s">
        <v>1112</v>
      </c>
      <c r="X860" s="88" t="s">
        <v>597</v>
      </c>
    </row>
    <row r="861" spans="1:24" s="63" customFormat="1" ht="32.25" customHeight="1" x14ac:dyDescent="0.2">
      <c r="A861" s="202">
        <v>901</v>
      </c>
      <c r="B861" s="88" t="s">
        <v>279</v>
      </c>
      <c r="C861" s="89">
        <v>901</v>
      </c>
      <c r="D861" s="88" t="str">
        <f t="shared" si="30"/>
        <v>SUPERMIX901</v>
      </c>
      <c r="E861" s="58" t="s">
        <v>2850</v>
      </c>
      <c r="F861" s="58" t="s">
        <v>2849</v>
      </c>
      <c r="G861" s="88" t="s">
        <v>2825</v>
      </c>
      <c r="H861" s="90" t="s">
        <v>2851</v>
      </c>
      <c r="I861" s="90" t="s">
        <v>3787</v>
      </c>
      <c r="J861" s="88" t="s">
        <v>2852</v>
      </c>
      <c r="K861" s="88" t="s">
        <v>281</v>
      </c>
      <c r="L861" s="91">
        <v>39186</v>
      </c>
      <c r="M861" s="91">
        <v>43540</v>
      </c>
      <c r="N861" s="88">
        <f t="shared" ca="1" si="29"/>
        <v>2647</v>
      </c>
      <c r="O861" s="84" t="str">
        <f ca="1">IF(Tabla1[[#This Row],[|]]&gt;=0,"VENCIDA",IF(Tabla1[[#This Row],[|]]&gt;=-14,"POR VENCER","OK"))</f>
        <v>VENCIDA</v>
      </c>
      <c r="P861" s="90" t="s">
        <v>2790</v>
      </c>
      <c r="Q861" s="88" t="s">
        <v>312</v>
      </c>
      <c r="R861" s="88" t="s">
        <v>317</v>
      </c>
      <c r="S861" s="88"/>
      <c r="T861" s="88"/>
      <c r="U861" s="88"/>
      <c r="V861" s="88" t="s">
        <v>1939</v>
      </c>
      <c r="W861" s="92" t="s">
        <v>2772</v>
      </c>
      <c r="X861" s="88" t="s">
        <v>624</v>
      </c>
    </row>
    <row r="862" spans="1:24" s="63" customFormat="1" ht="32.25" customHeight="1" x14ac:dyDescent="0.2">
      <c r="A862" s="202">
        <v>902</v>
      </c>
      <c r="B862" s="88" t="s">
        <v>279</v>
      </c>
      <c r="C862" s="89"/>
      <c r="D862" s="88" t="str">
        <f t="shared" si="30"/>
        <v>SUPERMIX</v>
      </c>
      <c r="E862" s="58" t="s">
        <v>2853</v>
      </c>
      <c r="F862" s="58" t="s">
        <v>1596</v>
      </c>
      <c r="G862" s="88" t="s">
        <v>2825</v>
      </c>
      <c r="H862" s="90">
        <v>42298066</v>
      </c>
      <c r="I862" s="90" t="s">
        <v>3787</v>
      </c>
      <c r="J862" s="88" t="s">
        <v>2854</v>
      </c>
      <c r="K862" s="88" t="s">
        <v>1954</v>
      </c>
      <c r="L862" s="91">
        <v>40995</v>
      </c>
      <c r="M862" s="91">
        <v>44320</v>
      </c>
      <c r="N862" s="88">
        <f t="shared" ca="1" si="29"/>
        <v>1867</v>
      </c>
      <c r="O862" s="84" t="str">
        <f ca="1">IF(Tabla1[[#This Row],[|]]&gt;=0,"VENCIDA",IF(Tabla1[[#This Row],[|]]&gt;=-14,"POR VENCER","OK"))</f>
        <v>VENCIDA</v>
      </c>
      <c r="P862" s="90" t="s">
        <v>2790</v>
      </c>
      <c r="Q862" s="88" t="s">
        <v>312</v>
      </c>
      <c r="R862" s="88" t="s">
        <v>317</v>
      </c>
      <c r="S862" s="88"/>
      <c r="T862" s="88"/>
      <c r="U862" s="88"/>
      <c r="V862" s="88" t="s">
        <v>1939</v>
      </c>
      <c r="W862" s="92" t="s">
        <v>2772</v>
      </c>
      <c r="X862" s="88" t="s">
        <v>624</v>
      </c>
    </row>
    <row r="863" spans="1:24" s="63" customFormat="1" ht="32.25" customHeight="1" x14ac:dyDescent="0.2">
      <c r="A863" s="202">
        <v>903</v>
      </c>
      <c r="B863" s="88" t="s">
        <v>279</v>
      </c>
      <c r="C863" s="89">
        <v>903</v>
      </c>
      <c r="D863" s="88" t="str">
        <f t="shared" si="30"/>
        <v>SUPERMIX903</v>
      </c>
      <c r="E863" s="58" t="s">
        <v>2855</v>
      </c>
      <c r="F863" s="58" t="s">
        <v>753</v>
      </c>
      <c r="G863" s="88" t="s">
        <v>2825</v>
      </c>
      <c r="H863" s="90">
        <v>41077718</v>
      </c>
      <c r="I863" s="90" t="s">
        <v>3787</v>
      </c>
      <c r="J863" s="88" t="s">
        <v>2856</v>
      </c>
      <c r="K863" s="88" t="s">
        <v>281</v>
      </c>
      <c r="L863" s="91">
        <v>39070</v>
      </c>
      <c r="M863" s="91">
        <v>44684</v>
      </c>
      <c r="N863" s="88">
        <f t="shared" ca="1" si="29"/>
        <v>1503</v>
      </c>
      <c r="O863" s="84" t="str">
        <f ca="1">IF(Tabla1[[#This Row],[|]]&gt;=0,"VENCIDA",IF(Tabla1[[#This Row],[|]]&gt;=-14,"POR VENCER","OK"))</f>
        <v>VENCIDA</v>
      </c>
      <c r="P863" s="90" t="s">
        <v>2790</v>
      </c>
      <c r="Q863" s="88" t="s">
        <v>312</v>
      </c>
      <c r="R863" s="88" t="s">
        <v>317</v>
      </c>
      <c r="S863" s="88"/>
      <c r="T863" s="88"/>
      <c r="U863" s="88"/>
      <c r="V863" s="88" t="s">
        <v>1939</v>
      </c>
      <c r="W863" s="92" t="s">
        <v>2772</v>
      </c>
      <c r="X863" s="88" t="s">
        <v>624</v>
      </c>
    </row>
    <row r="864" spans="1:24" s="63" customFormat="1" ht="32.25" customHeight="1" x14ac:dyDescent="0.2">
      <c r="A864" s="202">
        <v>904</v>
      </c>
      <c r="B864" s="88" t="s">
        <v>279</v>
      </c>
      <c r="C864" s="89">
        <v>904</v>
      </c>
      <c r="D864" s="88" t="str">
        <f t="shared" si="30"/>
        <v>SUPERMIX904</v>
      </c>
      <c r="E864" s="58" t="s">
        <v>2857</v>
      </c>
      <c r="F864" s="58" t="s">
        <v>2858</v>
      </c>
      <c r="G864" s="88" t="s">
        <v>2825</v>
      </c>
      <c r="H864" s="90">
        <v>42594428</v>
      </c>
      <c r="I864" s="90" t="s">
        <v>3787</v>
      </c>
      <c r="J864" s="88" t="s">
        <v>2859</v>
      </c>
      <c r="K864" s="88" t="s">
        <v>1954</v>
      </c>
      <c r="L864" s="91">
        <v>43291</v>
      </c>
      <c r="M864" s="91">
        <v>43956</v>
      </c>
      <c r="N864" s="88">
        <f t="shared" ca="1" si="29"/>
        <v>2231</v>
      </c>
      <c r="O864" s="84" t="str">
        <f ca="1">IF(Tabla1[[#This Row],[|]]&gt;=0,"VENCIDA",IF(Tabla1[[#This Row],[|]]&gt;=-14,"POR VENCER","OK"))</f>
        <v>VENCIDA</v>
      </c>
      <c r="P864" s="90" t="s">
        <v>2790</v>
      </c>
      <c r="Q864" s="88" t="s">
        <v>312</v>
      </c>
      <c r="R864" s="88" t="s">
        <v>317</v>
      </c>
      <c r="S864" s="88"/>
      <c r="T864" s="88"/>
      <c r="U864" s="88"/>
      <c r="V864" s="88" t="s">
        <v>1939</v>
      </c>
      <c r="W864" s="92" t="s">
        <v>2772</v>
      </c>
      <c r="X864" s="88" t="s">
        <v>624</v>
      </c>
    </row>
    <row r="865" spans="1:24" s="63" customFormat="1" ht="32.25" customHeight="1" x14ac:dyDescent="0.2">
      <c r="A865" s="202">
        <v>905</v>
      </c>
      <c r="B865" s="88" t="s">
        <v>279</v>
      </c>
      <c r="C865" s="89">
        <v>905</v>
      </c>
      <c r="D865" s="88" t="str">
        <f t="shared" si="30"/>
        <v>SUPERMIX905</v>
      </c>
      <c r="E865" s="58" t="s">
        <v>2862</v>
      </c>
      <c r="F865" s="58" t="s">
        <v>1835</v>
      </c>
      <c r="G865" s="88" t="s">
        <v>2825</v>
      </c>
      <c r="H865" s="90">
        <v>41669592</v>
      </c>
      <c r="I865" s="90" t="s">
        <v>3787</v>
      </c>
      <c r="J865" s="88" t="s">
        <v>1836</v>
      </c>
      <c r="K865" s="88" t="s">
        <v>281</v>
      </c>
      <c r="L865" s="91">
        <v>41376</v>
      </c>
      <c r="M865" s="91">
        <v>43553</v>
      </c>
      <c r="N865" s="88">
        <f t="shared" ca="1" si="29"/>
        <v>2634</v>
      </c>
      <c r="O865" s="84" t="str">
        <f ca="1">IF(Tabla1[[#This Row],[|]]&gt;=0,"VENCIDA",IF(Tabla1[[#This Row],[|]]&gt;=-14,"POR VENCER","OK"))</f>
        <v>VENCIDA</v>
      </c>
      <c r="P865" s="90" t="s">
        <v>2790</v>
      </c>
      <c r="Q865" s="88" t="s">
        <v>312</v>
      </c>
      <c r="R865" s="88" t="s">
        <v>317</v>
      </c>
      <c r="S865" s="88"/>
      <c r="T865" s="88"/>
      <c r="U865" s="88"/>
      <c r="V865" s="88" t="s">
        <v>1939</v>
      </c>
      <c r="W865" s="92" t="s">
        <v>2772</v>
      </c>
      <c r="X865" s="88" t="s">
        <v>2863</v>
      </c>
    </row>
    <row r="866" spans="1:24" s="63" customFormat="1" ht="32.25" customHeight="1" x14ac:dyDescent="0.2">
      <c r="A866" s="202">
        <v>906</v>
      </c>
      <c r="B866" s="88" t="s">
        <v>279</v>
      </c>
      <c r="C866" s="89">
        <v>906</v>
      </c>
      <c r="D866" s="88" t="str">
        <f t="shared" si="30"/>
        <v>SUPERMIX906</v>
      </c>
      <c r="E866" s="58" t="s">
        <v>2867</v>
      </c>
      <c r="F866" s="58" t="s">
        <v>2868</v>
      </c>
      <c r="G866" s="88" t="s">
        <v>2825</v>
      </c>
      <c r="H866" s="90">
        <v>40079552</v>
      </c>
      <c r="I866" s="90" t="s">
        <v>3787</v>
      </c>
      <c r="J866" s="88" t="s">
        <v>2869</v>
      </c>
      <c r="K866" s="88" t="s">
        <v>343</v>
      </c>
      <c r="L866" s="91">
        <v>42557</v>
      </c>
      <c r="M866" s="91">
        <v>43652</v>
      </c>
      <c r="N866" s="88">
        <f t="shared" ca="1" si="29"/>
        <v>2535</v>
      </c>
      <c r="O866" s="84" t="str">
        <f ca="1">IF(Tabla1[[#This Row],[|]]&gt;=0,"VENCIDA",IF(Tabla1[[#This Row],[|]]&gt;=-14,"POR VENCER","OK"))</f>
        <v>VENCIDA</v>
      </c>
      <c r="P866" s="90" t="s">
        <v>2827</v>
      </c>
      <c r="Q866" s="88" t="s">
        <v>312</v>
      </c>
      <c r="R866" s="88" t="s">
        <v>317</v>
      </c>
      <c r="S866" s="88"/>
      <c r="T866" s="88"/>
      <c r="U866" s="88"/>
      <c r="V866" s="88" t="s">
        <v>282</v>
      </c>
      <c r="W866" s="92" t="s">
        <v>2776</v>
      </c>
      <c r="X866" s="88" t="s">
        <v>2870</v>
      </c>
    </row>
    <row r="867" spans="1:24" s="63" customFormat="1" ht="32.25" customHeight="1" x14ac:dyDescent="0.2">
      <c r="A867" s="202">
        <v>907</v>
      </c>
      <c r="B867" s="88" t="s">
        <v>279</v>
      </c>
      <c r="C867" s="89">
        <v>907</v>
      </c>
      <c r="D867" s="88" t="str">
        <f t="shared" si="30"/>
        <v>SUPERMIX907</v>
      </c>
      <c r="E867" s="58" t="s">
        <v>2874</v>
      </c>
      <c r="F867" s="58" t="s">
        <v>842</v>
      </c>
      <c r="G867" s="88" t="s">
        <v>2825</v>
      </c>
      <c r="H867" s="90">
        <v>44475017</v>
      </c>
      <c r="I867" s="90" t="s">
        <v>3787</v>
      </c>
      <c r="J867" s="88" t="s">
        <v>2875</v>
      </c>
      <c r="K867" s="88" t="s">
        <v>1954</v>
      </c>
      <c r="L867" s="91">
        <v>41926</v>
      </c>
      <c r="M867" s="91">
        <v>44081</v>
      </c>
      <c r="N867" s="88">
        <f t="shared" ca="1" si="29"/>
        <v>2106</v>
      </c>
      <c r="O867" s="84" t="str">
        <f ca="1">IF(Tabla1[[#This Row],[|]]&gt;=0,"VENCIDA",IF(Tabla1[[#This Row],[|]]&gt;=-14,"POR VENCER","OK"))</f>
        <v>VENCIDA</v>
      </c>
      <c r="P867" s="90" t="s">
        <v>2790</v>
      </c>
      <c r="Q867" s="88" t="s">
        <v>312</v>
      </c>
      <c r="R867" s="88" t="s">
        <v>317</v>
      </c>
      <c r="S867" s="88"/>
      <c r="T867" s="88"/>
      <c r="U867" s="88"/>
      <c r="V867" s="88" t="s">
        <v>1939</v>
      </c>
      <c r="W867" s="92" t="s">
        <v>2772</v>
      </c>
      <c r="X867" s="88" t="s">
        <v>624</v>
      </c>
    </row>
    <row r="868" spans="1:24" s="63" customFormat="1" ht="32.25" customHeight="1" x14ac:dyDescent="0.2">
      <c r="A868" s="202">
        <v>908</v>
      </c>
      <c r="B868" s="88" t="s">
        <v>279</v>
      </c>
      <c r="C868" s="89">
        <v>908</v>
      </c>
      <c r="D868" s="88" t="str">
        <f t="shared" si="30"/>
        <v>SUPERMIX908</v>
      </c>
      <c r="E868" s="58" t="s">
        <v>2877</v>
      </c>
      <c r="F868" s="58" t="s">
        <v>2878</v>
      </c>
      <c r="G868" s="88" t="s">
        <v>2825</v>
      </c>
      <c r="H868" s="90">
        <v>29471868</v>
      </c>
      <c r="I868" s="90" t="s">
        <v>3787</v>
      </c>
      <c r="J868" s="88" t="s">
        <v>2879</v>
      </c>
      <c r="K868" s="88" t="s">
        <v>1954</v>
      </c>
      <c r="L868" s="91">
        <v>38635</v>
      </c>
      <c r="M868" s="91">
        <v>43836</v>
      </c>
      <c r="N868" s="88">
        <f t="shared" ca="1" si="29"/>
        <v>2351</v>
      </c>
      <c r="O868" s="84" t="str">
        <f ca="1">IF(Tabla1[[#This Row],[|]]&gt;=0,"VENCIDA",IF(Tabla1[[#This Row],[|]]&gt;=-14,"POR VENCER","OK"))</f>
        <v>VENCIDA</v>
      </c>
      <c r="P868" s="90" t="s">
        <v>2880</v>
      </c>
      <c r="Q868" s="88" t="s">
        <v>312</v>
      </c>
      <c r="R868" s="88" t="s">
        <v>317</v>
      </c>
      <c r="S868" s="88"/>
      <c r="T868" s="88"/>
      <c r="U868" s="88"/>
      <c r="V868" s="88" t="s">
        <v>329</v>
      </c>
      <c r="W868" s="92" t="s">
        <v>525</v>
      </c>
      <c r="X868" s="88" t="s">
        <v>597</v>
      </c>
    </row>
    <row r="869" spans="1:24" s="63" customFormat="1" ht="32.25" customHeight="1" x14ac:dyDescent="0.2">
      <c r="A869" s="202">
        <v>909</v>
      </c>
      <c r="B869" s="88" t="s">
        <v>279</v>
      </c>
      <c r="C869" s="89">
        <v>909</v>
      </c>
      <c r="D869" s="88" t="str">
        <f t="shared" si="30"/>
        <v>SUPERMIX909</v>
      </c>
      <c r="E869" s="58" t="s">
        <v>2881</v>
      </c>
      <c r="F869" s="58" t="s">
        <v>21</v>
      </c>
      <c r="G869" s="88" t="s">
        <v>2825</v>
      </c>
      <c r="H869" s="90" t="s">
        <v>2883</v>
      </c>
      <c r="I869" s="90" t="s">
        <v>3787</v>
      </c>
      <c r="J869" s="88" t="s">
        <v>2882</v>
      </c>
      <c r="K869" s="88" t="s">
        <v>281</v>
      </c>
      <c r="L869" s="91">
        <v>37721</v>
      </c>
      <c r="M869" s="91">
        <v>44705</v>
      </c>
      <c r="N869" s="88">
        <f t="shared" ca="1" si="29"/>
        <v>1482</v>
      </c>
      <c r="O869" s="84" t="str">
        <f ca="1">IF(Tabla1[[#This Row],[|]]&gt;=0,"VENCIDA",IF(Tabla1[[#This Row],[|]]&gt;=-14,"POR VENCER","OK"))</f>
        <v>VENCIDA</v>
      </c>
      <c r="P869" s="90" t="s">
        <v>2884</v>
      </c>
      <c r="Q869" s="88" t="s">
        <v>312</v>
      </c>
      <c r="R869" s="88" t="s">
        <v>317</v>
      </c>
      <c r="S869" s="88"/>
      <c r="T869" s="88"/>
      <c r="U869" s="88"/>
      <c r="V869" s="88" t="s">
        <v>282</v>
      </c>
      <c r="W869" s="92" t="s">
        <v>1112</v>
      </c>
      <c r="X869" s="88" t="s">
        <v>624</v>
      </c>
    </row>
    <row r="870" spans="1:24" s="43" customFormat="1" ht="32.25" customHeight="1" x14ac:dyDescent="0.2">
      <c r="A870" s="42">
        <v>910</v>
      </c>
      <c r="B870" s="93" t="s">
        <v>279</v>
      </c>
      <c r="C870" s="94">
        <v>910</v>
      </c>
      <c r="D870" s="93" t="str">
        <f t="shared" si="30"/>
        <v>SUPERMIX910</v>
      </c>
      <c r="E870" s="115" t="s">
        <v>2885</v>
      </c>
      <c r="F870" s="115" t="s">
        <v>1023</v>
      </c>
      <c r="G870" s="93" t="s">
        <v>2825</v>
      </c>
      <c r="H870" s="95">
        <v>80688731</v>
      </c>
      <c r="I870" s="95" t="s">
        <v>3788</v>
      </c>
      <c r="J870" s="93" t="s">
        <v>2886</v>
      </c>
      <c r="K870" s="93" t="s">
        <v>281</v>
      </c>
      <c r="L870" s="96">
        <v>41478</v>
      </c>
      <c r="M870" s="96">
        <v>46552</v>
      </c>
      <c r="N870" s="93">
        <f t="shared" ca="1" si="29"/>
        <v>-365</v>
      </c>
      <c r="O870" s="84" t="str">
        <f ca="1">IF(Tabla1[[#This Row],[|]]&gt;=0,"VENCIDA",IF(Tabla1[[#This Row],[|]]&gt;=-14,"POR VENCER","OK"))</f>
        <v>OK</v>
      </c>
      <c r="P870" s="95" t="s">
        <v>2838</v>
      </c>
      <c r="Q870" s="93" t="s">
        <v>312</v>
      </c>
      <c r="R870" s="93" t="s">
        <v>317</v>
      </c>
      <c r="S870" s="93"/>
      <c r="T870" s="93"/>
      <c r="U870" s="93"/>
      <c r="V870" s="93" t="s">
        <v>282</v>
      </c>
      <c r="W870" s="97" t="s">
        <v>2776</v>
      </c>
      <c r="X870" s="204" t="s">
        <v>597</v>
      </c>
    </row>
    <row r="871" spans="1:24" s="63" customFormat="1" ht="32.25" customHeight="1" x14ac:dyDescent="0.2">
      <c r="A871" s="202">
        <v>911</v>
      </c>
      <c r="B871" s="88" t="s">
        <v>279</v>
      </c>
      <c r="C871" s="89">
        <v>911</v>
      </c>
      <c r="D871" s="88" t="str">
        <f t="shared" si="30"/>
        <v>SUPERMIX911</v>
      </c>
      <c r="E871" s="58" t="s">
        <v>2887</v>
      </c>
      <c r="F871" s="58" t="s">
        <v>26</v>
      </c>
      <c r="G871" s="88" t="s">
        <v>2825</v>
      </c>
      <c r="H871" s="90">
        <v>29680089</v>
      </c>
      <c r="I871" s="90" t="s">
        <v>3787</v>
      </c>
      <c r="J871" s="88" t="s">
        <v>2888</v>
      </c>
      <c r="K871" s="88" t="s">
        <v>1954</v>
      </c>
      <c r="L871" s="91">
        <v>36724</v>
      </c>
      <c r="M871" s="91">
        <v>44505</v>
      </c>
      <c r="N871" s="88">
        <f t="shared" ca="1" si="29"/>
        <v>1682</v>
      </c>
      <c r="O871" s="84" t="str">
        <f ca="1">IF(Tabla1[[#This Row],[|]]&gt;=0,"VENCIDA",IF(Tabla1[[#This Row],[|]]&gt;=-14,"POR VENCER","OK"))</f>
        <v>VENCIDA</v>
      </c>
      <c r="P871" s="90" t="s">
        <v>2847</v>
      </c>
      <c r="Q871" s="88" t="s">
        <v>312</v>
      </c>
      <c r="R871" s="88" t="s">
        <v>17</v>
      </c>
      <c r="S871" s="88"/>
      <c r="T871" s="88"/>
      <c r="U871" s="88"/>
      <c r="V871" s="88" t="s">
        <v>282</v>
      </c>
      <c r="W871" s="92" t="s">
        <v>2776</v>
      </c>
      <c r="X871" s="88" t="s">
        <v>597</v>
      </c>
    </row>
    <row r="872" spans="1:24" s="43" customFormat="1" ht="32.25" customHeight="1" x14ac:dyDescent="0.2">
      <c r="A872" s="42">
        <v>912</v>
      </c>
      <c r="B872" s="93" t="s">
        <v>279</v>
      </c>
      <c r="C872" s="94">
        <v>912</v>
      </c>
      <c r="D872" s="93" t="str">
        <f t="shared" si="30"/>
        <v>SUPERMIX912</v>
      </c>
      <c r="E872" s="170" t="s">
        <v>2889</v>
      </c>
      <c r="F872" s="115" t="s">
        <v>2890</v>
      </c>
      <c r="G872" s="93" t="s">
        <v>2825</v>
      </c>
      <c r="H872" s="95">
        <v>40790583</v>
      </c>
      <c r="I872" s="95" t="s">
        <v>3788</v>
      </c>
      <c r="J872" s="93" t="s">
        <v>2891</v>
      </c>
      <c r="K872" s="93" t="s">
        <v>1961</v>
      </c>
      <c r="L872" s="96">
        <v>40596</v>
      </c>
      <c r="M872" s="96">
        <v>45693</v>
      </c>
      <c r="N872" s="93">
        <f t="shared" ca="1" si="29"/>
        <v>494</v>
      </c>
      <c r="O872" s="84" t="str">
        <f ca="1">IF(Tabla1[[#This Row],[|]]&gt;=0,"VENCIDA",IF(Tabla1[[#This Row],[|]]&gt;=-14,"POR VENCER","OK"))</f>
        <v>VENCIDA</v>
      </c>
      <c r="P872" s="95" t="s">
        <v>2827</v>
      </c>
      <c r="Q872" s="93" t="s">
        <v>312</v>
      </c>
      <c r="R872" s="93" t="s">
        <v>317</v>
      </c>
      <c r="S872" s="93"/>
      <c r="T872" s="93"/>
      <c r="U872" s="93"/>
      <c r="V872" s="93" t="s">
        <v>2892</v>
      </c>
      <c r="W872" s="97" t="s">
        <v>2776</v>
      </c>
      <c r="X872" s="204" t="s">
        <v>597</v>
      </c>
    </row>
    <row r="873" spans="1:24" s="43" customFormat="1" ht="32.25" customHeight="1" x14ac:dyDescent="0.2">
      <c r="A873" s="42">
        <v>913</v>
      </c>
      <c r="B873" s="93" t="s">
        <v>279</v>
      </c>
      <c r="C873" s="94">
        <v>913</v>
      </c>
      <c r="D873" s="93" t="str">
        <f t="shared" si="30"/>
        <v>SUPERMIX913</v>
      </c>
      <c r="E873" s="115" t="s">
        <v>2895</v>
      </c>
      <c r="F873" s="115" t="s">
        <v>21</v>
      </c>
      <c r="G873" s="93" t="s">
        <v>2825</v>
      </c>
      <c r="H873" s="95">
        <v>40655089</v>
      </c>
      <c r="I873" s="95" t="s">
        <v>3788</v>
      </c>
      <c r="J873" s="93" t="s">
        <v>2896</v>
      </c>
      <c r="K873" s="93" t="s">
        <v>3142</v>
      </c>
      <c r="L873" s="96">
        <v>42156</v>
      </c>
      <c r="M873" s="96">
        <v>46890</v>
      </c>
      <c r="N873" s="93">
        <f t="shared" ref="N873:N936" ca="1" si="31">TODAY()-M873</f>
        <v>-703</v>
      </c>
      <c r="O873" s="84" t="str">
        <f ca="1">IF(Tabla1[[#This Row],[|]]&gt;=0,"VENCIDA",IF(Tabla1[[#This Row],[|]]&gt;=-14,"POR VENCER","OK"))</f>
        <v>OK</v>
      </c>
      <c r="P873" s="95" t="s">
        <v>2827</v>
      </c>
      <c r="Q873" s="93" t="s">
        <v>312</v>
      </c>
      <c r="R873" s="93" t="s">
        <v>17</v>
      </c>
      <c r="S873" s="93"/>
      <c r="T873" s="93"/>
      <c r="U873" s="93"/>
      <c r="V873" s="93" t="s">
        <v>2897</v>
      </c>
      <c r="W873" s="97" t="s">
        <v>2776</v>
      </c>
      <c r="X873" s="93" t="s">
        <v>2898</v>
      </c>
    </row>
    <row r="874" spans="1:24" s="45" customFormat="1" ht="32.25" customHeight="1" x14ac:dyDescent="0.2">
      <c r="A874" s="212">
        <v>914</v>
      </c>
      <c r="B874" s="121" t="s">
        <v>279</v>
      </c>
      <c r="C874" s="139">
        <v>914</v>
      </c>
      <c r="D874" s="121" t="str">
        <f t="shared" si="30"/>
        <v>SUPERMIX914</v>
      </c>
      <c r="E874" s="140" t="s">
        <v>2900</v>
      </c>
      <c r="F874" s="140" t="s">
        <v>2901</v>
      </c>
      <c r="G874" s="121" t="s">
        <v>2825</v>
      </c>
      <c r="H874" s="120">
        <v>29700712</v>
      </c>
      <c r="I874" s="120" t="s">
        <v>3787</v>
      </c>
      <c r="J874" s="121" t="s">
        <v>2902</v>
      </c>
      <c r="K874" s="121" t="s">
        <v>281</v>
      </c>
      <c r="L874" s="141">
        <v>37137</v>
      </c>
      <c r="M874" s="141">
        <v>46554</v>
      </c>
      <c r="N874" s="121">
        <f t="shared" ca="1" si="31"/>
        <v>-367</v>
      </c>
      <c r="O874" s="142" t="str">
        <f ca="1">IF(Tabla1[[#This Row],[|]]&gt;=0,"VENCIDA",IF(Tabla1[[#This Row],[|]]&gt;=-14,"POR VENCER","OK"))</f>
        <v>OK</v>
      </c>
      <c r="P874" s="120" t="s">
        <v>2847</v>
      </c>
      <c r="Q874" s="121" t="s">
        <v>312</v>
      </c>
      <c r="R874" s="121" t="s">
        <v>17</v>
      </c>
      <c r="S874" s="88"/>
      <c r="T874" s="88"/>
      <c r="U874" s="88"/>
      <c r="V874" s="121" t="s">
        <v>282</v>
      </c>
      <c r="W874" s="122" t="s">
        <v>2776</v>
      </c>
      <c r="X874" s="121" t="s">
        <v>597</v>
      </c>
    </row>
    <row r="875" spans="1:24" s="43" customFormat="1" ht="32.25" customHeight="1" x14ac:dyDescent="0.2">
      <c r="A875" s="42">
        <v>915</v>
      </c>
      <c r="B875" s="93" t="s">
        <v>279</v>
      </c>
      <c r="C875" s="94">
        <v>915</v>
      </c>
      <c r="D875" s="93" t="str">
        <f t="shared" si="30"/>
        <v>SUPERMIX915</v>
      </c>
      <c r="E875" s="115" t="s">
        <v>2904</v>
      </c>
      <c r="F875" s="115" t="s">
        <v>22</v>
      </c>
      <c r="G875" s="93" t="s">
        <v>2825</v>
      </c>
      <c r="H875" s="95">
        <v>44279151</v>
      </c>
      <c r="I875" s="95" t="s">
        <v>3788</v>
      </c>
      <c r="J875" s="93" t="s">
        <v>2905</v>
      </c>
      <c r="K875" s="93" t="s">
        <v>3623</v>
      </c>
      <c r="L875" s="96">
        <v>44302</v>
      </c>
      <c r="M875" s="96">
        <v>46128</v>
      </c>
      <c r="N875" s="93">
        <f t="shared" ca="1" si="31"/>
        <v>59</v>
      </c>
      <c r="O875" s="84" t="str">
        <f ca="1">IF(Tabla1[[#This Row],[|]]&gt;=0,"VENCIDA",IF(Tabla1[[#This Row],[|]]&gt;=-14,"POR VENCER","OK"))</f>
        <v>VENCIDA</v>
      </c>
      <c r="P875" s="95" t="s">
        <v>3747</v>
      </c>
      <c r="Q875" s="93" t="s">
        <v>312</v>
      </c>
      <c r="R875" s="93" t="s">
        <v>317</v>
      </c>
      <c r="S875" s="93"/>
      <c r="T875" s="93"/>
      <c r="U875" s="93"/>
      <c r="V875" s="93" t="s">
        <v>282</v>
      </c>
      <c r="W875" s="97" t="s">
        <v>1112</v>
      </c>
      <c r="X875" s="93" t="s">
        <v>927</v>
      </c>
    </row>
    <row r="876" spans="1:24" s="63" customFormat="1" ht="32.25" customHeight="1" x14ac:dyDescent="0.2">
      <c r="A876" s="202">
        <v>916</v>
      </c>
      <c r="B876" s="88" t="s">
        <v>279</v>
      </c>
      <c r="C876" s="89">
        <v>916</v>
      </c>
      <c r="D876" s="88" t="str">
        <f t="shared" si="30"/>
        <v>SUPERMIX916</v>
      </c>
      <c r="E876" s="58" t="s">
        <v>2910</v>
      </c>
      <c r="F876" s="58" t="s">
        <v>2911</v>
      </c>
      <c r="G876" s="88" t="s">
        <v>2825</v>
      </c>
      <c r="H876" s="90">
        <v>44427157</v>
      </c>
      <c r="I876" s="90" t="s">
        <v>3787</v>
      </c>
      <c r="J876" s="88" t="s">
        <v>2912</v>
      </c>
      <c r="K876" s="88" t="s">
        <v>1961</v>
      </c>
      <c r="L876" s="91">
        <v>42914</v>
      </c>
      <c r="M876" s="91">
        <v>44010</v>
      </c>
      <c r="N876" s="88">
        <f t="shared" ca="1" si="31"/>
        <v>2177</v>
      </c>
      <c r="O876" s="84" t="str">
        <f ca="1">IF(Tabla1[[#This Row],[|]]&gt;=0,"VENCIDA",IF(Tabla1[[#This Row],[|]]&gt;=-14,"POR VENCER","OK"))</f>
        <v>VENCIDA</v>
      </c>
      <c r="P876" s="90" t="s">
        <v>2827</v>
      </c>
      <c r="Q876" s="88" t="s">
        <v>312</v>
      </c>
      <c r="R876" s="88" t="s">
        <v>317</v>
      </c>
      <c r="S876" s="88"/>
      <c r="T876" s="88"/>
      <c r="U876" s="88"/>
      <c r="V876" s="88" t="s">
        <v>2395</v>
      </c>
      <c r="W876" s="92" t="s">
        <v>2776</v>
      </c>
      <c r="X876" s="88" t="s">
        <v>2913</v>
      </c>
    </row>
    <row r="877" spans="1:24" s="63" customFormat="1" ht="32.25" customHeight="1" x14ac:dyDescent="0.2">
      <c r="A877" s="202">
        <v>917</v>
      </c>
      <c r="B877" s="88" t="s">
        <v>279</v>
      </c>
      <c r="C877" s="89">
        <v>917</v>
      </c>
      <c r="D877" s="88" t="str">
        <f t="shared" si="30"/>
        <v>SUPERMIX917</v>
      </c>
      <c r="E877" s="58" t="s">
        <v>2919</v>
      </c>
      <c r="F877" s="58" t="s">
        <v>2920</v>
      </c>
      <c r="G877" s="88" t="s">
        <v>2825</v>
      </c>
      <c r="H877" s="90">
        <v>43054542</v>
      </c>
      <c r="I877" s="90" t="s">
        <v>3787</v>
      </c>
      <c r="J877" s="88" t="s">
        <v>2921</v>
      </c>
      <c r="K877" s="88" t="s">
        <v>1961</v>
      </c>
      <c r="L877" s="91">
        <v>42342</v>
      </c>
      <c r="M877" s="91">
        <v>44526</v>
      </c>
      <c r="N877" s="88">
        <f t="shared" ca="1" si="31"/>
        <v>1661</v>
      </c>
      <c r="O877" s="84" t="str">
        <f ca="1">IF(Tabla1[[#This Row],[|]]&gt;=0,"VENCIDA",IF(Tabla1[[#This Row],[|]]&gt;=-14,"POR VENCER","OK"))</f>
        <v>VENCIDA</v>
      </c>
      <c r="P877" s="90" t="s">
        <v>2827</v>
      </c>
      <c r="Q877" s="88" t="s">
        <v>312</v>
      </c>
      <c r="R877" s="88" t="s">
        <v>17</v>
      </c>
      <c r="S877" s="88"/>
      <c r="T877" s="88"/>
      <c r="U877" s="88"/>
      <c r="V877" s="88" t="s">
        <v>2922</v>
      </c>
      <c r="W877" s="92" t="s">
        <v>2772</v>
      </c>
      <c r="X877" s="88" t="s">
        <v>2923</v>
      </c>
    </row>
    <row r="878" spans="1:24" s="43" customFormat="1" ht="32.25" customHeight="1" x14ac:dyDescent="0.2">
      <c r="A878" s="42">
        <v>918</v>
      </c>
      <c r="B878" s="93" t="s">
        <v>279</v>
      </c>
      <c r="C878" s="94">
        <v>918</v>
      </c>
      <c r="D878" s="93" t="str">
        <f t="shared" si="30"/>
        <v>SUPERMIX918</v>
      </c>
      <c r="E878" s="115" t="s">
        <v>2928</v>
      </c>
      <c r="F878" s="115" t="s">
        <v>2447</v>
      </c>
      <c r="G878" s="93" t="s">
        <v>2825</v>
      </c>
      <c r="H878" s="95" t="s">
        <v>2929</v>
      </c>
      <c r="I878" s="95" t="s">
        <v>3788</v>
      </c>
      <c r="J878" s="93" t="s">
        <v>2930</v>
      </c>
      <c r="K878" s="93" t="s">
        <v>1954</v>
      </c>
      <c r="L878" s="96">
        <v>36152</v>
      </c>
      <c r="M878" s="96">
        <v>45636</v>
      </c>
      <c r="N878" s="93">
        <f t="shared" ca="1" si="31"/>
        <v>551</v>
      </c>
      <c r="O878" s="84" t="str">
        <f ca="1">IF(Tabla1[[#This Row],[|]]&gt;=0,"VENCIDA",IF(Tabla1[[#This Row],[|]]&gt;=-14,"POR VENCER","OK"))</f>
        <v>VENCIDA</v>
      </c>
      <c r="P878" s="95" t="s">
        <v>2917</v>
      </c>
      <c r="Q878" s="93" t="s">
        <v>312</v>
      </c>
      <c r="R878" s="93" t="s">
        <v>317</v>
      </c>
      <c r="S878" s="93"/>
      <c r="T878" s="93"/>
      <c r="U878" s="93"/>
      <c r="V878" s="93" t="s">
        <v>282</v>
      </c>
      <c r="W878" s="97" t="s">
        <v>2776</v>
      </c>
      <c r="X878" s="204" t="s">
        <v>597</v>
      </c>
    </row>
    <row r="879" spans="1:24" s="63" customFormat="1" ht="32.25" customHeight="1" x14ac:dyDescent="0.2">
      <c r="A879" s="202">
        <v>919</v>
      </c>
      <c r="B879" s="88" t="s">
        <v>279</v>
      </c>
      <c r="C879" s="89">
        <v>919</v>
      </c>
      <c r="D879" s="88" t="str">
        <f t="shared" si="30"/>
        <v>SUPERMIX919</v>
      </c>
      <c r="E879" s="58" t="s">
        <v>2932</v>
      </c>
      <c r="F879" s="58" t="s">
        <v>2933</v>
      </c>
      <c r="G879" s="88" t="s">
        <v>2825</v>
      </c>
      <c r="H879" s="90">
        <v>44813033</v>
      </c>
      <c r="I879" s="90" t="s">
        <v>3787</v>
      </c>
      <c r="J879" s="88" t="s">
        <v>2934</v>
      </c>
      <c r="K879" s="88" t="s">
        <v>343</v>
      </c>
      <c r="L879" s="91">
        <v>41472</v>
      </c>
      <c r="M879" s="91">
        <v>43636</v>
      </c>
      <c r="N879" s="88">
        <f t="shared" ca="1" si="31"/>
        <v>2551</v>
      </c>
      <c r="O879" s="84" t="str">
        <f ca="1">IF(Tabla1[[#This Row],[|]]&gt;=0,"VENCIDA",IF(Tabla1[[#This Row],[|]]&gt;=-14,"POR VENCER","OK"))</f>
        <v>VENCIDA</v>
      </c>
      <c r="P879" s="90" t="s">
        <v>2935</v>
      </c>
      <c r="Q879" s="88" t="s">
        <v>312</v>
      </c>
      <c r="R879" s="88" t="s">
        <v>17</v>
      </c>
      <c r="S879" s="88"/>
      <c r="T879" s="88"/>
      <c r="U879" s="88"/>
      <c r="V879" s="88" t="s">
        <v>2162</v>
      </c>
      <c r="W879" s="92" t="s">
        <v>1782</v>
      </c>
      <c r="X879" s="88" t="s">
        <v>2936</v>
      </c>
    </row>
    <row r="880" spans="1:24" s="43" customFormat="1" ht="32.25" customHeight="1" x14ac:dyDescent="0.2">
      <c r="A880" s="42">
        <v>920</v>
      </c>
      <c r="B880" s="93" t="s">
        <v>279</v>
      </c>
      <c r="C880" s="94">
        <v>920</v>
      </c>
      <c r="D880" s="93" t="str">
        <f t="shared" si="30"/>
        <v>SUPERMIX920</v>
      </c>
      <c r="E880" s="115" t="s">
        <v>2938</v>
      </c>
      <c r="F880" s="115" t="s">
        <v>2939</v>
      </c>
      <c r="G880" s="93" t="s">
        <v>2825</v>
      </c>
      <c r="H880" s="95">
        <v>44245979</v>
      </c>
      <c r="I880" s="95" t="s">
        <v>3788</v>
      </c>
      <c r="J880" s="93" t="s">
        <v>2940</v>
      </c>
      <c r="K880" s="93" t="s">
        <v>3626</v>
      </c>
      <c r="L880" s="96">
        <v>41537</v>
      </c>
      <c r="M880" s="119">
        <v>46657</v>
      </c>
      <c r="N880" s="93">
        <f t="shared" ca="1" si="31"/>
        <v>-470</v>
      </c>
      <c r="O880" s="84" t="str">
        <f ca="1">IF(Tabla1[[#This Row],[|]]&gt;=0,"VENCIDA",IF(Tabla1[[#This Row],[|]]&gt;=-14,"POR VENCER","OK"))</f>
        <v>OK</v>
      </c>
      <c r="P880" s="95" t="s">
        <v>3425</v>
      </c>
      <c r="Q880" s="93" t="s">
        <v>312</v>
      </c>
      <c r="R880" s="93" t="s">
        <v>317</v>
      </c>
      <c r="S880" s="93"/>
      <c r="T880" s="93"/>
      <c r="U880" s="93"/>
      <c r="V880" s="93" t="s">
        <v>831</v>
      </c>
      <c r="W880" s="97" t="s">
        <v>2835</v>
      </c>
      <c r="X880" s="93" t="s">
        <v>2836</v>
      </c>
    </row>
    <row r="881" spans="1:24" s="63" customFormat="1" ht="32.25" customHeight="1" x14ac:dyDescent="0.2">
      <c r="A881" s="202">
        <v>921</v>
      </c>
      <c r="B881" s="88" t="s">
        <v>279</v>
      </c>
      <c r="C881" s="89">
        <v>921</v>
      </c>
      <c r="D881" s="88" t="str">
        <f t="shared" si="30"/>
        <v>SUPERMIX921</v>
      </c>
      <c r="E881" s="58" t="s">
        <v>2941</v>
      </c>
      <c r="F881" s="58" t="s">
        <v>2943</v>
      </c>
      <c r="G881" s="88" t="s">
        <v>2825</v>
      </c>
      <c r="H881" s="90">
        <v>44058611</v>
      </c>
      <c r="I881" s="90" t="s">
        <v>3787</v>
      </c>
      <c r="J881" s="88" t="s">
        <v>2942</v>
      </c>
      <c r="K881" s="88" t="s">
        <v>1961</v>
      </c>
      <c r="L881" s="91">
        <v>41208</v>
      </c>
      <c r="M881" s="91">
        <v>44505</v>
      </c>
      <c r="N881" s="88">
        <f t="shared" ca="1" si="31"/>
        <v>1682</v>
      </c>
      <c r="O881" s="84" t="str">
        <f ca="1">IF(Tabla1[[#This Row],[|]]&gt;=0,"VENCIDA",IF(Tabla1[[#This Row],[|]]&gt;=-14,"POR VENCER","OK"))</f>
        <v>VENCIDA</v>
      </c>
      <c r="P881" s="90" t="s">
        <v>2827</v>
      </c>
      <c r="Q881" s="88" t="s">
        <v>312</v>
      </c>
      <c r="R881" s="88" t="s">
        <v>17</v>
      </c>
      <c r="S881" s="88"/>
      <c r="T881" s="88"/>
      <c r="U881" s="88"/>
      <c r="V881" s="88" t="s">
        <v>3044</v>
      </c>
      <c r="W881" s="92" t="s">
        <v>2776</v>
      </c>
      <c r="X881" s="88" t="s">
        <v>3045</v>
      </c>
    </row>
    <row r="882" spans="1:24" s="63" customFormat="1" ht="32.25" customHeight="1" x14ac:dyDescent="0.2">
      <c r="A882" s="202">
        <v>922</v>
      </c>
      <c r="B882" s="88" t="s">
        <v>279</v>
      </c>
      <c r="C882" s="89">
        <v>922</v>
      </c>
      <c r="D882" s="88" t="str">
        <f t="shared" si="30"/>
        <v>SUPERMIX922</v>
      </c>
      <c r="E882" s="58" t="s">
        <v>2944</v>
      </c>
      <c r="F882" s="58" t="s">
        <v>2945</v>
      </c>
      <c r="G882" s="88" t="s">
        <v>2825</v>
      </c>
      <c r="H882" s="90">
        <v>72739913</v>
      </c>
      <c r="I882" s="90" t="s">
        <v>3787</v>
      </c>
      <c r="J882" s="88" t="s">
        <v>2946</v>
      </c>
      <c r="K882" s="88" t="s">
        <v>1961</v>
      </c>
      <c r="L882" s="91">
        <v>43376</v>
      </c>
      <c r="M882" s="91">
        <v>44472</v>
      </c>
      <c r="N882" s="88">
        <f t="shared" ca="1" si="31"/>
        <v>1715</v>
      </c>
      <c r="O882" s="84" t="str">
        <f ca="1">IF(Tabla1[[#This Row],[|]]&gt;=0,"VENCIDA",IF(Tabla1[[#This Row],[|]]&gt;=-14,"POR VENCER","OK"))</f>
        <v>VENCIDA</v>
      </c>
      <c r="P882" s="90" t="s">
        <v>2827</v>
      </c>
      <c r="Q882" s="88" t="s">
        <v>312</v>
      </c>
      <c r="R882" s="88" t="s">
        <v>317</v>
      </c>
      <c r="S882" s="88"/>
      <c r="T882" s="88"/>
      <c r="U882" s="88"/>
      <c r="V882" s="88" t="s">
        <v>334</v>
      </c>
      <c r="W882" s="92" t="s">
        <v>2947</v>
      </c>
      <c r="X882" s="88" t="s">
        <v>2894</v>
      </c>
    </row>
    <row r="883" spans="1:24" s="63" customFormat="1" ht="32.25" customHeight="1" x14ac:dyDescent="0.2">
      <c r="A883" s="202">
        <v>923</v>
      </c>
      <c r="B883" s="88" t="s">
        <v>279</v>
      </c>
      <c r="C883" s="89">
        <v>923</v>
      </c>
      <c r="D883" s="88" t="str">
        <f t="shared" si="30"/>
        <v>SUPERMIX923</v>
      </c>
      <c r="E883" s="58" t="s">
        <v>1529</v>
      </c>
      <c r="F883" s="58" t="s">
        <v>2950</v>
      </c>
      <c r="G883" s="88" t="s">
        <v>2825</v>
      </c>
      <c r="H883" s="90">
        <v>43655998</v>
      </c>
      <c r="I883" s="90" t="s">
        <v>3787</v>
      </c>
      <c r="J883" s="88" t="s">
        <v>2951</v>
      </c>
      <c r="K883" s="88" t="s">
        <v>1954</v>
      </c>
      <c r="L883" s="91">
        <v>41892</v>
      </c>
      <c r="M883" s="91">
        <v>45958</v>
      </c>
      <c r="N883" s="88">
        <f t="shared" ca="1" si="31"/>
        <v>229</v>
      </c>
      <c r="O883" s="84" t="str">
        <f ca="1">IF(Tabla1[[#This Row],[|]]&gt;=0,"VENCIDA",IF(Tabla1[[#This Row],[|]]&gt;=-14,"POR VENCER","OK"))</f>
        <v>VENCIDA</v>
      </c>
      <c r="P883" s="90" t="s">
        <v>2827</v>
      </c>
      <c r="Q883" s="88" t="s">
        <v>312</v>
      </c>
      <c r="R883" s="88" t="s">
        <v>317</v>
      </c>
      <c r="S883" s="88"/>
      <c r="T883" s="88"/>
      <c r="U883" s="88"/>
      <c r="V883" s="88" t="s">
        <v>334</v>
      </c>
      <c r="W883" s="92" t="s">
        <v>2947</v>
      </c>
      <c r="X883" s="88" t="s">
        <v>2952</v>
      </c>
    </row>
    <row r="884" spans="1:24" s="63" customFormat="1" ht="32.25" customHeight="1" x14ac:dyDescent="0.2">
      <c r="A884" s="202">
        <v>924</v>
      </c>
      <c r="B884" s="88" t="s">
        <v>279</v>
      </c>
      <c r="C884" s="89">
        <v>924</v>
      </c>
      <c r="D884" s="88" t="str">
        <f t="shared" si="30"/>
        <v>SUPERMIX924</v>
      </c>
      <c r="E884" s="58" t="s">
        <v>2953</v>
      </c>
      <c r="F884" s="58" t="s">
        <v>2954</v>
      </c>
      <c r="G884" s="88" t="s">
        <v>2825</v>
      </c>
      <c r="H884" s="90">
        <v>71828507</v>
      </c>
      <c r="I884" s="90" t="s">
        <v>3787</v>
      </c>
      <c r="J884" s="88" t="s">
        <v>2955</v>
      </c>
      <c r="K884" s="88" t="s">
        <v>1961</v>
      </c>
      <c r="L884" s="91">
        <v>42340</v>
      </c>
      <c r="M884" s="91">
        <v>44603</v>
      </c>
      <c r="N884" s="88">
        <f t="shared" ca="1" si="31"/>
        <v>1584</v>
      </c>
      <c r="O884" s="84" t="str">
        <f ca="1">IF(Tabla1[[#This Row],[|]]&gt;=0,"VENCIDA",IF(Tabla1[[#This Row],[|]]&gt;=-14,"POR VENCER","OK"))</f>
        <v>VENCIDA</v>
      </c>
      <c r="P884" s="90" t="s">
        <v>2827</v>
      </c>
      <c r="Q884" s="88" t="s">
        <v>312</v>
      </c>
      <c r="R884" s="88" t="s">
        <v>317</v>
      </c>
      <c r="S884" s="88"/>
      <c r="T884" s="88"/>
      <c r="U884" s="88"/>
      <c r="V884" s="88" t="s">
        <v>334</v>
      </c>
      <c r="W884" s="92" t="s">
        <v>2947</v>
      </c>
      <c r="X884" s="88" t="s">
        <v>2956</v>
      </c>
    </row>
    <row r="885" spans="1:24" s="63" customFormat="1" ht="32.25" customHeight="1" x14ac:dyDescent="0.2">
      <c r="A885" s="202">
        <v>925</v>
      </c>
      <c r="B885" s="88" t="s">
        <v>279</v>
      </c>
      <c r="C885" s="89">
        <v>925</v>
      </c>
      <c r="D885" s="88" t="str">
        <f t="shared" si="30"/>
        <v>SUPERMIX925</v>
      </c>
      <c r="E885" s="58" t="s">
        <v>2961</v>
      </c>
      <c r="F885" s="58" t="s">
        <v>623</v>
      </c>
      <c r="G885" s="88" t="s">
        <v>310</v>
      </c>
      <c r="H885" s="90">
        <v>47647997</v>
      </c>
      <c r="I885" s="90" t="s">
        <v>3787</v>
      </c>
      <c r="J885" s="88" t="s">
        <v>2962</v>
      </c>
      <c r="K885" s="88" t="s">
        <v>2250</v>
      </c>
      <c r="L885" s="91">
        <v>41887</v>
      </c>
      <c r="M885" s="91">
        <v>44108</v>
      </c>
      <c r="N885" s="88">
        <f t="shared" ca="1" si="31"/>
        <v>2079</v>
      </c>
      <c r="O885" s="84" t="str">
        <f ca="1">IF(Tabla1[[#This Row],[|]]&gt;=0,"VENCIDA",IF(Tabla1[[#This Row],[|]]&gt;=-14,"POR VENCER","OK"))</f>
        <v>VENCIDA</v>
      </c>
      <c r="P885" s="90" t="s">
        <v>2827</v>
      </c>
      <c r="Q885" s="88" t="s">
        <v>312</v>
      </c>
      <c r="R885" s="88" t="s">
        <v>17</v>
      </c>
      <c r="S885" s="88"/>
      <c r="T885" s="88"/>
      <c r="U885" s="88"/>
      <c r="V885" s="88" t="s">
        <v>1981</v>
      </c>
      <c r="W885" s="92" t="s">
        <v>1943</v>
      </c>
      <c r="X885" s="88" t="s">
        <v>2866</v>
      </c>
    </row>
    <row r="886" spans="1:24" s="63" customFormat="1" ht="32.25" customHeight="1" x14ac:dyDescent="0.2">
      <c r="A886" s="202">
        <v>926</v>
      </c>
      <c r="B886" s="88" t="s">
        <v>279</v>
      </c>
      <c r="C886" s="89">
        <v>926</v>
      </c>
      <c r="D886" s="88" t="str">
        <f t="shared" si="30"/>
        <v>SUPERMIX926</v>
      </c>
      <c r="E886" s="58" t="s">
        <v>2964</v>
      </c>
      <c r="F886" s="58" t="s">
        <v>2965</v>
      </c>
      <c r="G886" s="88" t="s">
        <v>2825</v>
      </c>
      <c r="H886" s="90">
        <v>44130028</v>
      </c>
      <c r="I886" s="90" t="s">
        <v>3787</v>
      </c>
      <c r="J886" s="88" t="s">
        <v>2966</v>
      </c>
      <c r="K886" s="88" t="s">
        <v>1954</v>
      </c>
      <c r="L886" s="91">
        <v>42185</v>
      </c>
      <c r="M886" s="91">
        <v>44367</v>
      </c>
      <c r="N886" s="88">
        <f t="shared" ca="1" si="31"/>
        <v>1820</v>
      </c>
      <c r="O886" s="84" t="str">
        <f ca="1">IF(Tabla1[[#This Row],[|]]&gt;=0,"VENCIDA",IF(Tabla1[[#This Row],[|]]&gt;=-14,"POR VENCER","OK"))</f>
        <v>VENCIDA</v>
      </c>
      <c r="P886" s="90" t="s">
        <v>2847</v>
      </c>
      <c r="Q886" s="88" t="s">
        <v>312</v>
      </c>
      <c r="R886" s="88" t="s">
        <v>17</v>
      </c>
      <c r="S886" s="88"/>
      <c r="T886" s="88"/>
      <c r="U886" s="88"/>
      <c r="V886" s="88" t="s">
        <v>282</v>
      </c>
      <c r="W886" s="92" t="s">
        <v>2776</v>
      </c>
      <c r="X886" s="88" t="s">
        <v>597</v>
      </c>
    </row>
    <row r="887" spans="1:24" s="63" customFormat="1" ht="32.25" customHeight="1" x14ac:dyDescent="0.2">
      <c r="A887" s="202">
        <v>927</v>
      </c>
      <c r="B887" s="88" t="s">
        <v>279</v>
      </c>
      <c r="C887" s="89">
        <v>927</v>
      </c>
      <c r="D887" s="88" t="str">
        <f t="shared" si="30"/>
        <v>SUPERMIX927</v>
      </c>
      <c r="E887" s="58" t="s">
        <v>2967</v>
      </c>
      <c r="F887" s="58" t="s">
        <v>2968</v>
      </c>
      <c r="G887" s="88" t="s">
        <v>2825</v>
      </c>
      <c r="H887" s="90">
        <v>41302237</v>
      </c>
      <c r="I887" s="90" t="s">
        <v>3787</v>
      </c>
      <c r="J887" s="88" t="s">
        <v>2969</v>
      </c>
      <c r="K887" s="88" t="s">
        <v>281</v>
      </c>
      <c r="L887" s="91">
        <v>41463</v>
      </c>
      <c r="M887" s="91">
        <v>44717</v>
      </c>
      <c r="N887" s="88">
        <f t="shared" ca="1" si="31"/>
        <v>1470</v>
      </c>
      <c r="O887" s="84" t="str">
        <f ca="1">IF(Tabla1[[#This Row],[|]]&gt;=0,"VENCIDA",IF(Tabla1[[#This Row],[|]]&gt;=-14,"POR VENCER","OK"))</f>
        <v>VENCIDA</v>
      </c>
      <c r="P887" s="90" t="s">
        <v>2790</v>
      </c>
      <c r="Q887" s="88" t="s">
        <v>312</v>
      </c>
      <c r="R887" s="88" t="s">
        <v>17</v>
      </c>
      <c r="S887" s="88"/>
      <c r="T887" s="88"/>
      <c r="U887" s="88"/>
      <c r="V887" s="88" t="s">
        <v>1939</v>
      </c>
      <c r="W887" s="92" t="s">
        <v>2772</v>
      </c>
      <c r="X887" s="88" t="s">
        <v>624</v>
      </c>
    </row>
    <row r="888" spans="1:24" s="43" customFormat="1" ht="32.25" customHeight="1" x14ac:dyDescent="0.2">
      <c r="A888" s="42">
        <v>928</v>
      </c>
      <c r="B888" s="93" t="s">
        <v>279</v>
      </c>
      <c r="C888" s="94">
        <v>928</v>
      </c>
      <c r="D888" s="93" t="str">
        <f t="shared" si="30"/>
        <v>SUPERMIX928</v>
      </c>
      <c r="E888" s="115" t="s">
        <v>2970</v>
      </c>
      <c r="F888" s="115" t="s">
        <v>2971</v>
      </c>
      <c r="G888" s="93" t="s">
        <v>2825</v>
      </c>
      <c r="H888" s="95">
        <v>44634254</v>
      </c>
      <c r="I888" s="95" t="s">
        <v>3788</v>
      </c>
      <c r="J888" s="93" t="s">
        <v>2972</v>
      </c>
      <c r="K888" s="93" t="s">
        <v>1961</v>
      </c>
      <c r="L888" s="96">
        <v>42893</v>
      </c>
      <c r="M888" s="96">
        <v>46204</v>
      </c>
      <c r="N888" s="93">
        <f t="shared" ca="1" si="31"/>
        <v>-17</v>
      </c>
      <c r="O888" s="84" t="str">
        <f ca="1">IF(Tabla1[[#This Row],[|]]&gt;=0,"VENCIDA",IF(Tabla1[[#This Row],[|]]&gt;=-14,"POR VENCER","OK"))</f>
        <v>OK</v>
      </c>
      <c r="P888" s="95" t="s">
        <v>2827</v>
      </c>
      <c r="Q888" s="93" t="s">
        <v>312</v>
      </c>
      <c r="R888" s="93" t="s">
        <v>317</v>
      </c>
      <c r="S888" s="93"/>
      <c r="T888" s="93"/>
      <c r="U888" s="93"/>
      <c r="V888" s="93" t="s">
        <v>2973</v>
      </c>
      <c r="W888" s="97" t="s">
        <v>2835</v>
      </c>
      <c r="X888" s="93" t="s">
        <v>2836</v>
      </c>
    </row>
    <row r="889" spans="1:24" s="63" customFormat="1" ht="32.25" customHeight="1" x14ac:dyDescent="0.2">
      <c r="A889" s="202">
        <v>929</v>
      </c>
      <c r="B889" s="88" t="s">
        <v>279</v>
      </c>
      <c r="C889" s="89">
        <v>929</v>
      </c>
      <c r="D889" s="88" t="str">
        <f t="shared" si="30"/>
        <v>SUPERMIX929</v>
      </c>
      <c r="E889" s="58" t="s">
        <v>2974</v>
      </c>
      <c r="F889" s="58" t="s">
        <v>1262</v>
      </c>
      <c r="G889" s="88" t="s">
        <v>2825</v>
      </c>
      <c r="H889" s="90">
        <v>42323252</v>
      </c>
      <c r="I889" s="90" t="s">
        <v>3788</v>
      </c>
      <c r="J889" s="88" t="s">
        <v>2975</v>
      </c>
      <c r="K889" s="88" t="s">
        <v>2092</v>
      </c>
      <c r="L889" s="91">
        <v>40078</v>
      </c>
      <c r="M889" s="91">
        <v>46302</v>
      </c>
      <c r="N889" s="88">
        <f t="shared" ca="1" si="31"/>
        <v>-115</v>
      </c>
      <c r="O889" s="84" t="str">
        <f ca="1">IF(Tabla1[[#This Row],[|]]&gt;=0,"VENCIDA",IF(Tabla1[[#This Row],[|]]&gt;=-14,"POR VENCER","OK"))</f>
        <v>OK</v>
      </c>
      <c r="P889" s="90" t="s">
        <v>2790</v>
      </c>
      <c r="Q889" s="88" t="s">
        <v>312</v>
      </c>
      <c r="R889" s="88" t="s">
        <v>17</v>
      </c>
      <c r="S889" s="88"/>
      <c r="T889" s="88"/>
      <c r="U889" s="88"/>
      <c r="V889" s="88" t="s">
        <v>1939</v>
      </c>
      <c r="W889" s="92" t="s">
        <v>3429</v>
      </c>
      <c r="X889" s="88" t="s">
        <v>624</v>
      </c>
    </row>
    <row r="890" spans="1:24" s="45" customFormat="1" ht="32.25" customHeight="1" x14ac:dyDescent="0.2">
      <c r="A890" s="212">
        <v>930</v>
      </c>
      <c r="B890" s="121" t="s">
        <v>279</v>
      </c>
      <c r="C890" s="139">
        <v>930</v>
      </c>
      <c r="D890" s="121" t="str">
        <f t="shared" si="30"/>
        <v>SUPERMIX930</v>
      </c>
      <c r="E890" s="140" t="s">
        <v>1818</v>
      </c>
      <c r="F890" s="140" t="s">
        <v>2978</v>
      </c>
      <c r="G890" s="121" t="s">
        <v>2825</v>
      </c>
      <c r="H890" s="120">
        <v>40582347</v>
      </c>
      <c r="I890" s="120" t="s">
        <v>3787</v>
      </c>
      <c r="J890" s="121" t="s">
        <v>2979</v>
      </c>
      <c r="K890" s="121" t="s">
        <v>1954</v>
      </c>
      <c r="L890" s="141">
        <v>41653</v>
      </c>
      <c r="M890" s="141">
        <v>47428</v>
      </c>
      <c r="N890" s="121">
        <f t="shared" ca="1" si="31"/>
        <v>-1241</v>
      </c>
      <c r="O890" s="142" t="str">
        <f ca="1">IF(Tabla1[[#This Row],[|]]&gt;=0,"VENCIDA",IF(Tabla1[[#This Row],[|]]&gt;=-14,"POR VENCER","OK"))</f>
        <v>OK</v>
      </c>
      <c r="P890" s="120" t="s">
        <v>2847</v>
      </c>
      <c r="Q890" s="121" t="s">
        <v>312</v>
      </c>
      <c r="R890" s="121" t="s">
        <v>17</v>
      </c>
      <c r="S890" s="88"/>
      <c r="T890" s="88"/>
      <c r="U890" s="88"/>
      <c r="V890" s="121" t="s">
        <v>282</v>
      </c>
      <c r="W890" s="122" t="s">
        <v>2776</v>
      </c>
      <c r="X890" s="121" t="s">
        <v>597</v>
      </c>
    </row>
    <row r="891" spans="1:24" s="63" customFormat="1" ht="32.25" customHeight="1" x14ac:dyDescent="0.2">
      <c r="A891" s="202">
        <v>931</v>
      </c>
      <c r="B891" s="88" t="s">
        <v>279</v>
      </c>
      <c r="C891" s="89">
        <v>931</v>
      </c>
      <c r="D891" s="88" t="str">
        <f t="shared" si="30"/>
        <v>SUPERMIX931</v>
      </c>
      <c r="E891" s="58" t="s">
        <v>2980</v>
      </c>
      <c r="F891" s="58" t="s">
        <v>2981</v>
      </c>
      <c r="G891" s="88" t="s">
        <v>2825</v>
      </c>
      <c r="H891" s="90">
        <v>45465603</v>
      </c>
      <c r="I891" s="90" t="s">
        <v>3787</v>
      </c>
      <c r="J891" s="88" t="s">
        <v>2982</v>
      </c>
      <c r="K891" s="88" t="s">
        <v>281</v>
      </c>
      <c r="L891" s="91">
        <v>42499</v>
      </c>
      <c r="M891" s="91">
        <v>43594</v>
      </c>
      <c r="N891" s="88">
        <f t="shared" ca="1" si="31"/>
        <v>2593</v>
      </c>
      <c r="O891" s="84" t="str">
        <f ca="1">IF(Tabla1[[#This Row],[|]]&gt;=0,"VENCIDA",IF(Tabla1[[#This Row],[|]]&gt;=-14,"POR VENCER","OK"))</f>
        <v>VENCIDA</v>
      </c>
      <c r="P891" s="90" t="s">
        <v>2778</v>
      </c>
      <c r="Q891" s="88" t="s">
        <v>312</v>
      </c>
      <c r="R891" s="88" t="s">
        <v>17</v>
      </c>
      <c r="S891" s="88"/>
      <c r="T891" s="88"/>
      <c r="U891" s="88"/>
      <c r="V891" s="88" t="s">
        <v>282</v>
      </c>
      <c r="W891" s="92" t="s">
        <v>2776</v>
      </c>
      <c r="X891" s="88" t="s">
        <v>2865</v>
      </c>
    </row>
    <row r="892" spans="1:24" s="63" customFormat="1" ht="32.25" customHeight="1" x14ac:dyDescent="0.2">
      <c r="A892" s="202">
        <v>932</v>
      </c>
      <c r="B892" s="88" t="s">
        <v>279</v>
      </c>
      <c r="C892" s="89">
        <v>932</v>
      </c>
      <c r="D892" s="88" t="str">
        <f t="shared" si="30"/>
        <v>SUPERMIX932</v>
      </c>
      <c r="E892" s="58" t="s">
        <v>2983</v>
      </c>
      <c r="F892" s="58" t="s">
        <v>2984</v>
      </c>
      <c r="G892" s="88" t="s">
        <v>2825</v>
      </c>
      <c r="H892" s="90">
        <v>29670565</v>
      </c>
      <c r="I892" s="90" t="s">
        <v>3787</v>
      </c>
      <c r="J892" s="88" t="s">
        <v>2985</v>
      </c>
      <c r="K892" s="88" t="s">
        <v>1954</v>
      </c>
      <c r="L892" s="91">
        <v>41288</v>
      </c>
      <c r="M892" s="91">
        <v>44598</v>
      </c>
      <c r="N892" s="88">
        <f t="shared" ca="1" si="31"/>
        <v>1589</v>
      </c>
      <c r="O892" s="84" t="str">
        <f ca="1">IF(Tabla1[[#This Row],[|]]&gt;=0,"VENCIDA",IF(Tabla1[[#This Row],[|]]&gt;=-14,"POR VENCER","OK"))</f>
        <v>VENCIDA</v>
      </c>
      <c r="P892" s="90" t="s">
        <v>2847</v>
      </c>
      <c r="Q892" s="88" t="s">
        <v>312</v>
      </c>
      <c r="R892" s="88" t="s">
        <v>317</v>
      </c>
      <c r="S892" s="88"/>
      <c r="T892" s="88"/>
      <c r="U892" s="88"/>
      <c r="V892" s="88" t="s">
        <v>282</v>
      </c>
      <c r="W892" s="92" t="s">
        <v>2776</v>
      </c>
      <c r="X892" s="88" t="s">
        <v>597</v>
      </c>
    </row>
    <row r="893" spans="1:24" s="63" customFormat="1" ht="32.25" customHeight="1" x14ac:dyDescent="0.2">
      <c r="A893" s="202">
        <v>933</v>
      </c>
      <c r="B893" s="88" t="s">
        <v>279</v>
      </c>
      <c r="C893" s="89">
        <v>933</v>
      </c>
      <c r="D893" s="88" t="str">
        <f t="shared" si="30"/>
        <v>SUPERMIX933</v>
      </c>
      <c r="E893" s="58" t="s">
        <v>2986</v>
      </c>
      <c r="F893" s="58" t="s">
        <v>2987</v>
      </c>
      <c r="G893" s="88" t="s">
        <v>2825</v>
      </c>
      <c r="H893" s="90">
        <v>29698579</v>
      </c>
      <c r="I893" s="90" t="s">
        <v>3787</v>
      </c>
      <c r="J893" s="88" t="s">
        <v>2988</v>
      </c>
      <c r="K893" s="88" t="s">
        <v>1954</v>
      </c>
      <c r="L893" s="91">
        <v>37265</v>
      </c>
      <c r="M893" s="91">
        <v>43956</v>
      </c>
      <c r="N893" s="88">
        <f t="shared" ca="1" si="31"/>
        <v>2231</v>
      </c>
      <c r="O893" s="84" t="str">
        <f ca="1">IF(Tabla1[[#This Row],[|]]&gt;=0,"VENCIDA",IF(Tabla1[[#This Row],[|]]&gt;=-14,"POR VENCER","OK"))</f>
        <v>VENCIDA</v>
      </c>
      <c r="P893" s="90" t="s">
        <v>2847</v>
      </c>
      <c r="Q893" s="88" t="s">
        <v>312</v>
      </c>
      <c r="R893" s="88" t="s">
        <v>17</v>
      </c>
      <c r="S893" s="88"/>
      <c r="T893" s="88"/>
      <c r="U893" s="88"/>
      <c r="V893" s="88" t="s">
        <v>282</v>
      </c>
      <c r="W893" s="92" t="s">
        <v>2776</v>
      </c>
      <c r="X893" s="88" t="s">
        <v>597</v>
      </c>
    </row>
    <row r="894" spans="1:24" ht="32.25" customHeight="1" x14ac:dyDescent="0.2">
      <c r="A894" s="37">
        <v>934</v>
      </c>
      <c r="B894" s="100" t="s">
        <v>279</v>
      </c>
      <c r="C894" s="101">
        <v>934</v>
      </c>
      <c r="D894" s="100" t="str">
        <f t="shared" si="30"/>
        <v>SUPERMIX934</v>
      </c>
      <c r="E894" s="169" t="s">
        <v>2992</v>
      </c>
      <c r="F894" s="169" t="s">
        <v>2993</v>
      </c>
      <c r="G894" s="100" t="s">
        <v>341</v>
      </c>
      <c r="H894" s="102">
        <v>46212546</v>
      </c>
      <c r="I894" s="102" t="s">
        <v>3788</v>
      </c>
      <c r="J894" s="100" t="s">
        <v>2994</v>
      </c>
      <c r="K894" s="100" t="s">
        <v>3142</v>
      </c>
      <c r="L894" s="103">
        <v>42349</v>
      </c>
      <c r="M894" s="103">
        <v>48893</v>
      </c>
      <c r="N894" s="100">
        <f t="shared" ca="1" si="31"/>
        <v>-2706</v>
      </c>
      <c r="O894" s="84" t="str">
        <f ca="1">IF(Tabla1[[#This Row],[|]]&gt;=0,"VENCIDA",IF(Tabla1[[#This Row],[|]]&gt;=-14,"POR VENCER","OK"))</f>
        <v>OK</v>
      </c>
      <c r="P894" s="102" t="s">
        <v>2827</v>
      </c>
      <c r="Q894" s="100" t="s">
        <v>312</v>
      </c>
      <c r="R894" s="100" t="s">
        <v>17</v>
      </c>
      <c r="S894" s="100"/>
      <c r="T894" s="100"/>
      <c r="U894" s="100"/>
      <c r="V894" s="100" t="s">
        <v>836</v>
      </c>
      <c r="W894" s="104" t="s">
        <v>2995</v>
      </c>
      <c r="X894" s="100" t="s">
        <v>2996</v>
      </c>
    </row>
    <row r="895" spans="1:24" s="63" customFormat="1" ht="32.25" customHeight="1" x14ac:dyDescent="0.2">
      <c r="A895" s="202">
        <v>935</v>
      </c>
      <c r="B895" s="88" t="s">
        <v>279</v>
      </c>
      <c r="C895" s="89">
        <v>935</v>
      </c>
      <c r="D895" s="88" t="str">
        <f t="shared" si="30"/>
        <v>SUPERMIX935</v>
      </c>
      <c r="E895" s="58" t="s">
        <v>2999</v>
      </c>
      <c r="F895" s="58" t="s">
        <v>35</v>
      </c>
      <c r="G895" s="88" t="s">
        <v>2825</v>
      </c>
      <c r="H895" s="90">
        <v>24888615</v>
      </c>
      <c r="I895" s="90" t="s">
        <v>3787</v>
      </c>
      <c r="J895" s="90" t="s">
        <v>3000</v>
      </c>
      <c r="K895" s="88" t="s">
        <v>1954</v>
      </c>
      <c r="L895" s="91">
        <v>41046</v>
      </c>
      <c r="M895" s="91">
        <v>44310</v>
      </c>
      <c r="N895" s="88">
        <f t="shared" ca="1" si="31"/>
        <v>1877</v>
      </c>
      <c r="O895" s="84" t="str">
        <f ca="1">IF(Tabla1[[#This Row],[|]]&gt;=0,"VENCIDA",IF(Tabla1[[#This Row],[|]]&gt;=-14,"POR VENCER","OK"))</f>
        <v>VENCIDA</v>
      </c>
      <c r="P895" s="90" t="s">
        <v>2827</v>
      </c>
      <c r="Q895" s="88" t="s">
        <v>312</v>
      </c>
      <c r="R895" s="88" t="s">
        <v>317</v>
      </c>
      <c r="S895" s="88"/>
      <c r="T895" s="88"/>
      <c r="U895" s="88"/>
      <c r="V895" s="88" t="s">
        <v>2589</v>
      </c>
      <c r="W895" s="92" t="s">
        <v>2776</v>
      </c>
      <c r="X895" s="88" t="s">
        <v>3001</v>
      </c>
    </row>
    <row r="896" spans="1:24" s="63" customFormat="1" ht="32.25" customHeight="1" x14ac:dyDescent="0.2">
      <c r="A896" s="202">
        <v>936</v>
      </c>
      <c r="B896" s="88" t="s">
        <v>279</v>
      </c>
      <c r="C896" s="89">
        <v>936</v>
      </c>
      <c r="D896" s="88" t="str">
        <f t="shared" si="30"/>
        <v>SUPERMIX936</v>
      </c>
      <c r="E896" s="58" t="s">
        <v>3002</v>
      </c>
      <c r="F896" s="58" t="s">
        <v>3003</v>
      </c>
      <c r="G896" s="88" t="s">
        <v>2825</v>
      </c>
      <c r="H896" s="90">
        <v>40319056</v>
      </c>
      <c r="I896" s="90" t="s">
        <v>3787</v>
      </c>
      <c r="J896" s="90" t="s">
        <v>3004</v>
      </c>
      <c r="K896" s="88" t="s">
        <v>1954</v>
      </c>
      <c r="L896" s="91">
        <v>38966</v>
      </c>
      <c r="M896" s="91">
        <v>46334</v>
      </c>
      <c r="N896" s="88">
        <f t="shared" ca="1" si="31"/>
        <v>-147</v>
      </c>
      <c r="O896" s="84" t="str">
        <f ca="1">IF(Tabla1[[#This Row],[|]]&gt;=0,"VENCIDA",IF(Tabla1[[#This Row],[|]]&gt;=-14,"POR VENCER","OK"))</f>
        <v>OK</v>
      </c>
      <c r="P896" s="90" t="s">
        <v>2917</v>
      </c>
      <c r="Q896" s="88" t="s">
        <v>312</v>
      </c>
      <c r="R896" s="88" t="s">
        <v>17</v>
      </c>
      <c r="S896" s="88"/>
      <c r="T896" s="88"/>
      <c r="U896" s="88"/>
      <c r="V896" s="88" t="s">
        <v>282</v>
      </c>
      <c r="W896" s="92" t="s">
        <v>1017</v>
      </c>
      <c r="X896" s="88" t="s">
        <v>597</v>
      </c>
    </row>
    <row r="897" spans="1:24" s="63" customFormat="1" ht="32.25" customHeight="1" x14ac:dyDescent="0.2">
      <c r="A897" s="202">
        <v>937</v>
      </c>
      <c r="B897" s="88" t="s">
        <v>279</v>
      </c>
      <c r="C897" s="89">
        <v>937</v>
      </c>
      <c r="D897" s="88" t="str">
        <f t="shared" si="30"/>
        <v>SUPERMIX937</v>
      </c>
      <c r="E897" s="58" t="s">
        <v>3005</v>
      </c>
      <c r="F897" s="58" t="s">
        <v>3006</v>
      </c>
      <c r="G897" s="88" t="s">
        <v>2825</v>
      </c>
      <c r="H897" s="90">
        <v>70467189</v>
      </c>
      <c r="I897" s="90" t="s">
        <v>3787</v>
      </c>
      <c r="J897" s="90" t="s">
        <v>3007</v>
      </c>
      <c r="K897" s="88" t="s">
        <v>1954</v>
      </c>
      <c r="L897" s="91">
        <v>43747</v>
      </c>
      <c r="M897" s="91">
        <v>44843</v>
      </c>
      <c r="N897" s="88">
        <f t="shared" ca="1" si="31"/>
        <v>1344</v>
      </c>
      <c r="O897" s="84" t="str">
        <f ca="1">IF(Tabla1[[#This Row],[|]]&gt;=0,"VENCIDA",IF(Tabla1[[#This Row],[|]]&gt;=-14,"POR VENCER","OK"))</f>
        <v>VENCIDA</v>
      </c>
      <c r="P897" s="90" t="s">
        <v>3288</v>
      </c>
      <c r="Q897" s="88" t="s">
        <v>312</v>
      </c>
      <c r="R897" s="88" t="s">
        <v>17</v>
      </c>
      <c r="S897" s="88"/>
      <c r="T897" s="88"/>
      <c r="U897" s="88"/>
      <c r="V897" s="88" t="s">
        <v>2589</v>
      </c>
      <c r="W897" s="92" t="s">
        <v>2776</v>
      </c>
      <c r="X897" s="88" t="s">
        <v>597</v>
      </c>
    </row>
    <row r="898" spans="1:24" s="63" customFormat="1" ht="32.25" customHeight="1" x14ac:dyDescent="0.2">
      <c r="A898" s="202">
        <v>938</v>
      </c>
      <c r="B898" s="88" t="s">
        <v>279</v>
      </c>
      <c r="C898" s="89">
        <v>938</v>
      </c>
      <c r="D898" s="88" t="str">
        <f t="shared" si="30"/>
        <v>SUPERMIX938</v>
      </c>
      <c r="E898" s="58" t="s">
        <v>3010</v>
      </c>
      <c r="F898" s="58" t="s">
        <v>3011</v>
      </c>
      <c r="G898" s="88" t="s">
        <v>2825</v>
      </c>
      <c r="H898" s="90">
        <v>41829453</v>
      </c>
      <c r="I898" s="90" t="s">
        <v>3787</v>
      </c>
      <c r="J898" s="90" t="s">
        <v>3012</v>
      </c>
      <c r="K898" s="88" t="s">
        <v>3142</v>
      </c>
      <c r="L898" s="91">
        <v>40415</v>
      </c>
      <c r="M898" s="91">
        <v>46967</v>
      </c>
      <c r="N898" s="88">
        <f t="shared" ca="1" si="31"/>
        <v>-780</v>
      </c>
      <c r="O898" s="84" t="str">
        <f ca="1">IF(Tabla1[[#This Row],[|]]&gt;=0,"VENCIDA",IF(Tabla1[[#This Row],[|]]&gt;=-14,"POR VENCER","OK"))</f>
        <v>OK</v>
      </c>
      <c r="P898" s="90" t="s">
        <v>3192</v>
      </c>
      <c r="Q898" s="88" t="s">
        <v>312</v>
      </c>
      <c r="R898" s="88" t="s">
        <v>17</v>
      </c>
      <c r="S898" s="88"/>
      <c r="T898" s="88"/>
      <c r="U898" s="88"/>
      <c r="V898" s="88" t="s">
        <v>334</v>
      </c>
      <c r="W898" s="92" t="s">
        <v>2997</v>
      </c>
      <c r="X898" s="88" t="s">
        <v>3191</v>
      </c>
    </row>
    <row r="899" spans="1:24" s="63" customFormat="1" ht="32.25" customHeight="1" x14ac:dyDescent="0.2">
      <c r="A899" s="202">
        <v>939</v>
      </c>
      <c r="B899" s="88" t="s">
        <v>279</v>
      </c>
      <c r="C899" s="89">
        <v>939</v>
      </c>
      <c r="D899" s="88" t="str">
        <f t="shared" si="30"/>
        <v>SUPERMIX939</v>
      </c>
      <c r="E899" s="58" t="s">
        <v>3013</v>
      </c>
      <c r="F899" s="58" t="s">
        <v>629</v>
      </c>
      <c r="G899" s="88" t="s">
        <v>2825</v>
      </c>
      <c r="H899" s="90">
        <v>41268126</v>
      </c>
      <c r="I899" s="90" t="s">
        <v>3787</v>
      </c>
      <c r="J899" s="88" t="s">
        <v>3014</v>
      </c>
      <c r="K899" s="88" t="s">
        <v>3142</v>
      </c>
      <c r="L899" s="91">
        <v>36958</v>
      </c>
      <c r="M899" s="91">
        <v>47510</v>
      </c>
      <c r="N899" s="88">
        <f t="shared" ca="1" si="31"/>
        <v>-1323</v>
      </c>
      <c r="O899" s="84" t="str">
        <f ca="1">IF(Tabla1[[#This Row],[|]]&gt;=0,"VENCIDA",IF(Tabla1[[#This Row],[|]]&gt;=-14,"POR VENCER","OK"))</f>
        <v>OK</v>
      </c>
      <c r="P899" s="90" t="s">
        <v>2827</v>
      </c>
      <c r="Q899" s="88" t="s">
        <v>312</v>
      </c>
      <c r="R899" s="88" t="s">
        <v>17</v>
      </c>
      <c r="S899" s="88"/>
      <c r="T899" s="88"/>
      <c r="U899" s="88"/>
      <c r="V899" s="88" t="s">
        <v>2589</v>
      </c>
      <c r="W899" s="92" t="s">
        <v>2776</v>
      </c>
      <c r="X899" s="88" t="s">
        <v>3015</v>
      </c>
    </row>
    <row r="900" spans="1:24" s="63" customFormat="1" ht="32.25" customHeight="1" x14ac:dyDescent="0.2">
      <c r="A900" s="202">
        <v>940</v>
      </c>
      <c r="B900" s="88" t="s">
        <v>279</v>
      </c>
      <c r="C900" s="89">
        <v>940</v>
      </c>
      <c r="D900" s="88" t="str">
        <f t="shared" si="30"/>
        <v>SUPERMIX940</v>
      </c>
      <c r="E900" s="58" t="s">
        <v>3018</v>
      </c>
      <c r="F900" s="58" t="s">
        <v>3019</v>
      </c>
      <c r="G900" s="88" t="s">
        <v>2825</v>
      </c>
      <c r="H900" s="90">
        <v>30960023</v>
      </c>
      <c r="I900" s="90" t="s">
        <v>3787</v>
      </c>
      <c r="J900" s="88" t="s">
        <v>3020</v>
      </c>
      <c r="K900" s="88" t="s">
        <v>1961</v>
      </c>
      <c r="L900" s="91">
        <v>40085</v>
      </c>
      <c r="M900" s="91">
        <v>44442</v>
      </c>
      <c r="N900" s="88">
        <f t="shared" ca="1" si="31"/>
        <v>1745</v>
      </c>
      <c r="O900" s="84" t="str">
        <f ca="1">IF(Tabla1[[#This Row],[|]]&gt;=0,"VENCIDA",IF(Tabla1[[#This Row],[|]]&gt;=-14,"POR VENCER","OK"))</f>
        <v>VENCIDA</v>
      </c>
      <c r="P900" s="90" t="s">
        <v>2778</v>
      </c>
      <c r="Q900" s="88" t="s">
        <v>312</v>
      </c>
      <c r="R900" s="88" t="s">
        <v>317</v>
      </c>
      <c r="S900" s="88"/>
      <c r="T900" s="88"/>
      <c r="U900" s="88"/>
      <c r="V900" s="88" t="s">
        <v>2589</v>
      </c>
      <c r="W900" s="92" t="s">
        <v>2776</v>
      </c>
      <c r="X900" s="88" t="s">
        <v>2865</v>
      </c>
    </row>
    <row r="901" spans="1:24" s="63" customFormat="1" ht="32.25" customHeight="1" x14ac:dyDescent="0.2">
      <c r="A901" s="202">
        <v>941</v>
      </c>
      <c r="B901" s="88" t="s">
        <v>279</v>
      </c>
      <c r="C901" s="89">
        <v>941</v>
      </c>
      <c r="D901" s="88" t="str">
        <f t="shared" si="30"/>
        <v>SUPERMIX941</v>
      </c>
      <c r="E901" s="58" t="s">
        <v>3022</v>
      </c>
      <c r="F901" s="58" t="s">
        <v>3023</v>
      </c>
      <c r="G901" s="88" t="s">
        <v>2825</v>
      </c>
      <c r="H901" s="90">
        <v>40733059</v>
      </c>
      <c r="I901" s="90" t="s">
        <v>3787</v>
      </c>
      <c r="J901" s="90" t="s">
        <v>3024</v>
      </c>
      <c r="K901" s="88" t="s">
        <v>1961</v>
      </c>
      <c r="L901" s="91">
        <v>42404</v>
      </c>
      <c r="M901" s="91">
        <v>44598</v>
      </c>
      <c r="N901" s="88">
        <f t="shared" ca="1" si="31"/>
        <v>1589</v>
      </c>
      <c r="O901" s="84" t="str">
        <f ca="1">IF(Tabla1[[#This Row],[|]]&gt;=0,"VENCIDA",IF(Tabla1[[#This Row],[|]]&gt;=-14,"POR VENCER","OK"))</f>
        <v>VENCIDA</v>
      </c>
      <c r="P901" s="90" t="s">
        <v>2827</v>
      </c>
      <c r="Q901" s="88" t="s">
        <v>312</v>
      </c>
      <c r="R901" s="88" t="s">
        <v>317</v>
      </c>
      <c r="S901" s="88"/>
      <c r="T901" s="88"/>
      <c r="U901" s="88"/>
      <c r="V901" s="88" t="s">
        <v>1981</v>
      </c>
      <c r="W901" s="92" t="s">
        <v>1943</v>
      </c>
      <c r="X901" s="88" t="s">
        <v>3025</v>
      </c>
    </row>
    <row r="902" spans="1:24" s="45" customFormat="1" ht="32.25" customHeight="1" x14ac:dyDescent="0.2">
      <c r="A902" s="212">
        <v>942</v>
      </c>
      <c r="B902" s="121" t="s">
        <v>279</v>
      </c>
      <c r="C902" s="139">
        <v>942</v>
      </c>
      <c r="D902" s="121" t="str">
        <f t="shared" si="30"/>
        <v>SUPERMIX942</v>
      </c>
      <c r="E902" s="140" t="s">
        <v>3026</v>
      </c>
      <c r="F902" s="140" t="s">
        <v>3027</v>
      </c>
      <c r="G902" s="121" t="s">
        <v>2825</v>
      </c>
      <c r="H902" s="120">
        <v>47360200</v>
      </c>
      <c r="I902" s="120" t="s">
        <v>3788</v>
      </c>
      <c r="J902" s="120" t="s">
        <v>3028</v>
      </c>
      <c r="K902" s="121" t="s">
        <v>1954</v>
      </c>
      <c r="L902" s="141">
        <v>43318</v>
      </c>
      <c r="M902" s="141">
        <v>46244</v>
      </c>
      <c r="N902" s="121">
        <f t="shared" ca="1" si="31"/>
        <v>-57</v>
      </c>
      <c r="O902" s="142" t="str">
        <f ca="1">IF(Tabla1[[#This Row],[|]]&gt;=0,"VENCIDA",IF(Tabla1[[#This Row],[|]]&gt;=-14,"POR VENCER","OK"))</f>
        <v>OK</v>
      </c>
      <c r="P902" s="120" t="s">
        <v>2847</v>
      </c>
      <c r="Q902" s="121" t="s">
        <v>312</v>
      </c>
      <c r="R902" s="121" t="s">
        <v>317</v>
      </c>
      <c r="S902" s="88"/>
      <c r="T902" s="88"/>
      <c r="U902" s="88"/>
      <c r="V902" s="121" t="s">
        <v>3029</v>
      </c>
      <c r="W902" s="122" t="s">
        <v>2776</v>
      </c>
      <c r="X902" s="121" t="s">
        <v>597</v>
      </c>
    </row>
    <row r="903" spans="1:24" s="63" customFormat="1" ht="32.25" customHeight="1" x14ac:dyDescent="0.2">
      <c r="A903" s="202">
        <v>943</v>
      </c>
      <c r="B903" s="88" t="s">
        <v>279</v>
      </c>
      <c r="C903" s="89">
        <v>943</v>
      </c>
      <c r="D903" s="88" t="str">
        <f t="shared" si="30"/>
        <v>SUPERMIX943</v>
      </c>
      <c r="E903" s="58" t="s">
        <v>3033</v>
      </c>
      <c r="F903" s="58" t="s">
        <v>2803</v>
      </c>
      <c r="G903" s="88" t="s">
        <v>2825</v>
      </c>
      <c r="H903" s="90">
        <v>72946052</v>
      </c>
      <c r="I903" s="90" t="s">
        <v>3787</v>
      </c>
      <c r="J903" s="88" t="s">
        <v>3034</v>
      </c>
      <c r="K903" s="88" t="s">
        <v>1961</v>
      </c>
      <c r="L903" s="91">
        <v>42422</v>
      </c>
      <c r="M903" s="91">
        <v>44619</v>
      </c>
      <c r="N903" s="88">
        <f t="shared" ca="1" si="31"/>
        <v>1568</v>
      </c>
      <c r="O903" s="84" t="str">
        <f ca="1">IF(Tabla1[[#This Row],[|]]&gt;=0,"VENCIDA",IF(Tabla1[[#This Row],[|]]&gt;=-14,"POR VENCER","OK"))</f>
        <v>VENCIDA</v>
      </c>
      <c r="P903" s="90" t="s">
        <v>2827</v>
      </c>
      <c r="Q903" s="88" t="s">
        <v>312</v>
      </c>
      <c r="R903" s="88" t="s">
        <v>317</v>
      </c>
      <c r="S903" s="88"/>
      <c r="T903" s="88"/>
      <c r="U903" s="88"/>
      <c r="V903" s="88" t="s">
        <v>282</v>
      </c>
      <c r="W903" s="92" t="s">
        <v>2776</v>
      </c>
      <c r="X903" s="88" t="s">
        <v>824</v>
      </c>
    </row>
    <row r="904" spans="1:24" s="43" customFormat="1" ht="32.25" customHeight="1" x14ac:dyDescent="0.2">
      <c r="A904" s="42">
        <v>944</v>
      </c>
      <c r="B904" s="93" t="s">
        <v>279</v>
      </c>
      <c r="C904" s="94">
        <v>944</v>
      </c>
      <c r="D904" s="93" t="str">
        <f t="shared" ref="D904:D967" si="32">CONCATENATE(B904,C904)</f>
        <v>SUPERMIX944</v>
      </c>
      <c r="E904" s="115" t="s">
        <v>558</v>
      </c>
      <c r="F904" s="115" t="s">
        <v>559</v>
      </c>
      <c r="G904" s="93" t="s">
        <v>2825</v>
      </c>
      <c r="H904" s="95">
        <v>25208860</v>
      </c>
      <c r="I904" s="95" t="s">
        <v>3788</v>
      </c>
      <c r="J904" s="93" t="s">
        <v>560</v>
      </c>
      <c r="K904" s="93" t="s">
        <v>1954</v>
      </c>
      <c r="L904" s="96">
        <v>30099</v>
      </c>
      <c r="M904" s="96">
        <v>46127</v>
      </c>
      <c r="N904" s="93">
        <f t="shared" ca="1" si="31"/>
        <v>60</v>
      </c>
      <c r="O904" s="84" t="str">
        <f ca="1">IF(Tabla1[[#This Row],[|]]&gt;=0,"VENCIDA",IF(Tabla1[[#This Row],[|]]&gt;=-14,"POR VENCER","OK"))</f>
        <v>VENCIDA</v>
      </c>
      <c r="P904" s="95" t="s">
        <v>2790</v>
      </c>
      <c r="Q904" s="93" t="s">
        <v>312</v>
      </c>
      <c r="R904" s="93" t="s">
        <v>17</v>
      </c>
      <c r="S904" s="93"/>
      <c r="T904" s="93"/>
      <c r="U904" s="93"/>
      <c r="V904" s="93" t="s">
        <v>1939</v>
      </c>
      <c r="W904" s="97" t="s">
        <v>2772</v>
      </c>
      <c r="X904" s="93" t="s">
        <v>624</v>
      </c>
    </row>
    <row r="905" spans="1:24" s="63" customFormat="1" ht="32.25" customHeight="1" x14ac:dyDescent="0.2">
      <c r="A905" s="202">
        <v>945</v>
      </c>
      <c r="B905" s="88" t="s">
        <v>279</v>
      </c>
      <c r="C905" s="89">
        <v>945</v>
      </c>
      <c r="D905" s="88" t="str">
        <f t="shared" si="32"/>
        <v>SUPERMIX945</v>
      </c>
      <c r="E905" s="58" t="s">
        <v>3035</v>
      </c>
      <c r="F905" s="58" t="s">
        <v>3036</v>
      </c>
      <c r="G905" s="88" t="s">
        <v>2825</v>
      </c>
      <c r="H905" s="90">
        <v>29714700</v>
      </c>
      <c r="I905" s="90" t="s">
        <v>3787</v>
      </c>
      <c r="J905" s="88" t="s">
        <v>3037</v>
      </c>
      <c r="K905" s="88" t="s">
        <v>1954</v>
      </c>
      <c r="L905" s="91">
        <v>39043</v>
      </c>
      <c r="M905" s="91">
        <v>44586</v>
      </c>
      <c r="N905" s="88">
        <f t="shared" ca="1" si="31"/>
        <v>1601</v>
      </c>
      <c r="O905" s="84" t="str">
        <f ca="1">IF(Tabla1[[#This Row],[|]]&gt;=0,"VENCIDA",IF(Tabla1[[#This Row],[|]]&gt;=-14,"POR VENCER","OK"))</f>
        <v>VENCIDA</v>
      </c>
      <c r="P905" s="90" t="s">
        <v>2847</v>
      </c>
      <c r="Q905" s="88" t="s">
        <v>312</v>
      </c>
      <c r="R905" s="88" t="s">
        <v>317</v>
      </c>
      <c r="S905" s="88"/>
      <c r="T905" s="88"/>
      <c r="U905" s="88"/>
      <c r="V905" s="88" t="s">
        <v>282</v>
      </c>
      <c r="W905" s="92" t="s">
        <v>2776</v>
      </c>
      <c r="X905" s="88" t="s">
        <v>597</v>
      </c>
    </row>
    <row r="906" spans="1:24" s="63" customFormat="1" ht="32.25" customHeight="1" x14ac:dyDescent="0.2">
      <c r="A906" s="202">
        <v>946</v>
      </c>
      <c r="B906" s="88" t="s">
        <v>279</v>
      </c>
      <c r="C906" s="89">
        <v>946</v>
      </c>
      <c r="D906" s="88" t="str">
        <f t="shared" si="32"/>
        <v>SUPERMIX946</v>
      </c>
      <c r="E906" s="58" t="s">
        <v>3039</v>
      </c>
      <c r="F906" s="58" t="s">
        <v>3040</v>
      </c>
      <c r="G906" s="88" t="s">
        <v>2825</v>
      </c>
      <c r="H906" s="90">
        <v>43351325</v>
      </c>
      <c r="I906" s="90" t="s">
        <v>3787</v>
      </c>
      <c r="J906" s="90" t="s">
        <v>3041</v>
      </c>
      <c r="K906" s="88" t="s">
        <v>1961</v>
      </c>
      <c r="L906" s="91">
        <v>41202</v>
      </c>
      <c r="M906" s="91">
        <v>44606</v>
      </c>
      <c r="N906" s="88">
        <f t="shared" ca="1" si="31"/>
        <v>1581</v>
      </c>
      <c r="O906" s="84" t="str">
        <f ca="1">IF(Tabla1[[#This Row],[|]]&gt;=0,"VENCIDA",IF(Tabla1[[#This Row],[|]]&gt;=-14,"POR VENCER","OK"))</f>
        <v>VENCIDA</v>
      </c>
      <c r="P906" s="90" t="s">
        <v>2827</v>
      </c>
      <c r="Q906" s="88" t="s">
        <v>312</v>
      </c>
      <c r="R906" s="88" t="s">
        <v>317</v>
      </c>
      <c r="S906" s="88"/>
      <c r="T906" s="88"/>
      <c r="U906" s="88"/>
      <c r="V906" s="88" t="s">
        <v>3185</v>
      </c>
      <c r="W906" s="92" t="s">
        <v>1943</v>
      </c>
      <c r="X906" s="88" t="s">
        <v>3042</v>
      </c>
    </row>
    <row r="907" spans="1:24" s="63" customFormat="1" ht="32.25" customHeight="1" x14ac:dyDescent="0.2">
      <c r="A907" s="202">
        <v>947</v>
      </c>
      <c r="B907" s="88" t="s">
        <v>279</v>
      </c>
      <c r="C907" s="89">
        <v>947</v>
      </c>
      <c r="D907" s="88" t="str">
        <f t="shared" si="32"/>
        <v>SUPERMIX947</v>
      </c>
      <c r="E907" s="58" t="s">
        <v>3046</v>
      </c>
      <c r="F907" s="58" t="s">
        <v>3047</v>
      </c>
      <c r="G907" s="88" t="s">
        <v>2825</v>
      </c>
      <c r="H907" s="90">
        <v>47127223</v>
      </c>
      <c r="I907" s="90" t="s">
        <v>3787</v>
      </c>
      <c r="J907" s="88" t="s">
        <v>3048</v>
      </c>
      <c r="K907" s="88" t="s">
        <v>3142</v>
      </c>
      <c r="L907" s="91">
        <v>42501</v>
      </c>
      <c r="M907" s="91">
        <v>45423</v>
      </c>
      <c r="N907" s="88">
        <f t="shared" ca="1" si="31"/>
        <v>764</v>
      </c>
      <c r="O907" s="84" t="str">
        <f ca="1">IF(Tabla1[[#This Row],[|]]&gt;=0,"VENCIDA",IF(Tabla1[[#This Row],[|]]&gt;=-14,"POR VENCER","OK"))</f>
        <v>VENCIDA</v>
      </c>
      <c r="P907" s="90" t="s">
        <v>2827</v>
      </c>
      <c r="Q907" s="88" t="s">
        <v>312</v>
      </c>
      <c r="R907" s="88" t="s">
        <v>317</v>
      </c>
      <c r="S907" s="88"/>
      <c r="T907" s="88"/>
      <c r="U907" s="88"/>
      <c r="V907" s="88" t="s">
        <v>3051</v>
      </c>
      <c r="W907" s="92" t="s">
        <v>3049</v>
      </c>
      <c r="X907" s="88" t="s">
        <v>3050</v>
      </c>
    </row>
    <row r="908" spans="1:24" s="59" customFormat="1" ht="32.25" customHeight="1" x14ac:dyDescent="0.2">
      <c r="A908" s="200">
        <v>948</v>
      </c>
      <c r="B908" s="61" t="s">
        <v>279</v>
      </c>
      <c r="C908" s="87">
        <v>948</v>
      </c>
      <c r="D908" s="61" t="str">
        <f t="shared" si="32"/>
        <v>SUPERMIX948</v>
      </c>
      <c r="E908" s="82" t="s">
        <v>3052</v>
      </c>
      <c r="F908" s="82" t="s">
        <v>3053</v>
      </c>
      <c r="G908" s="61" t="s">
        <v>341</v>
      </c>
      <c r="H908" s="60">
        <v>42288244</v>
      </c>
      <c r="I908" s="60" t="s">
        <v>3787</v>
      </c>
      <c r="J908" s="61" t="s">
        <v>3054</v>
      </c>
      <c r="K908" s="61" t="s">
        <v>3142</v>
      </c>
      <c r="L908" s="62">
        <v>41143</v>
      </c>
      <c r="M908" s="62">
        <v>44065</v>
      </c>
      <c r="N908" s="61">
        <f t="shared" ca="1" si="31"/>
        <v>2122</v>
      </c>
      <c r="O908" s="84" t="str">
        <f ca="1">IF(Tabla1[[#This Row],[|]]&gt;=0,"VENCIDA",IF(Tabla1[[#This Row],[|]]&gt;=-14,"POR VENCER","OK"))</f>
        <v>VENCIDA</v>
      </c>
      <c r="P908" s="60" t="s">
        <v>2827</v>
      </c>
      <c r="Q908" s="61" t="s">
        <v>312</v>
      </c>
      <c r="R908" s="61" t="s">
        <v>317</v>
      </c>
      <c r="S908" s="61"/>
      <c r="T908" s="61"/>
      <c r="U908" s="61"/>
      <c r="V908" s="61" t="s">
        <v>831</v>
      </c>
      <c r="W908" s="86" t="s">
        <v>2835</v>
      </c>
      <c r="X908" s="61" t="s">
        <v>2898</v>
      </c>
    </row>
    <row r="909" spans="1:24" s="63" customFormat="1" ht="32.25" customHeight="1" x14ac:dyDescent="0.2">
      <c r="A909" s="202">
        <v>949</v>
      </c>
      <c r="B909" s="88" t="s">
        <v>279</v>
      </c>
      <c r="C909" s="89">
        <v>949</v>
      </c>
      <c r="D909" s="88" t="str">
        <f t="shared" si="32"/>
        <v>SUPERMIX949</v>
      </c>
      <c r="E909" s="58" t="s">
        <v>3057</v>
      </c>
      <c r="F909" s="58" t="s">
        <v>3058</v>
      </c>
      <c r="G909" s="88" t="s">
        <v>2825</v>
      </c>
      <c r="H909" s="90">
        <v>46198881</v>
      </c>
      <c r="I909" s="90" t="s">
        <v>3787</v>
      </c>
      <c r="J909" s="88" t="s">
        <v>3059</v>
      </c>
      <c r="K909" s="88" t="s">
        <v>1961</v>
      </c>
      <c r="L909" s="91">
        <v>43082</v>
      </c>
      <c r="M909" s="91">
        <v>44178</v>
      </c>
      <c r="N909" s="88">
        <f t="shared" ca="1" si="31"/>
        <v>2009</v>
      </c>
      <c r="O909" s="84" t="str">
        <f ca="1">IF(Tabla1[[#This Row],[|]]&gt;=0,"VENCIDA",IF(Tabla1[[#This Row],[|]]&gt;=-14,"POR VENCER","OK"))</f>
        <v>VENCIDA</v>
      </c>
      <c r="P909" s="90" t="s">
        <v>2827</v>
      </c>
      <c r="Q909" s="88" t="s">
        <v>312</v>
      </c>
      <c r="R909" s="88" t="s">
        <v>317</v>
      </c>
      <c r="S909" s="88"/>
      <c r="T909" s="88"/>
      <c r="U909" s="88"/>
      <c r="V909" s="88" t="s">
        <v>1610</v>
      </c>
      <c r="W909" s="92" t="s">
        <v>2864</v>
      </c>
      <c r="X909" s="88" t="s">
        <v>3060</v>
      </c>
    </row>
    <row r="910" spans="1:24" s="43" customFormat="1" ht="32.25" customHeight="1" x14ac:dyDescent="0.2">
      <c r="A910" s="42">
        <v>950</v>
      </c>
      <c r="B910" s="93" t="s">
        <v>279</v>
      </c>
      <c r="C910" s="94">
        <v>950</v>
      </c>
      <c r="D910" s="93" t="str">
        <f t="shared" si="32"/>
        <v>SUPERMIX950</v>
      </c>
      <c r="E910" s="115" t="s">
        <v>3061</v>
      </c>
      <c r="F910" s="115" t="s">
        <v>3062</v>
      </c>
      <c r="G910" s="93" t="s">
        <v>2825</v>
      </c>
      <c r="H910" s="95">
        <v>41680944</v>
      </c>
      <c r="I910" s="95" t="s">
        <v>3788</v>
      </c>
      <c r="J910" s="93" t="s">
        <v>3063</v>
      </c>
      <c r="K910" s="93" t="s">
        <v>3142</v>
      </c>
      <c r="L910" s="96">
        <v>43059</v>
      </c>
      <c r="M910" s="96">
        <v>45981</v>
      </c>
      <c r="N910" s="93">
        <f t="shared" ca="1" si="31"/>
        <v>206</v>
      </c>
      <c r="O910" s="84" t="str">
        <f ca="1">IF(Tabla1[[#This Row],[|]]&gt;=0,"VENCIDA",IF(Tabla1[[#This Row],[|]]&gt;=-14,"POR VENCER","OK"))</f>
        <v>VENCIDA</v>
      </c>
      <c r="P910" s="95" t="s">
        <v>2827</v>
      </c>
      <c r="Q910" s="93" t="s">
        <v>312</v>
      </c>
      <c r="R910" s="93" t="s">
        <v>317</v>
      </c>
      <c r="S910" s="93"/>
      <c r="T910" s="93"/>
      <c r="U910" s="93"/>
      <c r="V910" s="93" t="s">
        <v>1939</v>
      </c>
      <c r="W910" s="97" t="s">
        <v>3397</v>
      </c>
      <c r="X910" s="93" t="s">
        <v>3064</v>
      </c>
    </row>
    <row r="911" spans="1:24" s="63" customFormat="1" ht="32.25" customHeight="1" x14ac:dyDescent="0.2">
      <c r="A911" s="202">
        <v>951</v>
      </c>
      <c r="B911" s="88" t="s">
        <v>279</v>
      </c>
      <c r="C911" s="89">
        <v>951</v>
      </c>
      <c r="D911" s="88" t="str">
        <f t="shared" si="32"/>
        <v>SUPERMIX951</v>
      </c>
      <c r="E911" s="58" t="s">
        <v>3065</v>
      </c>
      <c r="F911" s="58" t="s">
        <v>3066</v>
      </c>
      <c r="G911" s="88" t="s">
        <v>2825</v>
      </c>
      <c r="H911" s="90">
        <v>45621747</v>
      </c>
      <c r="I911" s="90" t="s">
        <v>3787</v>
      </c>
      <c r="J911" s="88" t="s">
        <v>3067</v>
      </c>
      <c r="K911" s="88" t="s">
        <v>1954</v>
      </c>
      <c r="L911" s="91">
        <v>42501</v>
      </c>
      <c r="M911" s="91">
        <v>44724</v>
      </c>
      <c r="N911" s="88">
        <f t="shared" ca="1" si="31"/>
        <v>1463</v>
      </c>
      <c r="O911" s="84" t="str">
        <f ca="1">IF(Tabla1[[#This Row],[|]]&gt;=0,"VENCIDA",IF(Tabla1[[#This Row],[|]]&gt;=-14,"POR VENCER","OK"))</f>
        <v>VENCIDA</v>
      </c>
      <c r="P911" s="90" t="s">
        <v>2827</v>
      </c>
      <c r="Q911" s="88" t="s">
        <v>312</v>
      </c>
      <c r="R911" s="88" t="s">
        <v>17</v>
      </c>
      <c r="S911" s="88"/>
      <c r="T911" s="88"/>
      <c r="U911" s="88"/>
      <c r="V911" s="88" t="s">
        <v>1981</v>
      </c>
      <c r="W911" s="92" t="s">
        <v>1943</v>
      </c>
      <c r="X911" s="88" t="s">
        <v>3025</v>
      </c>
    </row>
    <row r="912" spans="1:24" s="63" customFormat="1" ht="32.25" customHeight="1" x14ac:dyDescent="0.2">
      <c r="A912" s="202">
        <v>952</v>
      </c>
      <c r="B912" s="88" t="s">
        <v>279</v>
      </c>
      <c r="C912" s="89">
        <v>952</v>
      </c>
      <c r="D912" s="88" t="str">
        <f t="shared" si="32"/>
        <v>SUPERMIX952</v>
      </c>
      <c r="E912" s="58" t="s">
        <v>3068</v>
      </c>
      <c r="F912" s="58" t="s">
        <v>3069</v>
      </c>
      <c r="G912" s="88" t="s">
        <v>2825</v>
      </c>
      <c r="H912" s="90">
        <v>73739993</v>
      </c>
      <c r="I912" s="90" t="s">
        <v>3787</v>
      </c>
      <c r="J912" s="88" t="s">
        <v>3070</v>
      </c>
      <c r="K912" s="88" t="s">
        <v>3142</v>
      </c>
      <c r="L912" s="91">
        <v>43217</v>
      </c>
      <c r="M912" s="91">
        <v>46870</v>
      </c>
      <c r="N912" s="88">
        <f t="shared" ca="1" si="31"/>
        <v>-683</v>
      </c>
      <c r="O912" s="84" t="str">
        <f ca="1">IF(Tabla1[[#This Row],[|]]&gt;=0,"VENCIDA",IF(Tabla1[[#This Row],[|]]&gt;=-14,"POR VENCER","OK"))</f>
        <v>OK</v>
      </c>
      <c r="P912" s="90" t="s">
        <v>2827</v>
      </c>
      <c r="Q912" s="88" t="s">
        <v>312</v>
      </c>
      <c r="R912" s="88" t="s">
        <v>317</v>
      </c>
      <c r="S912" s="88"/>
      <c r="T912" s="88"/>
      <c r="U912" s="88"/>
      <c r="V912" s="88" t="s">
        <v>334</v>
      </c>
      <c r="W912" s="92" t="s">
        <v>2997</v>
      </c>
      <c r="X912" s="88" t="s">
        <v>3073</v>
      </c>
    </row>
    <row r="913" spans="1:24" s="43" customFormat="1" ht="32.25" customHeight="1" x14ac:dyDescent="0.2">
      <c r="A913" s="42">
        <v>953</v>
      </c>
      <c r="B913" s="93" t="s">
        <v>279</v>
      </c>
      <c r="C913" s="94">
        <v>953</v>
      </c>
      <c r="D913" s="93" t="str">
        <f t="shared" si="32"/>
        <v>SUPERMIX953</v>
      </c>
      <c r="E913" s="115" t="s">
        <v>3071</v>
      </c>
      <c r="F913" s="115" t="s">
        <v>570</v>
      </c>
      <c r="G913" s="93" t="s">
        <v>310</v>
      </c>
      <c r="H913" s="95">
        <v>40358325</v>
      </c>
      <c r="I913" s="95" t="s">
        <v>3788</v>
      </c>
      <c r="J913" s="93" t="s">
        <v>3072</v>
      </c>
      <c r="K913" s="93" t="s">
        <v>1961</v>
      </c>
      <c r="L913" s="96">
        <v>40539</v>
      </c>
      <c r="M913" s="96">
        <v>46245</v>
      </c>
      <c r="N913" s="93">
        <f t="shared" ca="1" si="31"/>
        <v>-58</v>
      </c>
      <c r="O913" s="84" t="str">
        <f ca="1">IF(Tabla1[[#This Row],[|]]&gt;=0,"VENCIDA",IF(Tabla1[[#This Row],[|]]&gt;=-14,"POR VENCER","OK"))</f>
        <v>OK</v>
      </c>
      <c r="P913" s="95" t="s">
        <v>2827</v>
      </c>
      <c r="Q913" s="93" t="s">
        <v>312</v>
      </c>
      <c r="R913" s="93" t="s">
        <v>317</v>
      </c>
      <c r="S913" s="93"/>
      <c r="T913" s="93"/>
      <c r="U913" s="93"/>
      <c r="V913" s="93" t="s">
        <v>282</v>
      </c>
      <c r="W913" s="97" t="s">
        <v>2776</v>
      </c>
      <c r="X913" s="93" t="s">
        <v>2893</v>
      </c>
    </row>
    <row r="914" spans="1:24" s="63" customFormat="1" ht="32.25" customHeight="1" x14ac:dyDescent="0.2">
      <c r="A914" s="202">
        <v>954</v>
      </c>
      <c r="B914" s="88" t="s">
        <v>279</v>
      </c>
      <c r="C914" s="89">
        <v>954</v>
      </c>
      <c r="D914" s="88" t="str">
        <f t="shared" si="32"/>
        <v>SUPERMIX954</v>
      </c>
      <c r="E914" s="58" t="s">
        <v>3074</v>
      </c>
      <c r="F914" s="58" t="s">
        <v>3075</v>
      </c>
      <c r="G914" s="88" t="s">
        <v>2825</v>
      </c>
      <c r="H914" s="90">
        <v>45798051</v>
      </c>
      <c r="I914" s="90" t="s">
        <v>3787</v>
      </c>
      <c r="J914" s="88" t="s">
        <v>3076</v>
      </c>
      <c r="K914" s="88" t="s">
        <v>3142</v>
      </c>
      <c r="L914" s="91">
        <v>39358</v>
      </c>
      <c r="M914" s="91">
        <v>46609</v>
      </c>
      <c r="N914" s="88">
        <f t="shared" ca="1" si="31"/>
        <v>-422</v>
      </c>
      <c r="O914" s="84" t="str">
        <f ca="1">IF(Tabla1[[#This Row],[|]]&gt;=0,"VENCIDA",IF(Tabla1[[#This Row],[|]]&gt;=-14,"POR VENCER","OK"))</f>
        <v>OK</v>
      </c>
      <c r="P914" s="90" t="s">
        <v>2827</v>
      </c>
      <c r="Q914" s="88" t="s">
        <v>312</v>
      </c>
      <c r="R914" s="88" t="s">
        <v>317</v>
      </c>
      <c r="S914" s="88"/>
      <c r="T914" s="88"/>
      <c r="U914" s="88"/>
      <c r="V914" s="88" t="s">
        <v>1939</v>
      </c>
      <c r="W914" s="92" t="s">
        <v>2772</v>
      </c>
      <c r="X914" s="88" t="s">
        <v>2870</v>
      </c>
    </row>
    <row r="915" spans="1:24" s="43" customFormat="1" ht="32.25" customHeight="1" x14ac:dyDescent="0.2">
      <c r="A915" s="42">
        <v>955</v>
      </c>
      <c r="B915" s="93" t="s">
        <v>279</v>
      </c>
      <c r="C915" s="94">
        <v>955</v>
      </c>
      <c r="D915" s="93" t="str">
        <f t="shared" si="32"/>
        <v>SUPERMIX955</v>
      </c>
      <c r="E915" s="115" t="s">
        <v>3080</v>
      </c>
      <c r="F915" s="115" t="s">
        <v>3081</v>
      </c>
      <c r="G915" s="93" t="s">
        <v>2825</v>
      </c>
      <c r="H915" s="95">
        <v>41093070</v>
      </c>
      <c r="I915" s="95" t="s">
        <v>3788</v>
      </c>
      <c r="J915" s="95" t="s">
        <v>3082</v>
      </c>
      <c r="K915" s="93" t="s">
        <v>1954</v>
      </c>
      <c r="L915" s="96">
        <v>38917</v>
      </c>
      <c r="M915" s="96">
        <v>46611</v>
      </c>
      <c r="N915" s="93">
        <f t="shared" ca="1" si="31"/>
        <v>-424</v>
      </c>
      <c r="O915" s="84" t="str">
        <f ca="1">IF(Tabla1[[#This Row],[|]]&gt;=0,"VENCIDA",IF(Tabla1[[#This Row],[|]]&gt;=-14,"POR VENCER","OK"))</f>
        <v>OK</v>
      </c>
      <c r="P915" s="95" t="s">
        <v>3211</v>
      </c>
      <c r="Q915" s="93" t="s">
        <v>312</v>
      </c>
      <c r="R915" s="93" t="s">
        <v>17</v>
      </c>
      <c r="S915" s="93"/>
      <c r="T915" s="93"/>
      <c r="U915" s="93"/>
      <c r="V915" s="93" t="s">
        <v>282</v>
      </c>
      <c r="W915" s="97" t="s">
        <v>1112</v>
      </c>
      <c r="X915" s="93" t="s">
        <v>3083</v>
      </c>
    </row>
    <row r="916" spans="1:24" s="43" customFormat="1" ht="32.25" customHeight="1" x14ac:dyDescent="0.2">
      <c r="A916" s="42">
        <v>956</v>
      </c>
      <c r="B916" s="93" t="s">
        <v>279</v>
      </c>
      <c r="C916" s="94">
        <v>956</v>
      </c>
      <c r="D916" s="93" t="str">
        <f t="shared" si="32"/>
        <v>SUPERMIX956</v>
      </c>
      <c r="E916" s="115" t="s">
        <v>3084</v>
      </c>
      <c r="F916" s="115" t="s">
        <v>3085</v>
      </c>
      <c r="G916" s="93" t="s">
        <v>2825</v>
      </c>
      <c r="H916" s="95">
        <v>23940737</v>
      </c>
      <c r="I916" s="95" t="s">
        <v>3788</v>
      </c>
      <c r="J916" s="93" t="s">
        <v>3086</v>
      </c>
      <c r="K916" s="93" t="s">
        <v>3443</v>
      </c>
      <c r="L916" s="96">
        <v>39127</v>
      </c>
      <c r="M916" s="96">
        <v>46680</v>
      </c>
      <c r="N916" s="93">
        <f t="shared" ca="1" si="31"/>
        <v>-493</v>
      </c>
      <c r="O916" s="84" t="str">
        <f ca="1">IF(Tabla1[[#This Row],[|]]&gt;=0,"VENCIDA",IF(Tabla1[[#This Row],[|]]&gt;=-14,"POR VENCER","OK"))</f>
        <v>OK</v>
      </c>
      <c r="P916" s="95" t="s">
        <v>3087</v>
      </c>
      <c r="Q916" s="93" t="s">
        <v>312</v>
      </c>
      <c r="R916" s="93" t="s">
        <v>317</v>
      </c>
      <c r="S916" s="93"/>
      <c r="T916" s="93"/>
      <c r="U916" s="93"/>
      <c r="V916" s="93" t="s">
        <v>282</v>
      </c>
      <c r="W916" s="97" t="s">
        <v>2776</v>
      </c>
      <c r="X916" s="204" t="s">
        <v>597</v>
      </c>
    </row>
    <row r="917" spans="1:24" s="43" customFormat="1" ht="32.25" customHeight="1" x14ac:dyDescent="0.2">
      <c r="A917" s="42">
        <v>957</v>
      </c>
      <c r="B917" s="93" t="s">
        <v>279</v>
      </c>
      <c r="C917" s="94">
        <v>957</v>
      </c>
      <c r="D917" s="93" t="str">
        <f t="shared" si="32"/>
        <v>SUPERMIX957</v>
      </c>
      <c r="E917" s="115" t="s">
        <v>3088</v>
      </c>
      <c r="F917" s="115" t="s">
        <v>3089</v>
      </c>
      <c r="G917" s="93" t="s">
        <v>310</v>
      </c>
      <c r="H917" s="95">
        <v>41831149</v>
      </c>
      <c r="I917" s="95" t="s">
        <v>3788</v>
      </c>
      <c r="J917" s="93" t="s">
        <v>3090</v>
      </c>
      <c r="K917" s="93" t="s">
        <v>1954</v>
      </c>
      <c r="L917" s="96">
        <v>41619</v>
      </c>
      <c r="M917" s="96">
        <v>46359</v>
      </c>
      <c r="N917" s="93">
        <f t="shared" ca="1" si="31"/>
        <v>-172</v>
      </c>
      <c r="O917" s="84" t="str">
        <f ca="1">IF(Tabla1[[#This Row],[|]]&gt;=0,"VENCIDA",IF(Tabla1[[#This Row],[|]]&gt;=-14,"POR VENCER","OK"))</f>
        <v>OK</v>
      </c>
      <c r="P917" s="95" t="s">
        <v>2790</v>
      </c>
      <c r="Q917" s="93" t="s">
        <v>312</v>
      </c>
      <c r="R917" s="93" t="s">
        <v>17</v>
      </c>
      <c r="S917" s="93"/>
      <c r="T917" s="93"/>
      <c r="U917" s="93"/>
      <c r="V917" s="93" t="s">
        <v>2480</v>
      </c>
      <c r="W917" s="97" t="s">
        <v>3429</v>
      </c>
      <c r="X917" s="93" t="s">
        <v>624</v>
      </c>
    </row>
    <row r="918" spans="1:24" s="43" customFormat="1" ht="32.25" customHeight="1" x14ac:dyDescent="0.2">
      <c r="A918" s="42">
        <v>958</v>
      </c>
      <c r="B918" s="93" t="s">
        <v>279</v>
      </c>
      <c r="C918" s="94">
        <v>958</v>
      </c>
      <c r="D918" s="93" t="str">
        <f t="shared" si="32"/>
        <v>SUPERMIX958</v>
      </c>
      <c r="E918" s="115" t="s">
        <v>3091</v>
      </c>
      <c r="F918" s="115" t="s">
        <v>3092</v>
      </c>
      <c r="G918" s="93" t="s">
        <v>2825</v>
      </c>
      <c r="H918" s="95">
        <v>70616400</v>
      </c>
      <c r="I918" s="95" t="s">
        <v>3788</v>
      </c>
      <c r="J918" s="93" t="s">
        <v>3093</v>
      </c>
      <c r="K918" s="93" t="s">
        <v>1961</v>
      </c>
      <c r="L918" s="96">
        <v>41995</v>
      </c>
      <c r="M918" s="96">
        <v>47253</v>
      </c>
      <c r="N918" s="93">
        <f t="shared" ca="1" si="31"/>
        <v>-1066</v>
      </c>
      <c r="O918" s="84" t="str">
        <f ca="1">IF(Tabla1[[#This Row],[|]]&gt;=0,"VENCIDA",IF(Tabla1[[#This Row],[|]]&gt;=-14,"POR VENCER","OK"))</f>
        <v>OK</v>
      </c>
      <c r="P918" s="95" t="s">
        <v>2827</v>
      </c>
      <c r="Q918" s="93" t="s">
        <v>312</v>
      </c>
      <c r="R918" s="93" t="s">
        <v>317</v>
      </c>
      <c r="S918" s="93"/>
      <c r="T918" s="93"/>
      <c r="U918" s="93"/>
      <c r="V918" s="93" t="s">
        <v>334</v>
      </c>
      <c r="W918" s="97" t="s">
        <v>2776</v>
      </c>
      <c r="X918" s="93" t="s">
        <v>2894</v>
      </c>
    </row>
    <row r="919" spans="1:24" s="63" customFormat="1" ht="32.25" customHeight="1" x14ac:dyDescent="0.2">
      <c r="A919" s="202">
        <v>959</v>
      </c>
      <c r="B919" s="88" t="s">
        <v>279</v>
      </c>
      <c r="C919" s="89">
        <v>959</v>
      </c>
      <c r="D919" s="88" t="str">
        <f t="shared" si="32"/>
        <v>SUPERMIX959</v>
      </c>
      <c r="E919" s="58" t="s">
        <v>3094</v>
      </c>
      <c r="F919" s="58" t="s">
        <v>3095</v>
      </c>
      <c r="G919" s="88" t="s">
        <v>2825</v>
      </c>
      <c r="H919" s="90">
        <v>70464605</v>
      </c>
      <c r="I919" s="90" t="s">
        <v>3787</v>
      </c>
      <c r="J919" s="88" t="s">
        <v>3096</v>
      </c>
      <c r="K919" s="88" t="s">
        <v>1954</v>
      </c>
      <c r="L919" s="91">
        <v>44369</v>
      </c>
      <c r="M919" s="91">
        <v>46195</v>
      </c>
      <c r="N919" s="88">
        <f t="shared" ca="1" si="31"/>
        <v>-8</v>
      </c>
      <c r="O919" s="84" t="str">
        <f ca="1">IF(Tabla1[[#This Row],[|]]&gt;=0,"VENCIDA",IF(Tabla1[[#This Row],[|]]&gt;=-14,"POR VENCER","OK"))</f>
        <v>POR VENCER</v>
      </c>
      <c r="P919" s="90" t="s">
        <v>3466</v>
      </c>
      <c r="Q919" s="88" t="s">
        <v>312</v>
      </c>
      <c r="R919" s="88" t="s">
        <v>317</v>
      </c>
      <c r="S919" s="88"/>
      <c r="T919" s="88"/>
      <c r="U919" s="88"/>
      <c r="V919" s="88" t="s">
        <v>282</v>
      </c>
      <c r="W919" s="92" t="s">
        <v>850</v>
      </c>
      <c r="X919" s="88" t="s">
        <v>3097</v>
      </c>
    </row>
    <row r="920" spans="1:24" s="63" customFormat="1" ht="32.25" customHeight="1" x14ac:dyDescent="0.2">
      <c r="A920" s="202">
        <v>960</v>
      </c>
      <c r="B920" s="88" t="s">
        <v>279</v>
      </c>
      <c r="C920" s="89">
        <v>960</v>
      </c>
      <c r="D920" s="88" t="str">
        <f t="shared" si="32"/>
        <v>SUPERMIX960</v>
      </c>
      <c r="E920" s="58" t="s">
        <v>3099</v>
      </c>
      <c r="F920" s="58" t="s">
        <v>3100</v>
      </c>
      <c r="G920" s="88" t="s">
        <v>2825</v>
      </c>
      <c r="H920" s="90">
        <v>45523722</v>
      </c>
      <c r="I920" s="90" t="s">
        <v>3787</v>
      </c>
      <c r="J920" s="88" t="s">
        <v>3101</v>
      </c>
      <c r="K920" s="88" t="s">
        <v>2092</v>
      </c>
      <c r="L920" s="91">
        <v>41432</v>
      </c>
      <c r="M920" s="91">
        <v>44746</v>
      </c>
      <c r="N920" s="88">
        <f t="shared" ca="1" si="31"/>
        <v>1441</v>
      </c>
      <c r="O920" s="84" t="str">
        <f ca="1">IF(Tabla1[[#This Row],[|]]&gt;=0,"VENCIDA",IF(Tabla1[[#This Row],[|]]&gt;=-14,"POR VENCER","OK"))</f>
        <v>VENCIDA</v>
      </c>
      <c r="P920" s="90" t="s">
        <v>2790</v>
      </c>
      <c r="Q920" s="88" t="s">
        <v>312</v>
      </c>
      <c r="R920" s="88" t="s">
        <v>317</v>
      </c>
      <c r="S920" s="88"/>
      <c r="T920" s="88"/>
      <c r="U920" s="88"/>
      <c r="V920" s="88" t="s">
        <v>1939</v>
      </c>
      <c r="W920" s="92" t="s">
        <v>2772</v>
      </c>
      <c r="X920" s="88" t="s">
        <v>624</v>
      </c>
    </row>
    <row r="921" spans="1:24" s="63" customFormat="1" ht="32.25" customHeight="1" x14ac:dyDescent="0.2">
      <c r="A921" s="202">
        <v>961</v>
      </c>
      <c r="B921" s="88" t="s">
        <v>279</v>
      </c>
      <c r="C921" s="89">
        <v>961</v>
      </c>
      <c r="D921" s="88" t="str">
        <f t="shared" si="32"/>
        <v>SUPERMIX961</v>
      </c>
      <c r="E921" s="58" t="s">
        <v>3103</v>
      </c>
      <c r="F921" s="58" t="s">
        <v>3104</v>
      </c>
      <c r="G921" s="88" t="s">
        <v>2825</v>
      </c>
      <c r="H921" s="90" t="s">
        <v>3105</v>
      </c>
      <c r="I921" s="90" t="s">
        <v>3787</v>
      </c>
      <c r="J921" s="90" t="s">
        <v>3106</v>
      </c>
      <c r="K921" s="88" t="s">
        <v>3142</v>
      </c>
      <c r="L921" s="91">
        <v>43700</v>
      </c>
      <c r="M921" s="91">
        <v>47357</v>
      </c>
      <c r="N921" s="88">
        <f t="shared" ca="1" si="31"/>
        <v>-1170</v>
      </c>
      <c r="O921" s="84" t="str">
        <f ca="1">IF(Tabla1[[#This Row],[|]]&gt;=0,"VENCIDA",IF(Tabla1[[#This Row],[|]]&gt;=-14,"POR VENCER","OK"))</f>
        <v>OK</v>
      </c>
      <c r="P921" s="90" t="s">
        <v>2827</v>
      </c>
      <c r="Q921" s="88" t="s">
        <v>312</v>
      </c>
      <c r="R921" s="88" t="s">
        <v>17</v>
      </c>
      <c r="S921" s="88"/>
      <c r="T921" s="88"/>
      <c r="U921" s="88"/>
      <c r="V921" s="88" t="s">
        <v>3107</v>
      </c>
      <c r="W921" s="92" t="s">
        <v>3108</v>
      </c>
      <c r="X921" s="88" t="s">
        <v>3109</v>
      </c>
    </row>
    <row r="922" spans="1:24" s="63" customFormat="1" ht="32.25" customHeight="1" x14ac:dyDescent="0.2">
      <c r="A922" s="202">
        <v>962</v>
      </c>
      <c r="B922" s="88" t="s">
        <v>279</v>
      </c>
      <c r="C922" s="89">
        <v>962</v>
      </c>
      <c r="D922" s="88" t="str">
        <f t="shared" si="32"/>
        <v>SUPERMIX962</v>
      </c>
      <c r="E922" s="58" t="s">
        <v>3111</v>
      </c>
      <c r="F922" s="58" t="s">
        <v>3112</v>
      </c>
      <c r="G922" s="88" t="s">
        <v>310</v>
      </c>
      <c r="H922" s="90">
        <v>40574928</v>
      </c>
      <c r="I922" s="90" t="s">
        <v>3787</v>
      </c>
      <c r="J922" s="88" t="s">
        <v>3113</v>
      </c>
      <c r="K922" s="88" t="s">
        <v>2250</v>
      </c>
      <c r="L922" s="91">
        <v>42234</v>
      </c>
      <c r="M922" s="91">
        <v>44459</v>
      </c>
      <c r="N922" s="88">
        <f t="shared" ca="1" si="31"/>
        <v>1728</v>
      </c>
      <c r="O922" s="84" t="str">
        <f ca="1">IF(Tabla1[[#This Row],[|]]&gt;=0,"VENCIDA",IF(Tabla1[[#This Row],[|]]&gt;=-14,"POR VENCER","OK"))</f>
        <v>VENCIDA</v>
      </c>
      <c r="P922" s="90" t="s">
        <v>2827</v>
      </c>
      <c r="Q922" s="88" t="s">
        <v>312</v>
      </c>
      <c r="R922" s="88" t="s">
        <v>317</v>
      </c>
      <c r="S922" s="88"/>
      <c r="T922" s="88"/>
      <c r="U922" s="88"/>
      <c r="V922" s="88" t="s">
        <v>334</v>
      </c>
      <c r="W922" s="92" t="s">
        <v>3114</v>
      </c>
      <c r="X922" s="88" t="s">
        <v>3115</v>
      </c>
    </row>
    <row r="923" spans="1:24" s="63" customFormat="1" ht="32.25" customHeight="1" x14ac:dyDescent="0.2">
      <c r="A923" s="202">
        <v>963</v>
      </c>
      <c r="B923" s="88" t="s">
        <v>279</v>
      </c>
      <c r="C923" s="89">
        <v>963</v>
      </c>
      <c r="D923" s="88" t="str">
        <f t="shared" si="32"/>
        <v>SUPERMIX963</v>
      </c>
      <c r="E923" s="58" t="s">
        <v>1887</v>
      </c>
      <c r="F923" s="58" t="s">
        <v>3116</v>
      </c>
      <c r="G923" s="88" t="s">
        <v>2825</v>
      </c>
      <c r="H923" s="90">
        <v>40162735</v>
      </c>
      <c r="I923" s="90" t="s">
        <v>3787</v>
      </c>
      <c r="J923" s="88" t="s">
        <v>3117</v>
      </c>
      <c r="K923" s="88" t="s">
        <v>2250</v>
      </c>
      <c r="L923" s="91">
        <v>40599</v>
      </c>
      <c r="M923" s="91">
        <v>43984</v>
      </c>
      <c r="N923" s="88">
        <f t="shared" ca="1" si="31"/>
        <v>2203</v>
      </c>
      <c r="O923" s="84" t="str">
        <f ca="1">IF(Tabla1[[#This Row],[|]]&gt;=0,"VENCIDA",IF(Tabla1[[#This Row],[|]]&gt;=-14,"POR VENCER","OK"))</f>
        <v>VENCIDA</v>
      </c>
      <c r="P923" s="90" t="s">
        <v>2827</v>
      </c>
      <c r="Q923" s="88" t="s">
        <v>312</v>
      </c>
      <c r="R923" s="88" t="s">
        <v>317</v>
      </c>
      <c r="S923" s="88"/>
      <c r="T923" s="88"/>
      <c r="U923" s="88"/>
      <c r="V923" s="88" t="s">
        <v>1957</v>
      </c>
      <c r="W923" s="92" t="s">
        <v>2776</v>
      </c>
      <c r="X923" s="88" t="s">
        <v>3118</v>
      </c>
    </row>
    <row r="924" spans="1:24" s="63" customFormat="1" ht="32.25" customHeight="1" x14ac:dyDescent="0.2">
      <c r="A924" s="202">
        <v>964</v>
      </c>
      <c r="B924" s="88" t="s">
        <v>279</v>
      </c>
      <c r="C924" s="89">
        <v>964</v>
      </c>
      <c r="D924" s="88" t="str">
        <f t="shared" si="32"/>
        <v>SUPERMIX964</v>
      </c>
      <c r="E924" s="58" t="s">
        <v>3124</v>
      </c>
      <c r="F924" s="58" t="s">
        <v>23</v>
      </c>
      <c r="G924" s="88" t="s">
        <v>2825</v>
      </c>
      <c r="H924" s="90">
        <v>46057366</v>
      </c>
      <c r="I924" s="90" t="s">
        <v>3787</v>
      </c>
      <c r="J924" s="88" t="s">
        <v>3125</v>
      </c>
      <c r="K924" s="88" t="s">
        <v>1961</v>
      </c>
      <c r="L924" s="91">
        <v>41624</v>
      </c>
      <c r="M924" s="91">
        <v>43841</v>
      </c>
      <c r="N924" s="88">
        <f t="shared" ca="1" si="31"/>
        <v>2346</v>
      </c>
      <c r="O924" s="84" t="str">
        <f ca="1">IF(Tabla1[[#This Row],[|]]&gt;=0,"VENCIDA",IF(Tabla1[[#This Row],[|]]&gt;=-14,"POR VENCER","OK"))</f>
        <v>VENCIDA</v>
      </c>
      <c r="P924" s="90" t="s">
        <v>3126</v>
      </c>
      <c r="Q924" s="88" t="s">
        <v>312</v>
      </c>
      <c r="R924" s="88" t="s">
        <v>317</v>
      </c>
      <c r="S924" s="88"/>
      <c r="T924" s="88"/>
      <c r="U924" s="88"/>
      <c r="V924" s="88" t="s">
        <v>2711</v>
      </c>
      <c r="W924" s="92" t="s">
        <v>2772</v>
      </c>
      <c r="X924" s="88" t="s">
        <v>760</v>
      </c>
    </row>
    <row r="925" spans="1:24" s="63" customFormat="1" ht="32.25" customHeight="1" x14ac:dyDescent="0.2">
      <c r="A925" s="202">
        <v>965</v>
      </c>
      <c r="B925" s="88" t="s">
        <v>279</v>
      </c>
      <c r="C925" s="89">
        <v>965</v>
      </c>
      <c r="D925" s="88" t="str">
        <f t="shared" si="32"/>
        <v>SUPERMIX965</v>
      </c>
      <c r="E925" s="58" t="s">
        <v>3128</v>
      </c>
      <c r="F925" s="58" t="s">
        <v>3129</v>
      </c>
      <c r="G925" s="88" t="s">
        <v>2825</v>
      </c>
      <c r="H925" s="90">
        <v>70765304</v>
      </c>
      <c r="I925" s="90" t="s">
        <v>3787</v>
      </c>
      <c r="J925" s="88" t="s">
        <v>3130</v>
      </c>
      <c r="K925" s="88" t="s">
        <v>1961</v>
      </c>
      <c r="L925" s="91">
        <v>41753</v>
      </c>
      <c r="M925" s="91">
        <v>43968</v>
      </c>
      <c r="N925" s="88">
        <f t="shared" ca="1" si="31"/>
        <v>2219</v>
      </c>
      <c r="O925" s="84" t="str">
        <f ca="1">IF(Tabla1[[#This Row],[|]]&gt;=0,"VENCIDA",IF(Tabla1[[#This Row],[|]]&gt;=-14,"POR VENCER","OK"))</f>
        <v>VENCIDA</v>
      </c>
      <c r="P925" s="90" t="s">
        <v>2778</v>
      </c>
      <c r="Q925" s="88" t="s">
        <v>312</v>
      </c>
      <c r="R925" s="88" t="s">
        <v>317</v>
      </c>
      <c r="S925" s="88"/>
      <c r="T925" s="88"/>
      <c r="U925" s="88"/>
      <c r="V925" s="88" t="s">
        <v>2711</v>
      </c>
      <c r="W925" s="92" t="s">
        <v>2772</v>
      </c>
      <c r="X925" s="88" t="s">
        <v>2865</v>
      </c>
    </row>
    <row r="926" spans="1:24" s="63" customFormat="1" ht="32.25" customHeight="1" x14ac:dyDescent="0.2">
      <c r="A926" s="202">
        <v>966</v>
      </c>
      <c r="B926" s="88" t="s">
        <v>279</v>
      </c>
      <c r="C926" s="89">
        <v>966</v>
      </c>
      <c r="D926" s="88" t="str">
        <f t="shared" si="32"/>
        <v>SUPERMIX966</v>
      </c>
      <c r="E926" s="58" t="s">
        <v>3131</v>
      </c>
      <c r="F926" s="58" t="s">
        <v>3132</v>
      </c>
      <c r="G926" s="88" t="s">
        <v>2825</v>
      </c>
      <c r="H926" s="90">
        <v>46006451</v>
      </c>
      <c r="I926" s="90" t="s">
        <v>3787</v>
      </c>
      <c r="J926" s="88" t="s">
        <v>3133</v>
      </c>
      <c r="K926" s="88" t="s">
        <v>1954</v>
      </c>
      <c r="L926" s="91">
        <v>43278</v>
      </c>
      <c r="M926" s="91">
        <v>44374</v>
      </c>
      <c r="N926" s="88">
        <f t="shared" ca="1" si="31"/>
        <v>1813</v>
      </c>
      <c r="O926" s="84" t="str">
        <f ca="1">IF(Tabla1[[#This Row],[|]]&gt;=0,"VENCIDA",IF(Tabla1[[#This Row],[|]]&gt;=-14,"POR VENCER","OK"))</f>
        <v>VENCIDA</v>
      </c>
      <c r="P926" s="90" t="s">
        <v>2778</v>
      </c>
      <c r="Q926" s="88" t="s">
        <v>312</v>
      </c>
      <c r="R926" s="88" t="s">
        <v>317</v>
      </c>
      <c r="S926" s="88"/>
      <c r="T926" s="88"/>
      <c r="U926" s="88"/>
      <c r="V926" s="88" t="s">
        <v>2711</v>
      </c>
      <c r="W926" s="92" t="s">
        <v>2772</v>
      </c>
      <c r="X926" s="88" t="s">
        <v>2865</v>
      </c>
    </row>
    <row r="927" spans="1:24" s="43" customFormat="1" ht="32.25" customHeight="1" x14ac:dyDescent="0.2">
      <c r="A927" s="42">
        <v>967</v>
      </c>
      <c r="B927" s="93" t="s">
        <v>279</v>
      </c>
      <c r="C927" s="94">
        <v>967</v>
      </c>
      <c r="D927" s="93" t="str">
        <f t="shared" si="32"/>
        <v>SUPERMIX967</v>
      </c>
      <c r="E927" s="115" t="s">
        <v>3135</v>
      </c>
      <c r="F927" s="115" t="s">
        <v>3136</v>
      </c>
      <c r="G927" s="93" t="s">
        <v>2825</v>
      </c>
      <c r="H927" s="95">
        <v>41814221</v>
      </c>
      <c r="I927" s="95" t="s">
        <v>3788</v>
      </c>
      <c r="J927" s="93" t="s">
        <v>3137</v>
      </c>
      <c r="K927" s="93" t="s">
        <v>3142</v>
      </c>
      <c r="L927" s="96">
        <v>37468</v>
      </c>
      <c r="M927" s="96">
        <v>47192</v>
      </c>
      <c r="N927" s="93">
        <f t="shared" ca="1" si="31"/>
        <v>-1005</v>
      </c>
      <c r="O927" s="84" t="str">
        <f ca="1">IF(Tabla1[[#This Row],[|]]&gt;=0,"VENCIDA",IF(Tabla1[[#This Row],[|]]&gt;=-14,"POR VENCER","OK"))</f>
        <v>OK</v>
      </c>
      <c r="P927" s="95" t="s">
        <v>2827</v>
      </c>
      <c r="Q927" s="93" t="s">
        <v>312</v>
      </c>
      <c r="R927" s="93" t="s">
        <v>17</v>
      </c>
      <c r="S927" s="93"/>
      <c r="T927" s="93"/>
      <c r="U927" s="93"/>
      <c r="V927" s="93" t="s">
        <v>836</v>
      </c>
      <c r="W927" s="97" t="s">
        <v>2995</v>
      </c>
      <c r="X927" s="93" t="s">
        <v>3138</v>
      </c>
    </row>
    <row r="928" spans="1:24" s="43" customFormat="1" ht="32.25" customHeight="1" x14ac:dyDescent="0.2">
      <c r="A928" s="42">
        <v>968</v>
      </c>
      <c r="B928" s="93" t="s">
        <v>279</v>
      </c>
      <c r="C928" s="94">
        <v>968</v>
      </c>
      <c r="D928" s="93" t="str">
        <f t="shared" si="32"/>
        <v>SUPERMIX968</v>
      </c>
      <c r="E928" s="115" t="s">
        <v>3139</v>
      </c>
      <c r="F928" s="115" t="s">
        <v>3140</v>
      </c>
      <c r="G928" s="93" t="s">
        <v>2825</v>
      </c>
      <c r="H928" s="95">
        <v>46230358</v>
      </c>
      <c r="I928" s="95" t="s">
        <v>3788</v>
      </c>
      <c r="J928" s="93" t="s">
        <v>3141</v>
      </c>
      <c r="K928" s="93" t="s">
        <v>3142</v>
      </c>
      <c r="L928" s="96">
        <v>41502</v>
      </c>
      <c r="M928" s="108">
        <v>48949</v>
      </c>
      <c r="N928" s="93">
        <f t="shared" ca="1" si="31"/>
        <v>-2762</v>
      </c>
      <c r="O928" s="84" t="str">
        <f ca="1">IF(Tabla1[[#This Row],[|]]&gt;=0,"VENCIDA",IF(Tabla1[[#This Row],[|]]&gt;=-14,"POR VENCER","OK"))</f>
        <v>OK</v>
      </c>
      <c r="P928" s="95" t="s">
        <v>2827</v>
      </c>
      <c r="Q928" s="93" t="s">
        <v>312</v>
      </c>
      <c r="R928" s="93" t="s">
        <v>17</v>
      </c>
      <c r="S928" s="93"/>
      <c r="T928" s="93"/>
      <c r="U928" s="93"/>
      <c r="V928" s="93" t="s">
        <v>836</v>
      </c>
      <c r="W928" s="97" t="s">
        <v>2995</v>
      </c>
      <c r="X928" s="93" t="s">
        <v>3143</v>
      </c>
    </row>
    <row r="929" spans="1:24" s="43" customFormat="1" ht="32.25" customHeight="1" x14ac:dyDescent="0.2">
      <c r="A929" s="202">
        <v>969</v>
      </c>
      <c r="B929" s="88" t="s">
        <v>279</v>
      </c>
      <c r="C929" s="89">
        <v>969</v>
      </c>
      <c r="D929" s="88" t="str">
        <f t="shared" si="32"/>
        <v>SUPERMIX969</v>
      </c>
      <c r="E929" s="58" t="s">
        <v>3144</v>
      </c>
      <c r="F929" s="58" t="s">
        <v>3145</v>
      </c>
      <c r="G929" s="88" t="s">
        <v>2825</v>
      </c>
      <c r="H929" s="90">
        <v>29230536</v>
      </c>
      <c r="I929" s="90" t="s">
        <v>3788</v>
      </c>
      <c r="J929" s="88" t="s">
        <v>3146</v>
      </c>
      <c r="K929" s="88" t="s">
        <v>2250</v>
      </c>
      <c r="L929" s="91">
        <v>40120</v>
      </c>
      <c r="M929" s="91">
        <v>45729</v>
      </c>
      <c r="N929" s="88">
        <f t="shared" ca="1" si="31"/>
        <v>458</v>
      </c>
      <c r="O929" s="84" t="str">
        <f ca="1">IF(Tabla1[[#This Row],[|]]&gt;=0,"VENCIDA",IF(Tabla1[[#This Row],[|]]&gt;=-14,"POR VENCER","OK"))</f>
        <v>VENCIDA</v>
      </c>
      <c r="P929" s="90" t="s">
        <v>2827</v>
      </c>
      <c r="Q929" s="88" t="s">
        <v>312</v>
      </c>
      <c r="R929" s="88" t="s">
        <v>17</v>
      </c>
      <c r="S929" s="93"/>
      <c r="T929" s="93"/>
      <c r="U929" s="93"/>
      <c r="V929" s="88" t="s">
        <v>1981</v>
      </c>
      <c r="W929" s="92" t="s">
        <v>1943</v>
      </c>
      <c r="X929" s="88" t="s">
        <v>2866</v>
      </c>
    </row>
    <row r="930" spans="1:24" s="63" customFormat="1" ht="32.25" customHeight="1" x14ac:dyDescent="0.2">
      <c r="A930" s="202">
        <v>970</v>
      </c>
      <c r="B930" s="88" t="s">
        <v>279</v>
      </c>
      <c r="C930" s="89">
        <v>970</v>
      </c>
      <c r="D930" s="88" t="str">
        <f t="shared" si="32"/>
        <v>SUPERMIX970</v>
      </c>
      <c r="E930" s="58" t="s">
        <v>3147</v>
      </c>
      <c r="F930" s="58" t="s">
        <v>1491</v>
      </c>
      <c r="G930" s="88" t="s">
        <v>2825</v>
      </c>
      <c r="H930" s="90">
        <v>43877504</v>
      </c>
      <c r="I930" s="90" t="s">
        <v>3787</v>
      </c>
      <c r="J930" s="88" t="s">
        <v>3148</v>
      </c>
      <c r="K930" s="88" t="s">
        <v>3443</v>
      </c>
      <c r="L930" s="91">
        <v>43181</v>
      </c>
      <c r="M930" s="91">
        <v>46644</v>
      </c>
      <c r="N930" s="88">
        <f t="shared" ca="1" si="31"/>
        <v>-457</v>
      </c>
      <c r="O930" s="84" t="str">
        <f ca="1">IF(Tabla1[[#This Row],[|]]&gt;=0,"VENCIDA",IF(Tabla1[[#This Row],[|]]&gt;=-14,"POR VENCER","OK"))</f>
        <v>OK</v>
      </c>
      <c r="P930" s="90" t="s">
        <v>2790</v>
      </c>
      <c r="Q930" s="88" t="s">
        <v>312</v>
      </c>
      <c r="R930" s="88" t="s">
        <v>17</v>
      </c>
      <c r="S930" s="88"/>
      <c r="T930" s="88"/>
      <c r="U930" s="88"/>
      <c r="V930" s="88" t="s">
        <v>1939</v>
      </c>
      <c r="W930" s="92" t="s">
        <v>2772</v>
      </c>
      <c r="X930" s="88" t="s">
        <v>624</v>
      </c>
    </row>
    <row r="931" spans="1:24" s="45" customFormat="1" ht="32.25" customHeight="1" x14ac:dyDescent="0.2">
      <c r="A931" s="212">
        <v>971</v>
      </c>
      <c r="B931" s="121" t="s">
        <v>279</v>
      </c>
      <c r="C931" s="139">
        <v>971</v>
      </c>
      <c r="D931" s="121" t="str">
        <f t="shared" si="32"/>
        <v>SUPERMIX971</v>
      </c>
      <c r="E931" s="140" t="s">
        <v>3149</v>
      </c>
      <c r="F931" s="140" t="s">
        <v>3150</v>
      </c>
      <c r="G931" s="121" t="s">
        <v>2825</v>
      </c>
      <c r="H931" s="120">
        <v>29647120</v>
      </c>
      <c r="I931" s="120" t="s">
        <v>3787</v>
      </c>
      <c r="J931" s="121" t="s">
        <v>3151</v>
      </c>
      <c r="K931" s="121" t="s">
        <v>1954</v>
      </c>
      <c r="L931" s="141">
        <v>42524</v>
      </c>
      <c r="M931" s="141">
        <v>46488</v>
      </c>
      <c r="N931" s="121">
        <f t="shared" ca="1" si="31"/>
        <v>-301</v>
      </c>
      <c r="O931" s="142" t="str">
        <f ca="1">IF(Tabla1[[#This Row],[|]]&gt;=0,"VENCIDA",IF(Tabla1[[#This Row],[|]]&gt;=-14,"POR VENCER","OK"))</f>
        <v>OK</v>
      </c>
      <c r="P931" s="120" t="s">
        <v>3009</v>
      </c>
      <c r="Q931" s="121" t="s">
        <v>312</v>
      </c>
      <c r="R931" s="121" t="s">
        <v>317</v>
      </c>
      <c r="S931" s="88"/>
      <c r="T931" s="88"/>
      <c r="U931" s="88"/>
      <c r="V931" s="121" t="s">
        <v>282</v>
      </c>
      <c r="W931" s="122" t="s">
        <v>2776</v>
      </c>
      <c r="X931" s="121" t="s">
        <v>3152</v>
      </c>
    </row>
    <row r="932" spans="1:24" s="63" customFormat="1" ht="32.25" customHeight="1" x14ac:dyDescent="0.2">
      <c r="A932" s="202">
        <v>972</v>
      </c>
      <c r="B932" s="88" t="s">
        <v>279</v>
      </c>
      <c r="C932" s="89">
        <v>972</v>
      </c>
      <c r="D932" s="88" t="str">
        <f t="shared" si="32"/>
        <v>SUPERMIX972</v>
      </c>
      <c r="E932" s="58" t="s">
        <v>3153</v>
      </c>
      <c r="F932" s="58" t="s">
        <v>3154</v>
      </c>
      <c r="G932" s="88" t="s">
        <v>2825</v>
      </c>
      <c r="H932" s="90">
        <v>43094642</v>
      </c>
      <c r="I932" s="90" t="s">
        <v>3787</v>
      </c>
      <c r="J932" s="88" t="s">
        <v>3155</v>
      </c>
      <c r="K932" s="88" t="s">
        <v>1954</v>
      </c>
      <c r="L932" s="91">
        <v>43756</v>
      </c>
      <c r="M932" s="91">
        <v>44852</v>
      </c>
      <c r="N932" s="88">
        <f t="shared" ca="1" si="31"/>
        <v>1335</v>
      </c>
      <c r="O932" s="84" t="str">
        <f ca="1">IF(Tabla1[[#This Row],[|]]&gt;=0,"VENCIDA",IF(Tabla1[[#This Row],[|]]&gt;=-14,"POR VENCER","OK"))</f>
        <v>VENCIDA</v>
      </c>
      <c r="P932" s="90" t="s">
        <v>3156</v>
      </c>
      <c r="Q932" s="88" t="s">
        <v>312</v>
      </c>
      <c r="R932" s="88" t="s">
        <v>17</v>
      </c>
      <c r="S932" s="88"/>
      <c r="T932" s="88"/>
      <c r="U932" s="88"/>
      <c r="V932" s="88" t="s">
        <v>282</v>
      </c>
      <c r="W932" s="92" t="s">
        <v>2776</v>
      </c>
      <c r="X932" s="88" t="s">
        <v>3157</v>
      </c>
    </row>
    <row r="933" spans="1:24" s="63" customFormat="1" ht="32.25" customHeight="1" x14ac:dyDescent="0.2">
      <c r="A933" s="202">
        <v>973</v>
      </c>
      <c r="B933" s="88" t="s">
        <v>279</v>
      </c>
      <c r="C933" s="89">
        <v>973</v>
      </c>
      <c r="D933" s="88" t="str">
        <f t="shared" si="32"/>
        <v>SUPERMIX973</v>
      </c>
      <c r="E933" s="58" t="s">
        <v>3160</v>
      </c>
      <c r="F933" s="58" t="s">
        <v>734</v>
      </c>
      <c r="G933" s="88" t="s">
        <v>2825</v>
      </c>
      <c r="H933" s="90">
        <v>40635426</v>
      </c>
      <c r="I933" s="90" t="s">
        <v>3787</v>
      </c>
      <c r="J933" s="88" t="s">
        <v>3161</v>
      </c>
      <c r="K933" s="88" t="s">
        <v>1954</v>
      </c>
      <c r="L933" s="91">
        <v>40207</v>
      </c>
      <c r="M933" s="91">
        <v>44612</v>
      </c>
      <c r="N933" s="88">
        <f t="shared" ca="1" si="31"/>
        <v>1575</v>
      </c>
      <c r="O933" s="84" t="str">
        <f ca="1">IF(Tabla1[[#This Row],[|]]&gt;=0,"VENCIDA",IF(Tabla1[[#This Row],[|]]&gt;=-14,"POR VENCER","OK"))</f>
        <v>VENCIDA</v>
      </c>
      <c r="P933" s="90" t="s">
        <v>3303</v>
      </c>
      <c r="Q933" s="88" t="s">
        <v>312</v>
      </c>
      <c r="R933" s="88" t="s">
        <v>317</v>
      </c>
      <c r="S933" s="88"/>
      <c r="T933" s="88"/>
      <c r="U933" s="88"/>
      <c r="V933" s="88" t="s">
        <v>282</v>
      </c>
      <c r="W933" s="92" t="s">
        <v>2776</v>
      </c>
      <c r="X933" s="88" t="s">
        <v>597</v>
      </c>
    </row>
    <row r="934" spans="1:24" s="63" customFormat="1" ht="32.25" customHeight="1" x14ac:dyDescent="0.2">
      <c r="A934" s="202">
        <v>974</v>
      </c>
      <c r="B934" s="88" t="s">
        <v>279</v>
      </c>
      <c r="C934" s="89">
        <v>974</v>
      </c>
      <c r="D934" s="88" t="str">
        <f t="shared" si="32"/>
        <v>SUPERMIX974</v>
      </c>
      <c r="E934" s="58" t="s">
        <v>3162</v>
      </c>
      <c r="F934" s="58" t="s">
        <v>3163</v>
      </c>
      <c r="G934" s="88" t="s">
        <v>2825</v>
      </c>
      <c r="H934" s="88">
        <v>43380836</v>
      </c>
      <c r="I934" s="88" t="s">
        <v>3787</v>
      </c>
      <c r="J934" s="88" t="s">
        <v>3164</v>
      </c>
      <c r="K934" s="88" t="s">
        <v>1954</v>
      </c>
      <c r="L934" s="91">
        <v>41744</v>
      </c>
      <c r="M934" s="91">
        <v>43924</v>
      </c>
      <c r="N934" s="88">
        <f t="shared" ca="1" si="31"/>
        <v>2263</v>
      </c>
      <c r="O934" s="84" t="str">
        <f ca="1">IF(Tabla1[[#This Row],[|]]&gt;=0,"VENCIDA",IF(Tabla1[[#This Row],[|]]&gt;=-14,"POR VENCER","OK"))</f>
        <v>VENCIDA</v>
      </c>
      <c r="P934" s="88" t="s">
        <v>3077</v>
      </c>
      <c r="Q934" s="88" t="s">
        <v>312</v>
      </c>
      <c r="R934" s="88" t="s">
        <v>17</v>
      </c>
      <c r="S934" s="88"/>
      <c r="T934" s="88"/>
      <c r="U934" s="88"/>
      <c r="V934" s="88" t="s">
        <v>282</v>
      </c>
      <c r="W934" s="88" t="s">
        <v>2776</v>
      </c>
      <c r="X934" s="88" t="s">
        <v>597</v>
      </c>
    </row>
    <row r="935" spans="1:24" s="63" customFormat="1" ht="32.25" customHeight="1" x14ac:dyDescent="0.2">
      <c r="A935" s="202">
        <v>975</v>
      </c>
      <c r="B935" s="88" t="s">
        <v>279</v>
      </c>
      <c r="C935" s="89">
        <v>975</v>
      </c>
      <c r="D935" s="88" t="str">
        <f t="shared" si="32"/>
        <v>SUPERMIX975</v>
      </c>
      <c r="E935" s="58" t="s">
        <v>3165</v>
      </c>
      <c r="F935" s="58" t="s">
        <v>3166</v>
      </c>
      <c r="G935" s="88" t="s">
        <v>2825</v>
      </c>
      <c r="H935" s="90">
        <v>10763590</v>
      </c>
      <c r="I935" s="90" t="s">
        <v>3787</v>
      </c>
      <c r="J935" s="88" t="s">
        <v>3167</v>
      </c>
      <c r="K935" s="88" t="s">
        <v>1961</v>
      </c>
      <c r="L935" s="91">
        <v>42110</v>
      </c>
      <c r="M935" s="91">
        <v>44382</v>
      </c>
      <c r="N935" s="88">
        <f t="shared" ca="1" si="31"/>
        <v>1805</v>
      </c>
      <c r="O935" s="84" t="str">
        <f ca="1">IF(Tabla1[[#This Row],[|]]&gt;=0,"VENCIDA",IF(Tabla1[[#This Row],[|]]&gt;=-14,"POR VENCER","OK"))</f>
        <v>VENCIDA</v>
      </c>
      <c r="P935" s="90" t="s">
        <v>2827</v>
      </c>
      <c r="Q935" s="88" t="s">
        <v>312</v>
      </c>
      <c r="R935" s="88" t="s">
        <v>17</v>
      </c>
      <c r="S935" s="88"/>
      <c r="T935" s="88"/>
      <c r="U935" s="88"/>
      <c r="V935" s="88" t="s">
        <v>3185</v>
      </c>
      <c r="W935" s="92" t="s">
        <v>1943</v>
      </c>
      <c r="X935" s="88" t="s">
        <v>3168</v>
      </c>
    </row>
    <row r="936" spans="1:24" s="43" customFormat="1" ht="32.25" customHeight="1" x14ac:dyDescent="0.2">
      <c r="A936" s="42">
        <v>976</v>
      </c>
      <c r="B936" s="93" t="s">
        <v>279</v>
      </c>
      <c r="C936" s="94">
        <v>976</v>
      </c>
      <c r="D936" s="93" t="str">
        <f t="shared" si="32"/>
        <v>SUPERMIX976</v>
      </c>
      <c r="E936" s="115" t="s">
        <v>3170</v>
      </c>
      <c r="F936" s="115" t="s">
        <v>3171</v>
      </c>
      <c r="G936" s="93" t="s">
        <v>2825</v>
      </c>
      <c r="H936" s="95">
        <v>42211191</v>
      </c>
      <c r="I936" s="95" t="s">
        <v>3788</v>
      </c>
      <c r="J936" s="93" t="s">
        <v>3172</v>
      </c>
      <c r="K936" s="93" t="s">
        <v>3443</v>
      </c>
      <c r="L936" s="96">
        <v>41467</v>
      </c>
      <c r="M936" s="96">
        <v>45842</v>
      </c>
      <c r="N936" s="93">
        <f t="shared" ca="1" si="31"/>
        <v>345</v>
      </c>
      <c r="O936" s="84" t="str">
        <f ca="1">IF(Tabla1[[#This Row],[|]]&gt;=0,"VENCIDA",IF(Tabla1[[#This Row],[|]]&gt;=-14,"POR VENCER","OK"))</f>
        <v>VENCIDA</v>
      </c>
      <c r="P936" s="95" t="s">
        <v>3173</v>
      </c>
      <c r="Q936" s="93" t="s">
        <v>312</v>
      </c>
      <c r="R936" s="93" t="s">
        <v>17</v>
      </c>
      <c r="S936" s="93"/>
      <c r="T936" s="93"/>
      <c r="U936" s="93"/>
      <c r="V936" s="93" t="s">
        <v>2480</v>
      </c>
      <c r="W936" s="97" t="s">
        <v>2776</v>
      </c>
      <c r="X936" s="204" t="s">
        <v>597</v>
      </c>
    </row>
    <row r="937" spans="1:24" s="43" customFormat="1" ht="32.25" customHeight="1" x14ac:dyDescent="0.2">
      <c r="A937" s="42">
        <v>977</v>
      </c>
      <c r="B937" s="93" t="s">
        <v>279</v>
      </c>
      <c r="C937" s="94">
        <v>977</v>
      </c>
      <c r="D937" s="93" t="str">
        <f t="shared" si="32"/>
        <v>SUPERMIX977</v>
      </c>
      <c r="E937" s="115" t="s">
        <v>3177</v>
      </c>
      <c r="F937" s="115" t="s">
        <v>3178</v>
      </c>
      <c r="G937" s="93" t="s">
        <v>2825</v>
      </c>
      <c r="H937" s="95">
        <v>25221427</v>
      </c>
      <c r="I937" s="95" t="s">
        <v>3788</v>
      </c>
      <c r="J937" s="93" t="s">
        <v>3179</v>
      </c>
      <c r="K937" s="93" t="s">
        <v>1954</v>
      </c>
      <c r="L937" s="96">
        <v>39134</v>
      </c>
      <c r="M937" s="96">
        <v>45635</v>
      </c>
      <c r="N937" s="93">
        <f t="shared" ref="N937:N1000" ca="1" si="33">TODAY()-M937</f>
        <v>552</v>
      </c>
      <c r="O937" s="84" t="str">
        <f ca="1">IF(Tabla1[[#This Row],[|]]&gt;=0,"VENCIDA",IF(Tabla1[[#This Row],[|]]&gt;=-14,"POR VENCER","OK"))</f>
        <v>VENCIDA</v>
      </c>
      <c r="P937" s="95" t="s">
        <v>2914</v>
      </c>
      <c r="Q937" s="93" t="s">
        <v>312</v>
      </c>
      <c r="R937" s="93" t="s">
        <v>317</v>
      </c>
      <c r="S937" s="93"/>
      <c r="T937" s="93"/>
      <c r="U937" s="93"/>
      <c r="V937" s="93" t="s">
        <v>2480</v>
      </c>
      <c r="W937" s="97" t="s">
        <v>2776</v>
      </c>
      <c r="X937" s="204" t="s">
        <v>597</v>
      </c>
    </row>
    <row r="938" spans="1:24" s="43" customFormat="1" ht="32.25" customHeight="1" x14ac:dyDescent="0.2">
      <c r="A938" s="202">
        <v>978</v>
      </c>
      <c r="B938" s="88" t="s">
        <v>279</v>
      </c>
      <c r="C938" s="89">
        <v>978</v>
      </c>
      <c r="D938" s="88" t="str">
        <f t="shared" si="32"/>
        <v>SUPERMIX978</v>
      </c>
      <c r="E938" s="58" t="s">
        <v>3182</v>
      </c>
      <c r="F938" s="58" t="s">
        <v>3183</v>
      </c>
      <c r="G938" s="88" t="s">
        <v>2825</v>
      </c>
      <c r="H938" s="90">
        <v>43384111</v>
      </c>
      <c r="I938" s="90" t="s">
        <v>3788</v>
      </c>
      <c r="J938" s="88" t="s">
        <v>3184</v>
      </c>
      <c r="K938" s="88" t="s">
        <v>1954</v>
      </c>
      <c r="L938" s="91">
        <v>41620</v>
      </c>
      <c r="M938" s="91">
        <v>45650</v>
      </c>
      <c r="N938" s="88">
        <f t="shared" ca="1" si="33"/>
        <v>537</v>
      </c>
      <c r="O938" s="84" t="str">
        <f ca="1">IF(Tabla1[[#This Row],[|]]&gt;=0,"VENCIDA",IF(Tabla1[[#This Row],[|]]&gt;=-14,"POR VENCER","OK"))</f>
        <v>VENCIDA</v>
      </c>
      <c r="P938" s="90" t="s">
        <v>2827</v>
      </c>
      <c r="Q938" s="88" t="s">
        <v>312</v>
      </c>
      <c r="R938" s="88" t="s">
        <v>17</v>
      </c>
      <c r="S938" s="93"/>
      <c r="T938" s="93"/>
      <c r="U938" s="93"/>
      <c r="V938" s="88" t="s">
        <v>3185</v>
      </c>
      <c r="W938" s="92" t="s">
        <v>1943</v>
      </c>
      <c r="X938" s="88" t="s">
        <v>3168</v>
      </c>
    </row>
    <row r="939" spans="1:24" s="43" customFormat="1" ht="32.25" customHeight="1" x14ac:dyDescent="0.2">
      <c r="A939" s="42">
        <v>979</v>
      </c>
      <c r="B939" s="93" t="s">
        <v>279</v>
      </c>
      <c r="C939" s="94">
        <v>979</v>
      </c>
      <c r="D939" s="93" t="str">
        <f t="shared" si="32"/>
        <v>SUPERMIX979</v>
      </c>
      <c r="E939" s="115" t="s">
        <v>3188</v>
      </c>
      <c r="F939" s="115" t="s">
        <v>3189</v>
      </c>
      <c r="G939" s="93" t="s">
        <v>2825</v>
      </c>
      <c r="H939" s="95">
        <v>40120610</v>
      </c>
      <c r="I939" s="95" t="s">
        <v>3788</v>
      </c>
      <c r="J939" s="93" t="s">
        <v>3190</v>
      </c>
      <c r="K939" s="93" t="s">
        <v>3142</v>
      </c>
      <c r="L939" s="96">
        <v>41159</v>
      </c>
      <c r="M939" s="96">
        <v>47996</v>
      </c>
      <c r="N939" s="93">
        <f t="shared" ca="1" si="33"/>
        <v>-1809</v>
      </c>
      <c r="O939" s="84" t="str">
        <f ca="1">IF(Tabla1[[#This Row],[|]]&gt;=0,"VENCIDA",IF(Tabla1[[#This Row],[|]]&gt;=-14,"POR VENCER","OK"))</f>
        <v>OK</v>
      </c>
      <c r="P939" s="95" t="s">
        <v>3193</v>
      </c>
      <c r="Q939" s="93" t="s">
        <v>312</v>
      </c>
      <c r="R939" s="93" t="s">
        <v>317</v>
      </c>
      <c r="S939" s="93"/>
      <c r="T939" s="93"/>
      <c r="U939" s="93"/>
      <c r="V939" s="93" t="s">
        <v>334</v>
      </c>
      <c r="W939" s="97" t="s">
        <v>2947</v>
      </c>
      <c r="X939" s="93" t="s">
        <v>3191</v>
      </c>
    </row>
    <row r="940" spans="1:24" s="63" customFormat="1" ht="32.25" customHeight="1" x14ac:dyDescent="0.2">
      <c r="A940" s="202">
        <v>980</v>
      </c>
      <c r="B940" s="88" t="s">
        <v>279</v>
      </c>
      <c r="C940" s="89">
        <v>980</v>
      </c>
      <c r="D940" s="88" t="str">
        <f t="shared" si="32"/>
        <v>SUPERMIX980</v>
      </c>
      <c r="E940" s="58" t="s">
        <v>3194</v>
      </c>
      <c r="F940" s="58" t="s">
        <v>3195</v>
      </c>
      <c r="G940" s="88" t="s">
        <v>2825</v>
      </c>
      <c r="H940" s="90">
        <v>41972024</v>
      </c>
      <c r="I940" s="90" t="s">
        <v>3787</v>
      </c>
      <c r="J940" s="88" t="s">
        <v>3196</v>
      </c>
      <c r="K940" s="88" t="s">
        <v>1961</v>
      </c>
      <c r="L940" s="91">
        <v>39199</v>
      </c>
      <c r="M940" s="91">
        <v>45963</v>
      </c>
      <c r="N940" s="88">
        <f t="shared" ca="1" si="33"/>
        <v>224</v>
      </c>
      <c r="O940" s="84" t="str">
        <f ca="1">IF(Tabla1[[#This Row],[|]]&gt;=0,"VENCIDA",IF(Tabla1[[#This Row],[|]]&gt;=-14,"POR VENCER","OK"))</f>
        <v>VENCIDA</v>
      </c>
      <c r="P940" s="90" t="s">
        <v>3193</v>
      </c>
      <c r="Q940" s="88" t="s">
        <v>312</v>
      </c>
      <c r="R940" s="88" t="s">
        <v>17</v>
      </c>
      <c r="S940" s="88"/>
      <c r="T940" s="88"/>
      <c r="U940" s="88"/>
      <c r="V940" s="88" t="s">
        <v>334</v>
      </c>
      <c r="W940" s="92" t="s">
        <v>2997</v>
      </c>
      <c r="X940" s="88" t="s">
        <v>2952</v>
      </c>
    </row>
    <row r="941" spans="1:24" s="63" customFormat="1" ht="32.25" customHeight="1" x14ac:dyDescent="0.2">
      <c r="A941" s="202">
        <v>981</v>
      </c>
      <c r="B941" s="88" t="s">
        <v>279</v>
      </c>
      <c r="C941" s="89">
        <v>981</v>
      </c>
      <c r="D941" s="88" t="str">
        <f t="shared" si="32"/>
        <v>SUPERMIX981</v>
      </c>
      <c r="E941" s="58" t="s">
        <v>3197</v>
      </c>
      <c r="F941" s="58" t="s">
        <v>3198</v>
      </c>
      <c r="G941" s="88" t="s">
        <v>2825</v>
      </c>
      <c r="H941" s="90">
        <v>47089311</v>
      </c>
      <c r="I941" s="90" t="s">
        <v>3787</v>
      </c>
      <c r="J941" s="88" t="s">
        <v>3199</v>
      </c>
      <c r="K941" s="88" t="s">
        <v>1954</v>
      </c>
      <c r="L941" s="91">
        <v>43756</v>
      </c>
      <c r="M941" s="91">
        <v>44852</v>
      </c>
      <c r="N941" s="88">
        <f t="shared" ca="1" si="33"/>
        <v>1335</v>
      </c>
      <c r="O941" s="84" t="str">
        <f ca="1">IF(Tabla1[[#This Row],[|]]&gt;=0,"VENCIDA",IF(Tabla1[[#This Row],[|]]&gt;=-14,"POR VENCER","OK"))</f>
        <v>VENCIDA</v>
      </c>
      <c r="P941" s="90" t="s">
        <v>2827</v>
      </c>
      <c r="Q941" s="88" t="s">
        <v>312</v>
      </c>
      <c r="R941" s="88" t="s">
        <v>317</v>
      </c>
      <c r="S941" s="88"/>
      <c r="T941" s="88"/>
      <c r="U941" s="88"/>
      <c r="V941" s="88" t="s">
        <v>3200</v>
      </c>
      <c r="W941" s="92" t="s">
        <v>3201</v>
      </c>
      <c r="X941" s="88" t="s">
        <v>3202</v>
      </c>
    </row>
    <row r="942" spans="1:24" s="45" customFormat="1" ht="32.25" customHeight="1" x14ac:dyDescent="0.2">
      <c r="A942" s="212">
        <v>982</v>
      </c>
      <c r="B942" s="121" t="s">
        <v>279</v>
      </c>
      <c r="C942" s="139">
        <v>982</v>
      </c>
      <c r="D942" s="121" t="str">
        <f t="shared" si="32"/>
        <v>SUPERMIX982</v>
      </c>
      <c r="E942" s="140" t="s">
        <v>3203</v>
      </c>
      <c r="F942" s="140" t="s">
        <v>3204</v>
      </c>
      <c r="G942" s="121" t="s">
        <v>2825</v>
      </c>
      <c r="H942" s="120">
        <v>42920588</v>
      </c>
      <c r="I942" s="120" t="s">
        <v>3787</v>
      </c>
      <c r="J942" s="121" t="s">
        <v>3205</v>
      </c>
      <c r="K942" s="121" t="s">
        <v>281</v>
      </c>
      <c r="L942" s="141">
        <v>41769</v>
      </c>
      <c r="M942" s="141">
        <v>45960</v>
      </c>
      <c r="N942" s="121">
        <f t="shared" ca="1" si="33"/>
        <v>227</v>
      </c>
      <c r="O942" s="142" t="str">
        <f ca="1">IF(Tabla1[[#This Row],[|]]&gt;=0,"VENCIDA",IF(Tabla1[[#This Row],[|]]&gt;=-14,"POR VENCER","OK"))</f>
        <v>VENCIDA</v>
      </c>
      <c r="P942" s="120" t="s">
        <v>2847</v>
      </c>
      <c r="Q942" s="121" t="s">
        <v>312</v>
      </c>
      <c r="R942" s="121" t="s">
        <v>317</v>
      </c>
      <c r="S942" s="88"/>
      <c r="T942" s="88"/>
      <c r="U942" s="88"/>
      <c r="V942" s="121" t="s">
        <v>352</v>
      </c>
      <c r="W942" s="122" t="s">
        <v>2776</v>
      </c>
      <c r="X942" s="121" t="s">
        <v>597</v>
      </c>
    </row>
    <row r="943" spans="1:24" s="63" customFormat="1" ht="32.25" customHeight="1" x14ac:dyDescent="0.2">
      <c r="A943" s="202">
        <v>983</v>
      </c>
      <c r="B943" s="88" t="s">
        <v>279</v>
      </c>
      <c r="C943" s="89">
        <v>983</v>
      </c>
      <c r="D943" s="88" t="str">
        <f t="shared" si="32"/>
        <v>SUPERMIX983</v>
      </c>
      <c r="E943" s="58" t="s">
        <v>3213</v>
      </c>
      <c r="F943" s="58" t="s">
        <v>386</v>
      </c>
      <c r="G943" s="88" t="s">
        <v>2825</v>
      </c>
      <c r="H943" s="90">
        <v>47359172</v>
      </c>
      <c r="I943" s="90" t="s">
        <v>3787</v>
      </c>
      <c r="J943" s="88" t="s">
        <v>3214</v>
      </c>
      <c r="K943" s="88" t="s">
        <v>1961</v>
      </c>
      <c r="L943" s="91">
        <v>42438</v>
      </c>
      <c r="M943" s="91">
        <v>44702</v>
      </c>
      <c r="N943" s="88">
        <f t="shared" ca="1" si="33"/>
        <v>1485</v>
      </c>
      <c r="O943" s="84" t="str">
        <f ca="1">IF(Tabla1[[#This Row],[|]]&gt;=0,"VENCIDA",IF(Tabla1[[#This Row],[|]]&gt;=-14,"POR VENCER","OK"))</f>
        <v>VENCIDA</v>
      </c>
      <c r="P943" s="90" t="s">
        <v>3215</v>
      </c>
      <c r="Q943" s="88" t="s">
        <v>312</v>
      </c>
      <c r="R943" s="88" t="s">
        <v>317</v>
      </c>
      <c r="S943" s="88"/>
      <c r="T943" s="88"/>
      <c r="U943" s="88"/>
      <c r="V943" s="88" t="s">
        <v>334</v>
      </c>
      <c r="W943" s="92" t="s">
        <v>2997</v>
      </c>
      <c r="X943" s="88" t="s">
        <v>3216</v>
      </c>
    </row>
    <row r="944" spans="1:24" s="63" customFormat="1" ht="32.25" customHeight="1" x14ac:dyDescent="0.2">
      <c r="A944" s="202">
        <v>984</v>
      </c>
      <c r="B944" s="88" t="s">
        <v>279</v>
      </c>
      <c r="C944" s="89">
        <v>984</v>
      </c>
      <c r="D944" s="88" t="str">
        <f t="shared" si="32"/>
        <v>SUPERMIX984</v>
      </c>
      <c r="E944" s="58" t="s">
        <v>3217</v>
      </c>
      <c r="F944" s="58" t="s">
        <v>609</v>
      </c>
      <c r="G944" s="88" t="s">
        <v>2825</v>
      </c>
      <c r="H944" s="90">
        <v>42866389</v>
      </c>
      <c r="I944" s="90" t="s">
        <v>3787</v>
      </c>
      <c r="J944" s="88" t="s">
        <v>3218</v>
      </c>
      <c r="K944" s="88" t="s">
        <v>1954</v>
      </c>
      <c r="L944" s="91">
        <v>41436</v>
      </c>
      <c r="M944" s="91">
        <v>44737</v>
      </c>
      <c r="N944" s="88">
        <f t="shared" ca="1" si="33"/>
        <v>1450</v>
      </c>
      <c r="O944" s="84" t="str">
        <f ca="1">IF(Tabla1[[#This Row],[|]]&gt;=0,"VENCIDA",IF(Tabla1[[#This Row],[|]]&gt;=-14,"POR VENCER","OK"))</f>
        <v>VENCIDA</v>
      </c>
      <c r="P944" s="90" t="s">
        <v>2827</v>
      </c>
      <c r="Q944" s="88" t="s">
        <v>312</v>
      </c>
      <c r="R944" s="88" t="s">
        <v>317</v>
      </c>
      <c r="S944" s="88"/>
      <c r="T944" s="88"/>
      <c r="U944" s="88"/>
      <c r="V944" s="88" t="s">
        <v>352</v>
      </c>
      <c r="W944" s="92" t="s">
        <v>2776</v>
      </c>
      <c r="X944" s="88" t="s">
        <v>824</v>
      </c>
    </row>
    <row r="945" spans="1:24" s="43" customFormat="1" ht="32.25" customHeight="1" x14ac:dyDescent="0.2">
      <c r="A945" s="42">
        <v>985</v>
      </c>
      <c r="B945" s="93" t="s">
        <v>279</v>
      </c>
      <c r="C945" s="94">
        <v>985</v>
      </c>
      <c r="D945" s="93" t="str">
        <f t="shared" si="32"/>
        <v>SUPERMIX985</v>
      </c>
      <c r="E945" s="115" t="s">
        <v>3219</v>
      </c>
      <c r="F945" s="115" t="s">
        <v>3220</v>
      </c>
      <c r="G945" s="93" t="s">
        <v>2825</v>
      </c>
      <c r="H945" s="95">
        <v>29661601</v>
      </c>
      <c r="I945" s="95" t="s">
        <v>3788</v>
      </c>
      <c r="J945" s="93" t="s">
        <v>3221</v>
      </c>
      <c r="K945" s="93" t="s">
        <v>2250</v>
      </c>
      <c r="L945" s="96">
        <v>41264</v>
      </c>
      <c r="M945" s="117">
        <v>44599</v>
      </c>
      <c r="N945" s="93">
        <f t="shared" ca="1" si="33"/>
        <v>1588</v>
      </c>
      <c r="O945" s="84" t="str">
        <f ca="1">IF(Tabla1[[#This Row],[|]]&gt;=0,"VENCIDA",IF(Tabla1[[#This Row],[|]]&gt;=-14,"POR VENCER","OK"))</f>
        <v>VENCIDA</v>
      </c>
      <c r="P945" s="95" t="s">
        <v>3193</v>
      </c>
      <c r="Q945" s="93" t="s">
        <v>312</v>
      </c>
      <c r="R945" s="93" t="s">
        <v>17</v>
      </c>
      <c r="S945" s="93"/>
      <c r="T945" s="93"/>
      <c r="U945" s="93"/>
      <c r="V945" s="93" t="s">
        <v>334</v>
      </c>
      <c r="W945" s="97" t="s">
        <v>2997</v>
      </c>
      <c r="X945" s="93" t="s">
        <v>2952</v>
      </c>
    </row>
    <row r="946" spans="1:24" s="63" customFormat="1" ht="32.25" customHeight="1" x14ac:dyDescent="0.2">
      <c r="A946" s="202">
        <v>986</v>
      </c>
      <c r="B946" s="88" t="s">
        <v>279</v>
      </c>
      <c r="C946" s="89">
        <v>986</v>
      </c>
      <c r="D946" s="88" t="str">
        <f t="shared" si="32"/>
        <v>SUPERMIX986</v>
      </c>
      <c r="E946" s="58" t="s">
        <v>3222</v>
      </c>
      <c r="F946" s="58" t="s">
        <v>3223</v>
      </c>
      <c r="G946" s="88" t="s">
        <v>2825</v>
      </c>
      <c r="H946" s="90">
        <v>70668538</v>
      </c>
      <c r="I946" s="90" t="s">
        <v>3787</v>
      </c>
      <c r="J946" s="88" t="s">
        <v>3224</v>
      </c>
      <c r="K946" s="88" t="s">
        <v>1961</v>
      </c>
      <c r="L946" s="91">
        <v>42508</v>
      </c>
      <c r="M946" s="91">
        <v>44808</v>
      </c>
      <c r="N946" s="88">
        <f t="shared" ca="1" si="33"/>
        <v>1379</v>
      </c>
      <c r="O946" s="84" t="str">
        <f ca="1">IF(Tabla1[[#This Row],[|]]&gt;=0,"VENCIDA",IF(Tabla1[[#This Row],[|]]&gt;=-14,"POR VENCER","OK"))</f>
        <v>VENCIDA</v>
      </c>
      <c r="P946" s="90" t="s">
        <v>3226</v>
      </c>
      <c r="Q946" s="88" t="s">
        <v>312</v>
      </c>
      <c r="R946" s="88" t="s">
        <v>317</v>
      </c>
      <c r="S946" s="88"/>
      <c r="T946" s="88"/>
      <c r="U946" s="88"/>
      <c r="V946" s="88" t="s">
        <v>334</v>
      </c>
      <c r="W946" s="92" t="s">
        <v>2997</v>
      </c>
      <c r="X946" s="88" t="s">
        <v>3225</v>
      </c>
    </row>
    <row r="947" spans="1:24" s="43" customFormat="1" ht="32.25" customHeight="1" x14ac:dyDescent="0.2">
      <c r="A947" s="42">
        <v>987</v>
      </c>
      <c r="B947" s="93" t="s">
        <v>279</v>
      </c>
      <c r="C947" s="94">
        <v>987</v>
      </c>
      <c r="D947" s="93" t="str">
        <f t="shared" si="32"/>
        <v>SUPERMIX987</v>
      </c>
      <c r="E947" s="115" t="s">
        <v>3227</v>
      </c>
      <c r="F947" s="115" t="s">
        <v>3228</v>
      </c>
      <c r="G947" s="93" t="s">
        <v>2825</v>
      </c>
      <c r="H947" s="95">
        <v>42172539</v>
      </c>
      <c r="I947" s="95" t="s">
        <v>3788</v>
      </c>
      <c r="J947" s="93" t="s">
        <v>3229</v>
      </c>
      <c r="K947" s="93" t="s">
        <v>3443</v>
      </c>
      <c r="L947" s="96">
        <v>41535</v>
      </c>
      <c r="M947" s="96">
        <v>46621</v>
      </c>
      <c r="N947" s="93">
        <f t="shared" ca="1" si="33"/>
        <v>-434</v>
      </c>
      <c r="O947" s="84" t="str">
        <f ca="1">IF(Tabla1[[#This Row],[|]]&gt;=0,"VENCIDA",IF(Tabla1[[#This Row],[|]]&gt;=-14,"POR VENCER","OK"))</f>
        <v>OK</v>
      </c>
      <c r="P947" s="95" t="s">
        <v>3674</v>
      </c>
      <c r="Q947" s="93" t="s">
        <v>312</v>
      </c>
      <c r="R947" s="93" t="s">
        <v>317</v>
      </c>
      <c r="S947" s="93"/>
      <c r="T947" s="93"/>
      <c r="U947" s="93"/>
      <c r="V947" s="93" t="s">
        <v>352</v>
      </c>
      <c r="W947" s="97" t="s">
        <v>2776</v>
      </c>
      <c r="X947" s="204" t="s">
        <v>597</v>
      </c>
    </row>
    <row r="948" spans="1:24" s="63" customFormat="1" ht="32.25" customHeight="1" x14ac:dyDescent="0.2">
      <c r="A948" s="202">
        <v>988</v>
      </c>
      <c r="B948" s="88" t="s">
        <v>279</v>
      </c>
      <c r="C948" s="89">
        <v>988</v>
      </c>
      <c r="D948" s="88" t="str">
        <f t="shared" si="32"/>
        <v>SUPERMIX988</v>
      </c>
      <c r="E948" s="58" t="s">
        <v>3230</v>
      </c>
      <c r="F948" s="58" t="s">
        <v>1841</v>
      </c>
      <c r="G948" s="88" t="s">
        <v>2825</v>
      </c>
      <c r="H948" s="90">
        <v>41972032</v>
      </c>
      <c r="I948" s="90" t="s">
        <v>3787</v>
      </c>
      <c r="J948" s="88" t="s">
        <v>3231</v>
      </c>
      <c r="K948" s="88" t="s">
        <v>1954</v>
      </c>
      <c r="L948" s="91">
        <v>41418</v>
      </c>
      <c r="M948" s="91">
        <v>44639</v>
      </c>
      <c r="N948" s="88">
        <f t="shared" ca="1" si="33"/>
        <v>1548</v>
      </c>
      <c r="O948" s="84" t="str">
        <f ca="1">IF(Tabla1[[#This Row],[|]]&gt;=0,"VENCIDA",IF(Tabla1[[#This Row],[|]]&gt;=-14,"POR VENCER","OK"))</f>
        <v>VENCIDA</v>
      </c>
      <c r="P948" s="90" t="s">
        <v>3233</v>
      </c>
      <c r="Q948" s="88" t="s">
        <v>312</v>
      </c>
      <c r="R948" s="88" t="s">
        <v>317</v>
      </c>
      <c r="S948" s="88"/>
      <c r="T948" s="88"/>
      <c r="U948" s="88"/>
      <c r="V948" s="88" t="s">
        <v>352</v>
      </c>
      <c r="W948" s="92" t="s">
        <v>2776</v>
      </c>
      <c r="X948" s="88" t="s">
        <v>3232</v>
      </c>
    </row>
    <row r="949" spans="1:24" s="63" customFormat="1" ht="32.25" customHeight="1" x14ac:dyDescent="0.2">
      <c r="A949" s="212">
        <v>989</v>
      </c>
      <c r="B949" s="121" t="s">
        <v>279</v>
      </c>
      <c r="C949" s="139">
        <v>989</v>
      </c>
      <c r="D949" s="121" t="str">
        <f t="shared" si="32"/>
        <v>SUPERMIX989</v>
      </c>
      <c r="E949" s="140" t="s">
        <v>3235</v>
      </c>
      <c r="F949" s="140" t="s">
        <v>3236</v>
      </c>
      <c r="G949" s="121" t="s">
        <v>2825</v>
      </c>
      <c r="H949" s="120">
        <v>40189449</v>
      </c>
      <c r="I949" s="120" t="s">
        <v>3787</v>
      </c>
      <c r="J949" s="121" t="s">
        <v>3237</v>
      </c>
      <c r="K949" s="121" t="s">
        <v>343</v>
      </c>
      <c r="L949" s="141">
        <v>45000</v>
      </c>
      <c r="M949" s="141">
        <v>46827</v>
      </c>
      <c r="N949" s="121">
        <f t="shared" ca="1" si="33"/>
        <v>-640</v>
      </c>
      <c r="O949" s="142" t="str">
        <f ca="1">IF(Tabla1[[#This Row],[|]]&gt;=0,"VENCIDA",IF(Tabla1[[#This Row],[|]]&gt;=-14,"POR VENCER","OK"))</f>
        <v>OK</v>
      </c>
      <c r="P949" s="120" t="s">
        <v>2827</v>
      </c>
      <c r="Q949" s="121" t="s">
        <v>312</v>
      </c>
      <c r="R949" s="121" t="s">
        <v>317</v>
      </c>
      <c r="S949" s="88"/>
      <c r="T949" s="88"/>
      <c r="U949" s="88"/>
      <c r="V949" s="121" t="s">
        <v>3185</v>
      </c>
      <c r="W949" s="122" t="s">
        <v>1943</v>
      </c>
      <c r="X949" s="121" t="s">
        <v>3168</v>
      </c>
    </row>
    <row r="950" spans="1:24" s="63" customFormat="1" ht="32.25" customHeight="1" x14ac:dyDescent="0.2">
      <c r="A950" s="202">
        <v>990</v>
      </c>
      <c r="B950" s="88" t="s">
        <v>279</v>
      </c>
      <c r="C950" s="89">
        <v>990</v>
      </c>
      <c r="D950" s="88" t="str">
        <f t="shared" si="32"/>
        <v>SUPERMIX990</v>
      </c>
      <c r="E950" s="58" t="s">
        <v>3238</v>
      </c>
      <c r="F950" s="58" t="s">
        <v>3239</v>
      </c>
      <c r="G950" s="88" t="s">
        <v>2825</v>
      </c>
      <c r="H950" s="90">
        <v>43702751</v>
      </c>
      <c r="I950" s="90" t="s">
        <v>3787</v>
      </c>
      <c r="J950" s="88" t="s">
        <v>3240</v>
      </c>
      <c r="K950" s="88" t="s">
        <v>1961</v>
      </c>
      <c r="L950" s="91">
        <v>42047</v>
      </c>
      <c r="M950" s="91">
        <v>46259</v>
      </c>
      <c r="N950" s="88">
        <f t="shared" ca="1" si="33"/>
        <v>-72</v>
      </c>
      <c r="O950" s="84" t="str">
        <f ca="1">IF(Tabla1[[#This Row],[|]]&gt;=0,"VENCIDA",IF(Tabla1[[#This Row],[|]]&gt;=-14,"POR VENCER","OK"))</f>
        <v>OK</v>
      </c>
      <c r="P950" s="90" t="s">
        <v>2827</v>
      </c>
      <c r="Q950" s="88" t="s">
        <v>3241</v>
      </c>
      <c r="R950" s="88" t="s">
        <v>317</v>
      </c>
      <c r="S950" s="88"/>
      <c r="T950" s="88"/>
      <c r="U950" s="88"/>
      <c r="V950" s="88" t="s">
        <v>3185</v>
      </c>
      <c r="W950" s="88" t="s">
        <v>1943</v>
      </c>
      <c r="X950" s="88" t="s">
        <v>3168</v>
      </c>
    </row>
    <row r="951" spans="1:24" s="43" customFormat="1" ht="32.25" customHeight="1" x14ac:dyDescent="0.2">
      <c r="A951" s="42">
        <v>991</v>
      </c>
      <c r="B951" s="93" t="s">
        <v>279</v>
      </c>
      <c r="C951" s="94">
        <v>991</v>
      </c>
      <c r="D951" s="93" t="str">
        <f t="shared" si="32"/>
        <v>SUPERMIX991</v>
      </c>
      <c r="E951" s="115" t="s">
        <v>3242</v>
      </c>
      <c r="F951" s="115" t="s">
        <v>176</v>
      </c>
      <c r="G951" s="93" t="s">
        <v>2825</v>
      </c>
      <c r="H951" s="95">
        <v>29528841</v>
      </c>
      <c r="I951" s="95" t="s">
        <v>3788</v>
      </c>
      <c r="J951" s="93" t="s">
        <v>3243</v>
      </c>
      <c r="K951" s="93" t="s">
        <v>3625</v>
      </c>
      <c r="L951" s="96">
        <v>42551</v>
      </c>
      <c r="M951" s="96">
        <v>46538</v>
      </c>
      <c r="N951" s="93">
        <f t="shared" ca="1" si="33"/>
        <v>-351</v>
      </c>
      <c r="O951" s="84" t="str">
        <f ca="1">IF(Tabla1[[#This Row],[|]]&gt;=0,"VENCIDA",IF(Tabla1[[#This Row],[|]]&gt;=-14,"POR VENCER","OK"))</f>
        <v>OK</v>
      </c>
      <c r="P951" s="95" t="s">
        <v>2827</v>
      </c>
      <c r="Q951" s="93" t="s">
        <v>3241</v>
      </c>
      <c r="R951" s="93" t="s">
        <v>317</v>
      </c>
      <c r="S951" s="93"/>
      <c r="T951" s="93"/>
      <c r="U951" s="93"/>
      <c r="V951" s="93" t="s">
        <v>3185</v>
      </c>
      <c r="W951" s="93" t="s">
        <v>1943</v>
      </c>
      <c r="X951" s="93" t="s">
        <v>3168</v>
      </c>
    </row>
    <row r="952" spans="1:24" s="63" customFormat="1" ht="32.25" customHeight="1" x14ac:dyDescent="0.2">
      <c r="A952" s="202">
        <v>992</v>
      </c>
      <c r="B952" s="88" t="s">
        <v>279</v>
      </c>
      <c r="C952" s="89">
        <v>992</v>
      </c>
      <c r="D952" s="88" t="str">
        <f t="shared" si="32"/>
        <v>SUPERMIX992</v>
      </c>
      <c r="E952" s="58" t="s">
        <v>3247</v>
      </c>
      <c r="F952" s="58" t="s">
        <v>3248</v>
      </c>
      <c r="G952" s="88" t="s">
        <v>2825</v>
      </c>
      <c r="H952" s="90">
        <v>41206163</v>
      </c>
      <c r="I952" s="90" t="s">
        <v>3787</v>
      </c>
      <c r="J952" s="90" t="s">
        <v>3249</v>
      </c>
      <c r="K952" s="88" t="s">
        <v>1961</v>
      </c>
      <c r="L952" s="91">
        <v>42789</v>
      </c>
      <c r="M952" s="91">
        <v>45692</v>
      </c>
      <c r="N952" s="88">
        <f t="shared" ca="1" si="33"/>
        <v>495</v>
      </c>
      <c r="O952" s="84" t="str">
        <f ca="1">IF(Tabla1[[#This Row],[|]]&gt;=0,"VENCIDA",IF(Tabla1[[#This Row],[|]]&gt;=-14,"POR VENCER","OK"))</f>
        <v>VENCIDA</v>
      </c>
      <c r="P952" s="90" t="s">
        <v>2827</v>
      </c>
      <c r="Q952" s="88" t="s">
        <v>3241</v>
      </c>
      <c r="R952" s="88" t="s">
        <v>317</v>
      </c>
      <c r="S952" s="88"/>
      <c r="T952" s="88"/>
      <c r="U952" s="88"/>
      <c r="V952" s="88" t="s">
        <v>3185</v>
      </c>
      <c r="W952" s="88" t="s">
        <v>2776</v>
      </c>
      <c r="X952" s="88" t="s">
        <v>3250</v>
      </c>
    </row>
    <row r="953" spans="1:24" s="43" customFormat="1" ht="32.25" customHeight="1" x14ac:dyDescent="0.2">
      <c r="A953" s="42">
        <v>993</v>
      </c>
      <c r="B953" s="93" t="s">
        <v>279</v>
      </c>
      <c r="C953" s="94">
        <v>993</v>
      </c>
      <c r="D953" s="93" t="str">
        <f t="shared" si="32"/>
        <v>SUPERMIX993</v>
      </c>
      <c r="E953" s="115" t="s">
        <v>3251</v>
      </c>
      <c r="F953" s="115" t="s">
        <v>3252</v>
      </c>
      <c r="G953" s="93" t="s">
        <v>2825</v>
      </c>
      <c r="H953" s="95">
        <v>71844538</v>
      </c>
      <c r="I953" s="95" t="s">
        <v>3788</v>
      </c>
      <c r="J953" s="93" t="s">
        <v>3253</v>
      </c>
      <c r="K953" s="93" t="s">
        <v>3142</v>
      </c>
      <c r="L953" s="96">
        <v>42613</v>
      </c>
      <c r="M953" s="96">
        <v>47385</v>
      </c>
      <c r="N953" s="93">
        <f t="shared" ca="1" si="33"/>
        <v>-1198</v>
      </c>
      <c r="O953" s="84" t="str">
        <f ca="1">IF(Tabla1[[#This Row],[|]]&gt;=0,"VENCIDA",IF(Tabla1[[#This Row],[|]]&gt;=-14,"POR VENCER","OK"))</f>
        <v>OK</v>
      </c>
      <c r="P953" s="95" t="s">
        <v>2827</v>
      </c>
      <c r="Q953" s="93" t="s">
        <v>3241</v>
      </c>
      <c r="R953" s="93" t="s">
        <v>17</v>
      </c>
      <c r="S953" s="93"/>
      <c r="T953" s="93"/>
      <c r="U953" s="93"/>
      <c r="V953" s="93" t="s">
        <v>1981</v>
      </c>
      <c r="W953" s="93" t="s">
        <v>1943</v>
      </c>
      <c r="X953" s="93" t="s">
        <v>2866</v>
      </c>
    </row>
    <row r="954" spans="1:24" s="63" customFormat="1" ht="32.25" customHeight="1" x14ac:dyDescent="0.2">
      <c r="A954" s="202">
        <v>994</v>
      </c>
      <c r="B954" s="88" t="s">
        <v>279</v>
      </c>
      <c r="C954" s="89">
        <v>994</v>
      </c>
      <c r="D954" s="88" t="str">
        <f t="shared" si="32"/>
        <v>SUPERMIX994</v>
      </c>
      <c r="E954" s="58" t="s">
        <v>3254</v>
      </c>
      <c r="F954" s="58" t="s">
        <v>3255</v>
      </c>
      <c r="G954" s="88" t="s">
        <v>2825</v>
      </c>
      <c r="H954" s="90">
        <v>70023297</v>
      </c>
      <c r="I954" s="90" t="s">
        <v>3787</v>
      </c>
      <c r="J954" s="88" t="s">
        <v>3256</v>
      </c>
      <c r="K954" s="88" t="s">
        <v>3142</v>
      </c>
      <c r="L954" s="91">
        <v>39766</v>
      </c>
      <c r="M954" s="91">
        <v>45435</v>
      </c>
      <c r="N954" s="88">
        <f t="shared" ca="1" si="33"/>
        <v>752</v>
      </c>
      <c r="O954" s="84" t="str">
        <f ca="1">IF(Tabla1[[#This Row],[|]]&gt;=0,"VENCIDA",IF(Tabla1[[#This Row],[|]]&gt;=-14,"POR VENCER","OK"))</f>
        <v>VENCIDA</v>
      </c>
      <c r="P954" s="90" t="s">
        <v>2827</v>
      </c>
      <c r="Q954" s="88" t="s">
        <v>3241</v>
      </c>
      <c r="R954" s="88" t="s">
        <v>317</v>
      </c>
      <c r="S954" s="88"/>
      <c r="T954" s="88"/>
      <c r="U954" s="88"/>
      <c r="V954" s="88" t="s">
        <v>1981</v>
      </c>
      <c r="W954" s="88" t="s">
        <v>1943</v>
      </c>
      <c r="X954" s="88" t="s">
        <v>3257</v>
      </c>
    </row>
    <row r="955" spans="1:24" s="63" customFormat="1" ht="32.25" customHeight="1" x14ac:dyDescent="0.2">
      <c r="A955" s="212">
        <v>995</v>
      </c>
      <c r="B955" s="121" t="s">
        <v>279</v>
      </c>
      <c r="C955" s="139">
        <v>995</v>
      </c>
      <c r="D955" s="121" t="str">
        <f t="shared" si="32"/>
        <v>SUPERMIX995</v>
      </c>
      <c r="E955" s="140" t="s">
        <v>3258</v>
      </c>
      <c r="F955" s="140" t="s">
        <v>3259</v>
      </c>
      <c r="G955" s="121" t="s">
        <v>2825</v>
      </c>
      <c r="H955" s="120">
        <v>29638106</v>
      </c>
      <c r="I955" s="120" t="s">
        <v>3787</v>
      </c>
      <c r="J955" s="121" t="s">
        <v>3260</v>
      </c>
      <c r="K955" s="121" t="s">
        <v>3443</v>
      </c>
      <c r="L955" s="141">
        <v>40493</v>
      </c>
      <c r="M955" s="238">
        <v>46652</v>
      </c>
      <c r="N955" s="121">
        <f t="shared" ca="1" si="33"/>
        <v>-465</v>
      </c>
      <c r="O955" s="142" t="str">
        <f ca="1">IF(Tabla1[[#This Row],[|]]&gt;=0,"VENCIDA",IF(Tabla1[[#This Row],[|]]&gt;=-14,"POR VENCER","OK"))</f>
        <v>OK</v>
      </c>
      <c r="P955" s="120" t="s">
        <v>2827</v>
      </c>
      <c r="Q955" s="121" t="s">
        <v>3241</v>
      </c>
      <c r="R955" s="121" t="s">
        <v>17</v>
      </c>
      <c r="S955" s="88"/>
      <c r="T955" s="88"/>
      <c r="U955" s="88"/>
      <c r="V955" s="121" t="s">
        <v>3185</v>
      </c>
      <c r="W955" s="121" t="s">
        <v>1943</v>
      </c>
      <c r="X955" s="121" t="s">
        <v>3261</v>
      </c>
    </row>
    <row r="956" spans="1:24" s="63" customFormat="1" ht="32.25" customHeight="1" x14ac:dyDescent="0.2">
      <c r="A956" s="202">
        <v>996</v>
      </c>
      <c r="B956" s="88" t="s">
        <v>279</v>
      </c>
      <c r="C956" s="89">
        <v>996</v>
      </c>
      <c r="D956" s="88" t="str">
        <f t="shared" si="32"/>
        <v>SUPERMIX996</v>
      </c>
      <c r="E956" s="58" t="s">
        <v>3262</v>
      </c>
      <c r="F956" s="58" t="s">
        <v>3263</v>
      </c>
      <c r="G956" s="88" t="s">
        <v>2825</v>
      </c>
      <c r="H956" s="90">
        <v>29548323</v>
      </c>
      <c r="I956" s="90" t="s">
        <v>3787</v>
      </c>
      <c r="J956" s="88" t="s">
        <v>3264</v>
      </c>
      <c r="K956" s="88" t="s">
        <v>1954</v>
      </c>
      <c r="L956" s="91">
        <v>38996</v>
      </c>
      <c r="M956" s="91">
        <v>44613</v>
      </c>
      <c r="N956" s="88">
        <f t="shared" ca="1" si="33"/>
        <v>1574</v>
      </c>
      <c r="O956" s="84" t="str">
        <f ca="1">IF(Tabla1[[#This Row],[|]]&gt;=0,"VENCIDA",IF(Tabla1[[#This Row],[|]]&gt;=-14,"POR VENCER","OK"))</f>
        <v>VENCIDA</v>
      </c>
      <c r="P956" s="90" t="s">
        <v>2827</v>
      </c>
      <c r="Q956" s="88" t="s">
        <v>3241</v>
      </c>
      <c r="R956" s="88" t="s">
        <v>317</v>
      </c>
      <c r="S956" s="88"/>
      <c r="T956" s="88"/>
      <c r="U956" s="88"/>
      <c r="V956" s="88" t="s">
        <v>3185</v>
      </c>
      <c r="W956" s="88" t="s">
        <v>1943</v>
      </c>
      <c r="X956" s="88" t="s">
        <v>3261</v>
      </c>
    </row>
    <row r="957" spans="1:24" s="59" customFormat="1" ht="32.25" customHeight="1" x14ac:dyDescent="0.2">
      <c r="A957" s="200">
        <v>997</v>
      </c>
      <c r="B957" s="61" t="s">
        <v>279</v>
      </c>
      <c r="C957" s="87">
        <v>997</v>
      </c>
      <c r="D957" s="61" t="str">
        <f t="shared" si="32"/>
        <v>SUPERMIX997</v>
      </c>
      <c r="E957" s="82" t="s">
        <v>3265</v>
      </c>
      <c r="F957" s="82" t="s">
        <v>3266</v>
      </c>
      <c r="G957" s="61" t="s">
        <v>341</v>
      </c>
      <c r="H957" s="60">
        <v>29668278</v>
      </c>
      <c r="I957" s="60" t="s">
        <v>3787</v>
      </c>
      <c r="J957" s="61" t="s">
        <v>3267</v>
      </c>
      <c r="K957" s="61" t="s">
        <v>3142</v>
      </c>
      <c r="L957" s="62">
        <v>41345</v>
      </c>
      <c r="M957" s="62">
        <v>47188</v>
      </c>
      <c r="N957" s="61">
        <f t="shared" ca="1" si="33"/>
        <v>-1001</v>
      </c>
      <c r="O957" s="84" t="str">
        <f ca="1">IF(Tabla1[[#This Row],[|]]&gt;=0,"VENCIDA",IF(Tabla1[[#This Row],[|]]&gt;=-14,"POR VENCER","OK"))</f>
        <v>OK</v>
      </c>
      <c r="P957" s="60" t="s">
        <v>2827</v>
      </c>
      <c r="Q957" s="61" t="s">
        <v>3241</v>
      </c>
      <c r="R957" s="61" t="s">
        <v>317</v>
      </c>
      <c r="S957" s="61"/>
      <c r="T957" s="61"/>
      <c r="U957" s="61"/>
      <c r="V957" s="61" t="s">
        <v>3185</v>
      </c>
      <c r="W957" s="61" t="s">
        <v>1943</v>
      </c>
      <c r="X957" s="61" t="s">
        <v>3261</v>
      </c>
    </row>
    <row r="958" spans="1:24" s="43" customFormat="1" ht="32.25" customHeight="1" x14ac:dyDescent="0.2">
      <c r="A958" s="42">
        <v>998</v>
      </c>
      <c r="B958" s="93" t="s">
        <v>279</v>
      </c>
      <c r="C958" s="94">
        <v>998</v>
      </c>
      <c r="D958" s="93" t="str">
        <f t="shared" si="32"/>
        <v>SUPERMIX998</v>
      </c>
      <c r="E958" s="115" t="s">
        <v>3271</v>
      </c>
      <c r="F958" s="115" t="s">
        <v>3272</v>
      </c>
      <c r="G958" s="93" t="s">
        <v>3273</v>
      </c>
      <c r="H958" s="95">
        <v>29738100</v>
      </c>
      <c r="I958" s="95" t="s">
        <v>3788</v>
      </c>
      <c r="J958" s="93" t="s">
        <v>3274</v>
      </c>
      <c r="K958" s="93" t="s">
        <v>1954</v>
      </c>
      <c r="L958" s="96">
        <v>42296</v>
      </c>
      <c r="M958" s="108">
        <v>44480</v>
      </c>
      <c r="N958" s="93">
        <f t="shared" ca="1" si="33"/>
        <v>1707</v>
      </c>
      <c r="O958" s="145" t="s">
        <v>3791</v>
      </c>
      <c r="P958" s="93" t="s">
        <v>2827</v>
      </c>
      <c r="Q958" s="93" t="s">
        <v>3241</v>
      </c>
      <c r="R958" s="93" t="s">
        <v>17</v>
      </c>
      <c r="S958" s="93"/>
      <c r="T958" s="93"/>
      <c r="U958" s="93"/>
      <c r="V958" s="93" t="s">
        <v>2973</v>
      </c>
      <c r="W958" s="93" t="s">
        <v>2775</v>
      </c>
      <c r="X958" s="93" t="s">
        <v>2836</v>
      </c>
    </row>
    <row r="959" spans="1:24" s="43" customFormat="1" ht="32.25" customHeight="1" x14ac:dyDescent="0.2">
      <c r="A959" s="42">
        <v>999</v>
      </c>
      <c r="B959" s="93" t="s">
        <v>279</v>
      </c>
      <c r="C959" s="94">
        <v>999</v>
      </c>
      <c r="D959" s="93" t="str">
        <f t="shared" si="32"/>
        <v>SUPERMIX999</v>
      </c>
      <c r="E959" s="115" t="s">
        <v>3276</v>
      </c>
      <c r="F959" s="115" t="s">
        <v>3277</v>
      </c>
      <c r="G959" s="93" t="s">
        <v>2825</v>
      </c>
      <c r="H959" s="95">
        <v>40986622</v>
      </c>
      <c r="I959" s="95" t="s">
        <v>3788</v>
      </c>
      <c r="J959" s="93" t="s">
        <v>3278</v>
      </c>
      <c r="K959" s="93" t="s">
        <v>3142</v>
      </c>
      <c r="L959" s="96">
        <v>41347</v>
      </c>
      <c r="M959" s="96">
        <v>47150</v>
      </c>
      <c r="N959" s="93">
        <f t="shared" ca="1" si="33"/>
        <v>-963</v>
      </c>
      <c r="O959" s="84" t="str">
        <f ca="1">IF(Tabla1[[#This Row],[|]]&gt;=0,"VENCIDA",IF(Tabla1[[#This Row],[|]]&gt;=-14,"POR VENCER","OK"))</f>
        <v>OK</v>
      </c>
      <c r="P959" s="95" t="s">
        <v>3215</v>
      </c>
      <c r="Q959" s="93" t="s">
        <v>3241</v>
      </c>
      <c r="R959" s="93" t="s">
        <v>317</v>
      </c>
      <c r="S959" s="93"/>
      <c r="T959" s="93"/>
      <c r="U959" s="93"/>
      <c r="V959" s="93" t="s">
        <v>329</v>
      </c>
      <c r="W959" s="93" t="s">
        <v>2997</v>
      </c>
      <c r="X959" s="93" t="s">
        <v>3191</v>
      </c>
    </row>
    <row r="960" spans="1:24" s="63" customFormat="1" ht="32.25" customHeight="1" x14ac:dyDescent="0.2">
      <c r="A960" s="202">
        <v>1000</v>
      </c>
      <c r="B960" s="88" t="s">
        <v>279</v>
      </c>
      <c r="C960" s="89">
        <v>1000</v>
      </c>
      <c r="D960" s="88" t="str">
        <f t="shared" si="32"/>
        <v>SUPERMIX1000</v>
      </c>
      <c r="E960" s="58" t="s">
        <v>3281</v>
      </c>
      <c r="F960" s="58" t="s">
        <v>1763</v>
      </c>
      <c r="G960" s="88" t="s">
        <v>2825</v>
      </c>
      <c r="H960" s="90">
        <v>80670064</v>
      </c>
      <c r="I960" s="90" t="s">
        <v>3787</v>
      </c>
      <c r="J960" s="88" t="s">
        <v>1764</v>
      </c>
      <c r="K960" s="88" t="s">
        <v>1954</v>
      </c>
      <c r="L960" s="91">
        <v>40476</v>
      </c>
      <c r="M960" s="91">
        <v>46698</v>
      </c>
      <c r="N960" s="88">
        <f t="shared" ca="1" si="33"/>
        <v>-511</v>
      </c>
      <c r="O960" s="84" t="str">
        <f ca="1">IF(Tabla1[[#This Row],[|]]&gt;=0,"VENCIDA",IF(Tabla1[[#This Row],[|]]&gt;=-14,"POR VENCER","OK"))</f>
        <v>OK</v>
      </c>
      <c r="P960" s="90" t="s">
        <v>3211</v>
      </c>
      <c r="Q960" s="88" t="s">
        <v>3241</v>
      </c>
      <c r="R960" s="88" t="s">
        <v>17</v>
      </c>
      <c r="S960" s="88"/>
      <c r="T960" s="88"/>
      <c r="U960" s="88"/>
      <c r="V960" s="88" t="s">
        <v>282</v>
      </c>
      <c r="W960" s="88" t="s">
        <v>2776</v>
      </c>
      <c r="X960" s="88" t="s">
        <v>597</v>
      </c>
    </row>
    <row r="961" spans="1:24" s="63" customFormat="1" ht="32.25" customHeight="1" x14ac:dyDescent="0.2">
      <c r="A961" s="202">
        <v>1001</v>
      </c>
      <c r="B961" s="88" t="s">
        <v>279</v>
      </c>
      <c r="C961" s="89">
        <v>1001</v>
      </c>
      <c r="D961" s="88" t="str">
        <f t="shared" si="32"/>
        <v>SUPERMIX1001</v>
      </c>
      <c r="E961" s="58" t="s">
        <v>3284</v>
      </c>
      <c r="F961" s="58" t="s">
        <v>3285</v>
      </c>
      <c r="G961" s="88" t="s">
        <v>2825</v>
      </c>
      <c r="H961" s="90">
        <v>70295654</v>
      </c>
      <c r="I961" s="90" t="s">
        <v>3787</v>
      </c>
      <c r="J961" s="88" t="s">
        <v>3286</v>
      </c>
      <c r="K961" s="88" t="s">
        <v>3142</v>
      </c>
      <c r="L961" s="88" t="s">
        <v>3287</v>
      </c>
      <c r="M961" s="91">
        <v>46690</v>
      </c>
      <c r="N961" s="88">
        <f t="shared" ca="1" si="33"/>
        <v>-503</v>
      </c>
      <c r="O961" s="84" t="str">
        <f ca="1">IF(Tabla1[[#This Row],[|]]&gt;=0,"VENCIDA",IF(Tabla1[[#This Row],[|]]&gt;=-14,"POR VENCER","OK"))</f>
        <v>OK</v>
      </c>
      <c r="P961" s="90" t="s">
        <v>2827</v>
      </c>
      <c r="Q961" s="88" t="s">
        <v>3241</v>
      </c>
      <c r="R961" s="88" t="s">
        <v>317</v>
      </c>
      <c r="S961" s="88"/>
      <c r="T961" s="88"/>
      <c r="U961" s="88"/>
      <c r="V961" s="88" t="s">
        <v>282</v>
      </c>
      <c r="W961" s="88" t="s">
        <v>2776</v>
      </c>
      <c r="X961" s="88" t="s">
        <v>2870</v>
      </c>
    </row>
    <row r="962" spans="1:24" s="63" customFormat="1" ht="32.25" customHeight="1" x14ac:dyDescent="0.2">
      <c r="A962" s="202">
        <v>1002</v>
      </c>
      <c r="B962" s="88" t="s">
        <v>279</v>
      </c>
      <c r="C962" s="89">
        <v>1002</v>
      </c>
      <c r="D962" s="88" t="str">
        <f t="shared" si="32"/>
        <v>SUPERMIX1002</v>
      </c>
      <c r="E962" s="58" t="s">
        <v>3289</v>
      </c>
      <c r="F962" s="58" t="s">
        <v>3290</v>
      </c>
      <c r="G962" s="88" t="s">
        <v>2825</v>
      </c>
      <c r="H962" s="90">
        <v>40838949</v>
      </c>
      <c r="I962" s="90" t="s">
        <v>3787</v>
      </c>
      <c r="J962" s="88" t="s">
        <v>3291</v>
      </c>
      <c r="K962" s="88" t="s">
        <v>343</v>
      </c>
      <c r="L962" s="91">
        <v>41627</v>
      </c>
      <c r="M962" s="91">
        <v>43977</v>
      </c>
      <c r="N962" s="88">
        <f t="shared" ca="1" si="33"/>
        <v>2210</v>
      </c>
      <c r="O962" s="84" t="str">
        <f ca="1">IF(Tabla1[[#This Row],[|]]&gt;=0,"VENCIDA",IF(Tabla1[[#This Row],[|]]&gt;=-14,"POR VENCER","OK"))</f>
        <v>VENCIDA</v>
      </c>
      <c r="P962" s="90" t="s">
        <v>2827</v>
      </c>
      <c r="Q962" s="88" t="s">
        <v>3241</v>
      </c>
      <c r="R962" s="88" t="s">
        <v>317</v>
      </c>
      <c r="S962" s="88"/>
      <c r="T962" s="88"/>
      <c r="U962" s="88"/>
      <c r="V962" s="88" t="s">
        <v>282</v>
      </c>
      <c r="W962" s="88" t="s">
        <v>2776</v>
      </c>
      <c r="X962" s="88" t="s">
        <v>3292</v>
      </c>
    </row>
    <row r="963" spans="1:24" s="63" customFormat="1" ht="32.25" customHeight="1" x14ac:dyDescent="0.2">
      <c r="A963" s="202">
        <v>1003</v>
      </c>
      <c r="B963" s="88" t="s">
        <v>279</v>
      </c>
      <c r="C963" s="89">
        <v>1003</v>
      </c>
      <c r="D963" s="88" t="str">
        <f t="shared" si="32"/>
        <v>SUPERMIX1003</v>
      </c>
      <c r="E963" s="58" t="s">
        <v>3295</v>
      </c>
      <c r="F963" s="58" t="s">
        <v>3296</v>
      </c>
      <c r="G963" s="88" t="s">
        <v>2825</v>
      </c>
      <c r="H963" s="90">
        <v>45726764</v>
      </c>
      <c r="I963" s="90" t="s">
        <v>3787</v>
      </c>
      <c r="J963" s="88" t="s">
        <v>3297</v>
      </c>
      <c r="K963" s="88" t="s">
        <v>1954</v>
      </c>
      <c r="L963" s="91">
        <v>43591</v>
      </c>
      <c r="M963" s="91">
        <v>46530</v>
      </c>
      <c r="N963" s="88">
        <f t="shared" ca="1" si="33"/>
        <v>-343</v>
      </c>
      <c r="O963" s="84" t="str">
        <f ca="1">IF(Tabla1[[#This Row],[|]]&gt;=0,"VENCIDA",IF(Tabla1[[#This Row],[|]]&gt;=-14,"POR VENCER","OK"))</f>
        <v>OK</v>
      </c>
      <c r="P963" s="90">
        <v>65</v>
      </c>
      <c r="Q963" s="88" t="s">
        <v>3241</v>
      </c>
      <c r="R963" s="88" t="s">
        <v>17</v>
      </c>
      <c r="S963" s="88"/>
      <c r="T963" s="88"/>
      <c r="U963" s="88"/>
      <c r="V963" s="88" t="s">
        <v>282</v>
      </c>
      <c r="W963" s="88" t="s">
        <v>2776</v>
      </c>
      <c r="X963" s="88" t="s">
        <v>597</v>
      </c>
    </row>
    <row r="964" spans="1:24" s="63" customFormat="1" ht="32.25" customHeight="1" x14ac:dyDescent="0.2">
      <c r="A964" s="202">
        <v>1004</v>
      </c>
      <c r="B964" s="88" t="s">
        <v>279</v>
      </c>
      <c r="C964" s="89">
        <v>1004</v>
      </c>
      <c r="D964" s="88" t="str">
        <f t="shared" si="32"/>
        <v>SUPERMIX1004</v>
      </c>
      <c r="E964" s="58" t="s">
        <v>3298</v>
      </c>
      <c r="F964" s="58" t="s">
        <v>3299</v>
      </c>
      <c r="G964" s="88" t="s">
        <v>2825</v>
      </c>
      <c r="H964" s="90">
        <v>42764415</v>
      </c>
      <c r="I964" s="90" t="s">
        <v>3787</v>
      </c>
      <c r="J964" s="88" t="s">
        <v>3300</v>
      </c>
      <c r="K964" s="88" t="s">
        <v>3142</v>
      </c>
      <c r="L964" s="91">
        <v>39785</v>
      </c>
      <c r="M964" s="91">
        <v>44732</v>
      </c>
      <c r="N964" s="88">
        <f t="shared" ca="1" si="33"/>
        <v>1455</v>
      </c>
      <c r="O964" s="84" t="str">
        <f ca="1">IF(Tabla1[[#This Row],[|]]&gt;=0,"VENCIDA",IF(Tabla1[[#This Row],[|]]&gt;=-14,"POR VENCER","OK"))</f>
        <v>VENCIDA</v>
      </c>
      <c r="P964" s="90" t="s">
        <v>2827</v>
      </c>
      <c r="Q964" s="88" t="s">
        <v>3241</v>
      </c>
      <c r="R964" s="88" t="s">
        <v>317</v>
      </c>
      <c r="S964" s="88"/>
      <c r="T964" s="88"/>
      <c r="U964" s="88"/>
      <c r="V964" s="88" t="s">
        <v>334</v>
      </c>
      <c r="W964" s="88" t="s">
        <v>2997</v>
      </c>
      <c r="X964" s="88" t="s">
        <v>2894</v>
      </c>
    </row>
    <row r="965" spans="1:24" s="63" customFormat="1" ht="32.25" customHeight="1" x14ac:dyDescent="0.2">
      <c r="A965" s="202">
        <v>1005</v>
      </c>
      <c r="B965" s="88" t="s">
        <v>279</v>
      </c>
      <c r="C965" s="89">
        <v>1005</v>
      </c>
      <c r="D965" s="88" t="str">
        <f t="shared" si="32"/>
        <v>SUPERMIX1005</v>
      </c>
      <c r="E965" s="58" t="s">
        <v>3304</v>
      </c>
      <c r="F965" s="58" t="s">
        <v>3305</v>
      </c>
      <c r="G965" s="88" t="s">
        <v>2825</v>
      </c>
      <c r="H965" s="90" t="s">
        <v>3306</v>
      </c>
      <c r="I965" s="90" t="s">
        <v>3787</v>
      </c>
      <c r="J965" s="88" t="s">
        <v>3307</v>
      </c>
      <c r="K965" s="88" t="s">
        <v>1954</v>
      </c>
      <c r="L965" s="91">
        <v>41836</v>
      </c>
      <c r="M965" s="91">
        <v>46670</v>
      </c>
      <c r="N965" s="88">
        <f t="shared" ca="1" si="33"/>
        <v>-483</v>
      </c>
      <c r="O965" s="84" t="str">
        <f ca="1">IF(Tabla1[[#This Row],[|]]&gt;=0,"VENCIDA",IF(Tabla1[[#This Row],[|]]&gt;=-14,"POR VENCER","OK"))</f>
        <v>OK</v>
      </c>
      <c r="P965" s="90" t="s">
        <v>2838</v>
      </c>
      <c r="Q965" s="88" t="s">
        <v>3241</v>
      </c>
      <c r="R965" s="88" t="s">
        <v>317</v>
      </c>
      <c r="S965" s="88"/>
      <c r="T965" s="88"/>
      <c r="U965" s="88"/>
      <c r="V965" s="88" t="s">
        <v>282</v>
      </c>
      <c r="W965" s="88" t="s">
        <v>2776</v>
      </c>
      <c r="X965" s="88" t="s">
        <v>597</v>
      </c>
    </row>
    <row r="966" spans="1:24" s="43" customFormat="1" ht="32.25" customHeight="1" x14ac:dyDescent="0.2">
      <c r="A966" s="42">
        <v>1006</v>
      </c>
      <c r="B966" s="93" t="s">
        <v>279</v>
      </c>
      <c r="C966" s="94">
        <v>1006</v>
      </c>
      <c r="D966" s="93" t="str">
        <f t="shared" si="32"/>
        <v>SUPERMIX1006</v>
      </c>
      <c r="E966" s="115" t="s">
        <v>3309</v>
      </c>
      <c r="F966" s="115" t="s">
        <v>3310</v>
      </c>
      <c r="G966" s="93" t="s">
        <v>2825</v>
      </c>
      <c r="H966" s="95">
        <v>29423296</v>
      </c>
      <c r="I966" s="95" t="s">
        <v>3788</v>
      </c>
      <c r="J966" s="93" t="s">
        <v>3311</v>
      </c>
      <c r="K966" s="93" t="s">
        <v>2250</v>
      </c>
      <c r="L966" s="96">
        <v>43864</v>
      </c>
      <c r="M966" s="96">
        <v>46222</v>
      </c>
      <c r="N966" s="93">
        <f t="shared" ca="1" si="33"/>
        <v>-35</v>
      </c>
      <c r="O966" s="84" t="str">
        <f ca="1">IF(Tabla1[[#This Row],[|]]&gt;=0,"VENCIDA",IF(Tabla1[[#This Row],[|]]&gt;=-14,"POR VENCER","OK"))</f>
        <v>OK</v>
      </c>
      <c r="P966" s="95" t="s">
        <v>2827</v>
      </c>
      <c r="Q966" s="93" t="s">
        <v>3241</v>
      </c>
      <c r="R966" s="93" t="s">
        <v>17</v>
      </c>
      <c r="S966" s="93"/>
      <c r="T966" s="93"/>
      <c r="U966" s="93"/>
      <c r="V966" s="93" t="s">
        <v>1939</v>
      </c>
      <c r="W966" s="93" t="s">
        <v>1411</v>
      </c>
      <c r="X966" s="93" t="s">
        <v>2870</v>
      </c>
    </row>
    <row r="967" spans="1:24" s="63" customFormat="1" ht="32.25" customHeight="1" x14ac:dyDescent="0.2">
      <c r="A967" s="202">
        <v>1007</v>
      </c>
      <c r="B967" s="88" t="s">
        <v>279</v>
      </c>
      <c r="C967" s="89">
        <v>1007</v>
      </c>
      <c r="D967" s="88" t="str">
        <f t="shared" si="32"/>
        <v>SUPERMIX1007</v>
      </c>
      <c r="E967" s="58" t="s">
        <v>3312</v>
      </c>
      <c r="F967" s="58" t="s">
        <v>121</v>
      </c>
      <c r="G967" s="88" t="s">
        <v>2825</v>
      </c>
      <c r="H967" s="90">
        <v>41174585</v>
      </c>
      <c r="I967" s="90" t="s">
        <v>3788</v>
      </c>
      <c r="J967" s="88" t="s">
        <v>3313</v>
      </c>
      <c r="K967" s="88" t="s">
        <v>1954</v>
      </c>
      <c r="L967" s="91">
        <v>42865</v>
      </c>
      <c r="M967" s="91">
        <v>47230</v>
      </c>
      <c r="N967" s="88">
        <f t="shared" ca="1" si="33"/>
        <v>-1043</v>
      </c>
      <c r="O967" s="84" t="str">
        <f ca="1">IF(Tabla1[[#This Row],[|]]&gt;=0,"VENCIDA",IF(Tabla1[[#This Row],[|]]&gt;=-14,"POR VENCER","OK"))</f>
        <v>OK</v>
      </c>
      <c r="P967" s="90" t="s">
        <v>2847</v>
      </c>
      <c r="Q967" s="88" t="s">
        <v>3241</v>
      </c>
      <c r="R967" s="88" t="s">
        <v>317</v>
      </c>
      <c r="S967" s="88"/>
      <c r="T967" s="88"/>
      <c r="U967" s="88"/>
      <c r="V967" s="88" t="s">
        <v>282</v>
      </c>
      <c r="W967" s="88" t="s">
        <v>2776</v>
      </c>
      <c r="X967" s="88" t="s">
        <v>597</v>
      </c>
    </row>
    <row r="968" spans="1:24" s="63" customFormat="1" ht="32.25" customHeight="1" x14ac:dyDescent="0.2">
      <c r="A968" s="202">
        <v>1008</v>
      </c>
      <c r="B968" s="88" t="s">
        <v>279</v>
      </c>
      <c r="C968" s="89">
        <v>1008</v>
      </c>
      <c r="D968" s="88" t="str">
        <f t="shared" ref="D968:D1031" si="34">CONCATENATE(B968,C968)</f>
        <v>SUPERMIX1008</v>
      </c>
      <c r="E968" s="58" t="s">
        <v>3315</v>
      </c>
      <c r="F968" s="58" t="s">
        <v>3316</v>
      </c>
      <c r="G968" s="88" t="s">
        <v>2825</v>
      </c>
      <c r="H968" s="90">
        <v>45954126</v>
      </c>
      <c r="I968" s="90" t="s">
        <v>3787</v>
      </c>
      <c r="J968" s="88" t="s">
        <v>3317</v>
      </c>
      <c r="K968" s="88" t="s">
        <v>1954</v>
      </c>
      <c r="L968" s="91">
        <v>42867</v>
      </c>
      <c r="M968" s="91">
        <v>46359</v>
      </c>
      <c r="N968" s="88">
        <f t="shared" ca="1" si="33"/>
        <v>-172</v>
      </c>
      <c r="O968" s="84" t="str">
        <f ca="1">IF(Tabla1[[#This Row],[|]]&gt;=0,"VENCIDA",IF(Tabla1[[#This Row],[|]]&gt;=-14,"POR VENCER","OK"))</f>
        <v>OK</v>
      </c>
      <c r="P968" s="90" t="s">
        <v>2847</v>
      </c>
      <c r="Q968" s="88" t="s">
        <v>3241</v>
      </c>
      <c r="R968" s="88" t="s">
        <v>317</v>
      </c>
      <c r="S968" s="88"/>
      <c r="T968" s="88"/>
      <c r="U968" s="88"/>
      <c r="V968" s="88" t="s">
        <v>3318</v>
      </c>
      <c r="W968" s="88" t="s">
        <v>2776</v>
      </c>
      <c r="X968" s="88" t="s">
        <v>597</v>
      </c>
    </row>
    <row r="969" spans="1:24" s="63" customFormat="1" ht="32.25" customHeight="1" x14ac:dyDescent="0.2">
      <c r="A969" s="202">
        <v>1009</v>
      </c>
      <c r="B969" s="88" t="s">
        <v>279</v>
      </c>
      <c r="C969" s="89">
        <v>1009</v>
      </c>
      <c r="D969" s="88" t="str">
        <f t="shared" si="34"/>
        <v>SUPERMIX1009</v>
      </c>
      <c r="E969" s="58" t="s">
        <v>3320</v>
      </c>
      <c r="F969" s="58" t="s">
        <v>3321</v>
      </c>
      <c r="G969" s="88" t="s">
        <v>2825</v>
      </c>
      <c r="H969" s="90">
        <v>23961494</v>
      </c>
      <c r="I969" s="90" t="s">
        <v>3787</v>
      </c>
      <c r="J969" s="88" t="s">
        <v>3322</v>
      </c>
      <c r="K969" s="88" t="s">
        <v>1954</v>
      </c>
      <c r="L969" s="91">
        <v>41671</v>
      </c>
      <c r="M969" s="91">
        <v>44845</v>
      </c>
      <c r="N969" s="88">
        <f t="shared" ca="1" si="33"/>
        <v>1342</v>
      </c>
      <c r="O969" s="84" t="str">
        <f ca="1">IF(Tabla1[[#This Row],[|]]&gt;=0,"VENCIDA",IF(Tabla1[[#This Row],[|]]&gt;=-14,"POR VENCER","OK"))</f>
        <v>VENCIDA</v>
      </c>
      <c r="P969" s="90" t="s">
        <v>2847</v>
      </c>
      <c r="Q969" s="88" t="s">
        <v>3241</v>
      </c>
      <c r="R969" s="88" t="s">
        <v>317</v>
      </c>
      <c r="S969" s="88"/>
      <c r="T969" s="88"/>
      <c r="U969" s="88"/>
      <c r="V969" s="88" t="s">
        <v>3318</v>
      </c>
      <c r="W969" s="88" t="s">
        <v>2776</v>
      </c>
      <c r="X969" s="88" t="s">
        <v>597</v>
      </c>
    </row>
    <row r="970" spans="1:24" s="43" customFormat="1" ht="32.25" customHeight="1" x14ac:dyDescent="0.2">
      <c r="A970" s="42">
        <v>1010</v>
      </c>
      <c r="B970" s="93" t="s">
        <v>279</v>
      </c>
      <c r="C970" s="94">
        <v>1010</v>
      </c>
      <c r="D970" s="93" t="str">
        <f t="shared" si="34"/>
        <v>SUPERMIX1010</v>
      </c>
      <c r="E970" s="115" t="s">
        <v>3323</v>
      </c>
      <c r="F970" s="115" t="s">
        <v>3324</v>
      </c>
      <c r="G970" s="93" t="s">
        <v>2825</v>
      </c>
      <c r="H970" s="95">
        <v>45256246</v>
      </c>
      <c r="I970" s="95" t="s">
        <v>3788</v>
      </c>
      <c r="J970" s="93" t="s">
        <v>3325</v>
      </c>
      <c r="K970" s="93" t="s">
        <v>1954</v>
      </c>
      <c r="L970" s="96">
        <v>42396</v>
      </c>
      <c r="M970" s="96">
        <v>46433</v>
      </c>
      <c r="N970" s="93">
        <f t="shared" ca="1" si="33"/>
        <v>-246</v>
      </c>
      <c r="O970" s="84" t="str">
        <f ca="1">IF(Tabla1[[#This Row],[|]]&gt;=0,"VENCIDA",IF(Tabla1[[#This Row],[|]]&gt;=-14,"POR VENCER","OK"))</f>
        <v>OK</v>
      </c>
      <c r="P970" s="95" t="s">
        <v>3326</v>
      </c>
      <c r="Q970" s="93" t="s">
        <v>3241</v>
      </c>
      <c r="R970" s="93" t="s">
        <v>317</v>
      </c>
      <c r="S970" s="93"/>
      <c r="T970" s="93"/>
      <c r="U970" s="93"/>
      <c r="V970" s="93" t="s">
        <v>2395</v>
      </c>
      <c r="W970" s="93" t="s">
        <v>2776</v>
      </c>
      <c r="X970" s="93" t="s">
        <v>640</v>
      </c>
    </row>
    <row r="971" spans="1:24" s="63" customFormat="1" ht="32.25" customHeight="1" x14ac:dyDescent="0.2">
      <c r="A971" s="202">
        <v>1011</v>
      </c>
      <c r="B971" s="88" t="s">
        <v>279</v>
      </c>
      <c r="C971" s="89">
        <v>1011</v>
      </c>
      <c r="D971" s="88" t="str">
        <f t="shared" si="34"/>
        <v>SUPERMIX1011</v>
      </c>
      <c r="E971" s="58" t="s">
        <v>3327</v>
      </c>
      <c r="F971" s="58" t="s">
        <v>359</v>
      </c>
      <c r="G971" s="88" t="s">
        <v>310</v>
      </c>
      <c r="H971" s="90">
        <v>29738009</v>
      </c>
      <c r="I971" s="90" t="s">
        <v>3787</v>
      </c>
      <c r="J971" s="88" t="s">
        <v>3328</v>
      </c>
      <c r="K971" s="88" t="s">
        <v>1954</v>
      </c>
      <c r="L971" s="91">
        <v>39060</v>
      </c>
      <c r="M971" s="91">
        <v>44758</v>
      </c>
      <c r="N971" s="88">
        <f t="shared" ca="1" si="33"/>
        <v>1429</v>
      </c>
      <c r="O971" s="84" t="str">
        <f ca="1">IF(Tabla1[[#This Row],[|]]&gt;=0,"VENCIDA",IF(Tabla1[[#This Row],[|]]&gt;=-14,"POR VENCER","OK"))</f>
        <v>VENCIDA</v>
      </c>
      <c r="P971" s="90" t="s">
        <v>2847</v>
      </c>
      <c r="Q971" s="88" t="s">
        <v>3241</v>
      </c>
      <c r="R971" s="88" t="s">
        <v>317</v>
      </c>
      <c r="S971" s="88"/>
      <c r="T971" s="88"/>
      <c r="U971" s="88"/>
      <c r="V971" s="88" t="s">
        <v>1928</v>
      </c>
      <c r="W971" s="88" t="s">
        <v>2776</v>
      </c>
      <c r="X971" s="88" t="s">
        <v>597</v>
      </c>
    </row>
    <row r="972" spans="1:24" s="63" customFormat="1" ht="32.25" customHeight="1" x14ac:dyDescent="0.2">
      <c r="A972" s="202">
        <v>1012</v>
      </c>
      <c r="B972" s="88" t="s">
        <v>279</v>
      </c>
      <c r="C972" s="89">
        <v>1012</v>
      </c>
      <c r="D972" s="88" t="str">
        <f t="shared" si="34"/>
        <v>SUPERMIX1012</v>
      </c>
      <c r="E972" s="58" t="s">
        <v>980</v>
      </c>
      <c r="F972" s="58" t="s">
        <v>3330</v>
      </c>
      <c r="G972" s="88" t="s">
        <v>2825</v>
      </c>
      <c r="H972" s="90">
        <v>42760503</v>
      </c>
      <c r="I972" s="90" t="s">
        <v>3787</v>
      </c>
      <c r="J972" s="88" t="s">
        <v>3331</v>
      </c>
      <c r="K972" s="88" t="s">
        <v>293</v>
      </c>
      <c r="L972" s="91">
        <v>43399</v>
      </c>
      <c r="M972" s="91">
        <v>44495</v>
      </c>
      <c r="N972" s="88">
        <f t="shared" ca="1" si="33"/>
        <v>1692</v>
      </c>
      <c r="O972" s="84" t="str">
        <f ca="1">IF(Tabla1[[#This Row],[|]]&gt;=0,"VENCIDA",IF(Tabla1[[#This Row],[|]]&gt;=-14,"POR VENCER","OK"))</f>
        <v>VENCIDA</v>
      </c>
      <c r="P972" s="90" t="s">
        <v>2847</v>
      </c>
      <c r="Q972" s="88" t="s">
        <v>3241</v>
      </c>
      <c r="R972" s="88" t="s">
        <v>317</v>
      </c>
      <c r="S972" s="88"/>
      <c r="T972" s="88"/>
      <c r="U972" s="88"/>
      <c r="V972" s="88" t="s">
        <v>1928</v>
      </c>
      <c r="W972" s="88" t="s">
        <v>850</v>
      </c>
      <c r="X972" s="88" t="s">
        <v>597</v>
      </c>
    </row>
    <row r="973" spans="1:24" s="63" customFormat="1" ht="32.25" customHeight="1" x14ac:dyDescent="0.2">
      <c r="A973" s="202">
        <v>1013</v>
      </c>
      <c r="B973" s="88" t="s">
        <v>279</v>
      </c>
      <c r="C973" s="89">
        <v>1013</v>
      </c>
      <c r="D973" s="88" t="str">
        <f t="shared" si="34"/>
        <v>SUPERMIX1013</v>
      </c>
      <c r="E973" s="58" t="s">
        <v>3332</v>
      </c>
      <c r="F973" s="58" t="s">
        <v>1406</v>
      </c>
      <c r="G973" s="88" t="s">
        <v>2825</v>
      </c>
      <c r="H973" s="90" t="s">
        <v>3333</v>
      </c>
      <c r="I973" s="90" t="s">
        <v>3787</v>
      </c>
      <c r="J973" s="88" t="s">
        <v>3334</v>
      </c>
      <c r="K973" s="88" t="s">
        <v>1954</v>
      </c>
      <c r="L973" s="91">
        <v>36741</v>
      </c>
      <c r="M973" s="91">
        <v>44235</v>
      </c>
      <c r="N973" s="88">
        <f t="shared" ca="1" si="33"/>
        <v>1952</v>
      </c>
      <c r="O973" s="84" t="str">
        <f ca="1">IF(Tabla1[[#This Row],[|]]&gt;=0,"VENCIDA",IF(Tabla1[[#This Row],[|]]&gt;=-14,"POR VENCER","OK"))</f>
        <v>VENCIDA</v>
      </c>
      <c r="P973" s="90" t="s">
        <v>2847</v>
      </c>
      <c r="Q973" s="88" t="s">
        <v>3241</v>
      </c>
      <c r="R973" s="88" t="s">
        <v>317</v>
      </c>
      <c r="S973" s="88"/>
      <c r="T973" s="88"/>
      <c r="U973" s="88"/>
      <c r="V973" s="88" t="s">
        <v>3318</v>
      </c>
      <c r="W973" s="88" t="s">
        <v>850</v>
      </c>
      <c r="X973" s="88" t="s">
        <v>597</v>
      </c>
    </row>
    <row r="974" spans="1:24" s="63" customFormat="1" ht="32.25" customHeight="1" x14ac:dyDescent="0.2">
      <c r="A974" s="202">
        <v>1014</v>
      </c>
      <c r="B974" s="88" t="s">
        <v>279</v>
      </c>
      <c r="C974" s="89">
        <v>1014</v>
      </c>
      <c r="D974" s="88" t="str">
        <f t="shared" si="34"/>
        <v>SUPERMIX1014</v>
      </c>
      <c r="E974" s="58" t="s">
        <v>3335</v>
      </c>
      <c r="F974" s="58" t="s">
        <v>1650</v>
      </c>
      <c r="G974" s="88" t="s">
        <v>2825</v>
      </c>
      <c r="H974" s="90">
        <v>47737600</v>
      </c>
      <c r="I974" s="90" t="s">
        <v>3787</v>
      </c>
      <c r="J974" s="88" t="s">
        <v>3336</v>
      </c>
      <c r="K974" s="88" t="s">
        <v>2092</v>
      </c>
      <c r="L974" s="91">
        <v>42859</v>
      </c>
      <c r="M974" s="91">
        <v>43955</v>
      </c>
      <c r="N974" s="88">
        <f t="shared" ca="1" si="33"/>
        <v>2232</v>
      </c>
      <c r="O974" s="84" t="str">
        <f ca="1">IF(Tabla1[[#This Row],[|]]&gt;=0,"VENCIDA",IF(Tabla1[[#This Row],[|]]&gt;=-14,"POR VENCER","OK"))</f>
        <v>VENCIDA</v>
      </c>
      <c r="P974" s="90" t="s">
        <v>2847</v>
      </c>
      <c r="Q974" s="88" t="s">
        <v>3241</v>
      </c>
      <c r="R974" s="88" t="s">
        <v>317</v>
      </c>
      <c r="S974" s="88"/>
      <c r="T974" s="88"/>
      <c r="U974" s="88"/>
      <c r="V974" s="88" t="s">
        <v>3318</v>
      </c>
      <c r="W974" s="88" t="s">
        <v>850</v>
      </c>
      <c r="X974" s="88" t="s">
        <v>597</v>
      </c>
    </row>
    <row r="975" spans="1:24" s="63" customFormat="1" ht="32.25" customHeight="1" x14ac:dyDescent="0.2">
      <c r="A975" s="202">
        <v>1015</v>
      </c>
      <c r="B975" s="88" t="s">
        <v>279</v>
      </c>
      <c r="C975" s="89">
        <v>1015</v>
      </c>
      <c r="D975" s="88" t="str">
        <f t="shared" si="34"/>
        <v>SUPERMIX1015</v>
      </c>
      <c r="E975" s="58" t="s">
        <v>3338</v>
      </c>
      <c r="F975" s="58" t="s">
        <v>1162</v>
      </c>
      <c r="G975" s="88" t="s">
        <v>2825</v>
      </c>
      <c r="H975" s="90" t="s">
        <v>3339</v>
      </c>
      <c r="I975" s="90" t="s">
        <v>3788</v>
      </c>
      <c r="J975" s="88" t="s">
        <v>3340</v>
      </c>
      <c r="K975" s="88" t="s">
        <v>1954</v>
      </c>
      <c r="L975" s="91">
        <v>41359</v>
      </c>
      <c r="M975" s="91">
        <v>46450</v>
      </c>
      <c r="N975" s="88">
        <f t="shared" ca="1" si="33"/>
        <v>-263</v>
      </c>
      <c r="O975" s="84" t="str">
        <f ca="1">IF(Tabla1[[#This Row],[|]]&gt;=0,"VENCIDA",IF(Tabla1[[#This Row],[|]]&gt;=-14,"POR VENCER","OK"))</f>
        <v>OK</v>
      </c>
      <c r="P975" s="90" t="s">
        <v>2847</v>
      </c>
      <c r="Q975" s="88" t="s">
        <v>3241</v>
      </c>
      <c r="R975" s="88" t="s">
        <v>317</v>
      </c>
      <c r="S975" s="88"/>
      <c r="T975" s="88"/>
      <c r="U975" s="88"/>
      <c r="V975" s="88" t="s">
        <v>2036</v>
      </c>
      <c r="W975" s="88" t="s">
        <v>850</v>
      </c>
      <c r="X975" s="88" t="s">
        <v>597</v>
      </c>
    </row>
    <row r="976" spans="1:24" s="63" customFormat="1" ht="32.25" customHeight="1" x14ac:dyDescent="0.2">
      <c r="A976" s="202">
        <v>1016</v>
      </c>
      <c r="B976" s="88" t="s">
        <v>279</v>
      </c>
      <c r="C976" s="89">
        <v>1016</v>
      </c>
      <c r="D976" s="88" t="str">
        <f t="shared" si="34"/>
        <v>SUPERMIX1016</v>
      </c>
      <c r="E976" s="58" t="s">
        <v>3341</v>
      </c>
      <c r="F976" s="58" t="s">
        <v>3342</v>
      </c>
      <c r="G976" s="88" t="s">
        <v>2825</v>
      </c>
      <c r="H976" s="90" t="s">
        <v>3343</v>
      </c>
      <c r="I976" s="90" t="s">
        <v>3787</v>
      </c>
      <c r="J976" s="88" t="s">
        <v>3344</v>
      </c>
      <c r="K976" s="88" t="s">
        <v>1961</v>
      </c>
      <c r="L976" s="91">
        <v>42053</v>
      </c>
      <c r="M976" s="91">
        <v>46041</v>
      </c>
      <c r="N976" s="88">
        <f t="shared" ca="1" si="33"/>
        <v>146</v>
      </c>
      <c r="O976" s="84" t="str">
        <f ca="1">IF(Tabla1[[#This Row],[|]]&gt;=0,"VENCIDA",IF(Tabla1[[#This Row],[|]]&gt;=-14,"POR VENCER","OK"))</f>
        <v>VENCIDA</v>
      </c>
      <c r="P976" s="90" t="s">
        <v>2827</v>
      </c>
      <c r="Q976" s="88" t="s">
        <v>3241</v>
      </c>
      <c r="R976" s="88" t="s">
        <v>17</v>
      </c>
      <c r="S976" s="88"/>
      <c r="T976" s="88"/>
      <c r="U976" s="88"/>
      <c r="V976" s="88" t="s">
        <v>3185</v>
      </c>
      <c r="W976" s="88" t="s">
        <v>3345</v>
      </c>
      <c r="X976" s="88" t="s">
        <v>3168</v>
      </c>
    </row>
    <row r="977" spans="1:24" s="63" customFormat="1" ht="32.25" customHeight="1" x14ac:dyDescent="0.2">
      <c r="A977" s="202">
        <v>1017</v>
      </c>
      <c r="B977" s="88" t="s">
        <v>279</v>
      </c>
      <c r="C977" s="89">
        <v>1017</v>
      </c>
      <c r="D977" s="88" t="str">
        <f t="shared" si="34"/>
        <v>SUPERMIX1017</v>
      </c>
      <c r="E977" s="58" t="s">
        <v>3348</v>
      </c>
      <c r="F977" s="58" t="s">
        <v>3349</v>
      </c>
      <c r="G977" s="88" t="s">
        <v>2825</v>
      </c>
      <c r="H977" s="90">
        <v>42197549</v>
      </c>
      <c r="I977" s="90" t="s">
        <v>3787</v>
      </c>
      <c r="J977" s="88" t="s">
        <v>3350</v>
      </c>
      <c r="K977" s="88" t="s">
        <v>1961</v>
      </c>
      <c r="L977" s="91">
        <v>42018</v>
      </c>
      <c r="M977" s="91">
        <v>44473</v>
      </c>
      <c r="N977" s="88">
        <f t="shared" ca="1" si="33"/>
        <v>1714</v>
      </c>
      <c r="O977" s="84" t="str">
        <f ca="1">IF(Tabla1[[#This Row],[|]]&gt;=0,"VENCIDA",IF(Tabla1[[#This Row],[|]]&gt;=-14,"POR VENCER","OK"))</f>
        <v>VENCIDA</v>
      </c>
      <c r="P977" s="90" t="s">
        <v>2827</v>
      </c>
      <c r="Q977" s="88" t="s">
        <v>3241</v>
      </c>
      <c r="R977" s="88" t="s">
        <v>317</v>
      </c>
      <c r="S977" s="88"/>
      <c r="T977" s="88"/>
      <c r="U977" s="88"/>
      <c r="V977" s="88" t="s">
        <v>1981</v>
      </c>
      <c r="W977" s="88" t="s">
        <v>3345</v>
      </c>
      <c r="X977" s="88" t="s">
        <v>2866</v>
      </c>
    </row>
    <row r="978" spans="1:24" s="59" customFormat="1" ht="32.25" customHeight="1" x14ac:dyDescent="0.2">
      <c r="A978" s="200">
        <v>1018</v>
      </c>
      <c r="B978" s="61" t="s">
        <v>279</v>
      </c>
      <c r="C978" s="87">
        <v>1018</v>
      </c>
      <c r="D978" s="61" t="str">
        <f t="shared" si="34"/>
        <v>SUPERMIX1018</v>
      </c>
      <c r="E978" s="82" t="s">
        <v>3352</v>
      </c>
      <c r="F978" s="82" t="s">
        <v>3353</v>
      </c>
      <c r="G978" s="61" t="s">
        <v>341</v>
      </c>
      <c r="H978" s="60">
        <v>40799594</v>
      </c>
      <c r="I978" s="60" t="s">
        <v>3787</v>
      </c>
      <c r="J978" s="61" t="s">
        <v>3354</v>
      </c>
      <c r="K978" s="61" t="s">
        <v>3142</v>
      </c>
      <c r="L978" s="62">
        <v>43273</v>
      </c>
      <c r="M978" s="62">
        <v>46926</v>
      </c>
      <c r="N978" s="61">
        <f t="shared" ca="1" si="33"/>
        <v>-739</v>
      </c>
      <c r="O978" s="84" t="str">
        <f ca="1">IF(Tabla1[[#This Row],[|]]&gt;=0,"VENCIDA",IF(Tabla1[[#This Row],[|]]&gt;=-14,"POR VENCER","OK"))</f>
        <v>OK</v>
      </c>
      <c r="P978" s="60" t="s">
        <v>2827</v>
      </c>
      <c r="Q978" s="61" t="s">
        <v>3241</v>
      </c>
      <c r="R978" s="61" t="s">
        <v>317</v>
      </c>
      <c r="S978" s="61"/>
      <c r="T978" s="61"/>
      <c r="U978" s="61"/>
      <c r="V978" s="61" t="s">
        <v>1981</v>
      </c>
      <c r="W978" s="61" t="s">
        <v>3355</v>
      </c>
      <c r="X978" s="61" t="s">
        <v>3356</v>
      </c>
    </row>
    <row r="979" spans="1:24" s="63" customFormat="1" ht="32.25" customHeight="1" x14ac:dyDescent="0.2">
      <c r="A979" s="202">
        <v>1019</v>
      </c>
      <c r="B979" s="88" t="s">
        <v>279</v>
      </c>
      <c r="C979" s="89">
        <v>1019</v>
      </c>
      <c r="D979" s="88" t="str">
        <f t="shared" si="34"/>
        <v>SUPERMIX1019</v>
      </c>
      <c r="E979" s="58" t="s">
        <v>3357</v>
      </c>
      <c r="F979" s="58" t="s">
        <v>3358</v>
      </c>
      <c r="G979" s="88" t="s">
        <v>310</v>
      </c>
      <c r="H979" s="90">
        <v>46457188</v>
      </c>
      <c r="I979" s="90" t="s">
        <v>3787</v>
      </c>
      <c r="J979" s="88" t="s">
        <v>3359</v>
      </c>
      <c r="K979" s="88" t="s">
        <v>3142</v>
      </c>
      <c r="L979" s="91">
        <v>40274</v>
      </c>
      <c r="M979" s="91">
        <v>46848</v>
      </c>
      <c r="N979" s="88">
        <f t="shared" ca="1" si="33"/>
        <v>-661</v>
      </c>
      <c r="O979" s="84" t="str">
        <f ca="1">IF(Tabla1[[#This Row],[|]]&gt;=0,"VENCIDA",IF(Tabla1[[#This Row],[|]]&gt;=-14,"POR VENCER","OK"))</f>
        <v>OK</v>
      </c>
      <c r="P979" s="90" t="s">
        <v>2827</v>
      </c>
      <c r="Q979" s="88" t="s">
        <v>3241</v>
      </c>
      <c r="R979" s="88" t="s">
        <v>317</v>
      </c>
      <c r="S979" s="88"/>
      <c r="T979" s="88"/>
      <c r="U979" s="88"/>
      <c r="V979" s="88" t="s">
        <v>334</v>
      </c>
      <c r="W979" s="88" t="s">
        <v>2947</v>
      </c>
      <c r="X979" s="88" t="s">
        <v>2894</v>
      </c>
    </row>
    <row r="980" spans="1:24" s="63" customFormat="1" ht="32.25" customHeight="1" x14ac:dyDescent="0.2">
      <c r="A980" s="202">
        <v>1020</v>
      </c>
      <c r="B980" s="88" t="s">
        <v>279</v>
      </c>
      <c r="C980" s="89">
        <v>1020</v>
      </c>
      <c r="D980" s="88" t="str">
        <f t="shared" si="34"/>
        <v>SUPERMIX1020</v>
      </c>
      <c r="E980" s="58" t="s">
        <v>3360</v>
      </c>
      <c r="F980" s="58" t="s">
        <v>3361</v>
      </c>
      <c r="G980" s="88" t="s">
        <v>2825</v>
      </c>
      <c r="H980" s="90" t="s">
        <v>3362</v>
      </c>
      <c r="I980" s="90" t="s">
        <v>3787</v>
      </c>
      <c r="J980" s="88" t="s">
        <v>3363</v>
      </c>
      <c r="K980" s="88" t="s">
        <v>1954</v>
      </c>
      <c r="L980" s="91">
        <v>37740</v>
      </c>
      <c r="M980" s="91">
        <v>44733</v>
      </c>
      <c r="N980" s="88">
        <f t="shared" ca="1" si="33"/>
        <v>1454</v>
      </c>
      <c r="O980" s="84" t="str">
        <f ca="1">IF(Tabla1[[#This Row],[|]]&gt;=0,"VENCIDA",IF(Tabla1[[#This Row],[|]]&gt;=-14,"POR VENCER","OK"))</f>
        <v>VENCIDA</v>
      </c>
      <c r="P980" s="90" t="s">
        <v>3398</v>
      </c>
      <c r="Q980" s="88" t="s">
        <v>3241</v>
      </c>
      <c r="R980" s="88" t="s">
        <v>317</v>
      </c>
      <c r="S980" s="88"/>
      <c r="T980" s="88"/>
      <c r="U980" s="88"/>
      <c r="V980" s="88" t="s">
        <v>3364</v>
      </c>
      <c r="W980" s="88" t="s">
        <v>2947</v>
      </c>
      <c r="X980" s="88" t="s">
        <v>2960</v>
      </c>
    </row>
    <row r="981" spans="1:24" s="59" customFormat="1" ht="32.25" customHeight="1" x14ac:dyDescent="0.2">
      <c r="A981" s="200">
        <v>1021</v>
      </c>
      <c r="B981" s="61" t="s">
        <v>279</v>
      </c>
      <c r="C981" s="87">
        <v>1021</v>
      </c>
      <c r="D981" s="61" t="str">
        <f t="shared" si="34"/>
        <v>SUPERMIX1021</v>
      </c>
      <c r="E981" s="82" t="s">
        <v>3368</v>
      </c>
      <c r="F981" s="82" t="s">
        <v>3369</v>
      </c>
      <c r="G981" s="61" t="s">
        <v>341</v>
      </c>
      <c r="H981" s="60">
        <v>40190496</v>
      </c>
      <c r="I981" s="60" t="s">
        <v>3787</v>
      </c>
      <c r="J981" s="61" t="s">
        <v>3370</v>
      </c>
      <c r="K981" s="61" t="s">
        <v>3142</v>
      </c>
      <c r="L981" s="62">
        <v>41810</v>
      </c>
      <c r="M981" s="62">
        <v>47936</v>
      </c>
      <c r="N981" s="61">
        <f t="shared" ca="1" si="33"/>
        <v>-1749</v>
      </c>
      <c r="O981" s="84" t="str">
        <f ca="1">IF(Tabla1[[#This Row],[|]]&gt;=0,"VENCIDA",IF(Tabla1[[#This Row],[|]]&gt;=-14,"POR VENCER","OK"))</f>
        <v>OK</v>
      </c>
      <c r="P981" s="60" t="s">
        <v>2827</v>
      </c>
      <c r="Q981" s="61" t="s">
        <v>3241</v>
      </c>
      <c r="R981" s="61" t="s">
        <v>317</v>
      </c>
      <c r="S981" s="61"/>
      <c r="T981" s="61"/>
      <c r="U981" s="61"/>
      <c r="V981" s="61" t="s">
        <v>334</v>
      </c>
      <c r="W981" s="61" t="s">
        <v>2947</v>
      </c>
      <c r="X981" s="61" t="s">
        <v>3371</v>
      </c>
    </row>
    <row r="982" spans="1:24" s="43" customFormat="1" ht="32.25" customHeight="1" x14ac:dyDescent="0.2">
      <c r="A982" s="42">
        <v>1022</v>
      </c>
      <c r="B982" s="93" t="s">
        <v>279</v>
      </c>
      <c r="C982" s="94">
        <v>1022</v>
      </c>
      <c r="D982" s="93" t="str">
        <f t="shared" si="34"/>
        <v>SUPERMIX1022</v>
      </c>
      <c r="E982" s="115" t="s">
        <v>3372</v>
      </c>
      <c r="F982" s="115" t="s">
        <v>3373</v>
      </c>
      <c r="G982" s="93" t="s">
        <v>2825</v>
      </c>
      <c r="H982" s="95">
        <v>44479007</v>
      </c>
      <c r="I982" s="95" t="s">
        <v>3788</v>
      </c>
      <c r="J982" s="93" t="s">
        <v>3374</v>
      </c>
      <c r="K982" s="93" t="s">
        <v>2250</v>
      </c>
      <c r="L982" s="96">
        <v>41422</v>
      </c>
      <c r="M982" s="96">
        <v>46525</v>
      </c>
      <c r="N982" s="93">
        <f t="shared" ca="1" si="33"/>
        <v>-338</v>
      </c>
      <c r="O982" s="84" t="str">
        <f ca="1">IF(Tabla1[[#This Row],[|]]&gt;=0,"VENCIDA",IF(Tabla1[[#This Row],[|]]&gt;=-14,"POR VENCER","OK"))</f>
        <v>OK</v>
      </c>
      <c r="P982" s="95" t="s">
        <v>3723</v>
      </c>
      <c r="Q982" s="93" t="s">
        <v>312</v>
      </c>
      <c r="R982" s="93" t="s">
        <v>317</v>
      </c>
      <c r="S982" s="93"/>
      <c r="T982" s="93"/>
      <c r="U982" s="93"/>
      <c r="V982" s="93" t="s">
        <v>329</v>
      </c>
      <c r="W982" s="93" t="s">
        <v>511</v>
      </c>
      <c r="X982" s="93" t="s">
        <v>2893</v>
      </c>
    </row>
    <row r="983" spans="1:24" s="43" customFormat="1" ht="32.25" customHeight="1" x14ac:dyDescent="0.2">
      <c r="A983" s="42">
        <v>1023</v>
      </c>
      <c r="B983" s="93" t="s">
        <v>279</v>
      </c>
      <c r="C983" s="94">
        <v>1023</v>
      </c>
      <c r="D983" s="93" t="str">
        <f t="shared" si="34"/>
        <v>SUPERMIX1023</v>
      </c>
      <c r="E983" s="115" t="s">
        <v>3377</v>
      </c>
      <c r="F983" s="115" t="s">
        <v>3378</v>
      </c>
      <c r="G983" s="93" t="s">
        <v>2825</v>
      </c>
      <c r="H983" s="95">
        <v>29534220</v>
      </c>
      <c r="I983" s="95" t="s">
        <v>3788</v>
      </c>
      <c r="J983" s="93" t="s">
        <v>3379</v>
      </c>
      <c r="K983" s="93" t="s">
        <v>3142</v>
      </c>
      <c r="L983" s="96">
        <v>41982</v>
      </c>
      <c r="M983" s="96">
        <v>47818</v>
      </c>
      <c r="N983" s="93">
        <f t="shared" ca="1" si="33"/>
        <v>-1631</v>
      </c>
      <c r="O983" s="84" t="str">
        <f ca="1">IF(Tabla1[[#This Row],[|]]&gt;=0,"VENCIDA",IF(Tabla1[[#This Row],[|]]&gt;=-14,"POR VENCER","OK"))</f>
        <v>OK</v>
      </c>
      <c r="P983" s="95" t="s">
        <v>2827</v>
      </c>
      <c r="Q983" s="93" t="s">
        <v>3241</v>
      </c>
      <c r="R983" s="93" t="s">
        <v>317</v>
      </c>
      <c r="S983" s="93"/>
      <c r="T983" s="93"/>
      <c r="U983" s="93"/>
      <c r="V983" s="93" t="s">
        <v>329</v>
      </c>
      <c r="W983" s="93" t="s">
        <v>700</v>
      </c>
      <c r="X983" s="93" t="s">
        <v>2836</v>
      </c>
    </row>
    <row r="984" spans="1:24" s="63" customFormat="1" ht="32.25" customHeight="1" x14ac:dyDescent="0.2">
      <c r="A984" s="202">
        <v>1024</v>
      </c>
      <c r="B984" s="88" t="s">
        <v>279</v>
      </c>
      <c r="C984" s="89">
        <v>1024</v>
      </c>
      <c r="D984" s="88" t="str">
        <f t="shared" si="34"/>
        <v>SUPERMIX1024</v>
      </c>
      <c r="E984" s="58" t="s">
        <v>3383</v>
      </c>
      <c r="F984" s="58" t="s">
        <v>3384</v>
      </c>
      <c r="G984" s="88" t="s">
        <v>2825</v>
      </c>
      <c r="H984" s="90">
        <v>47643228</v>
      </c>
      <c r="I984" s="90" t="s">
        <v>3787</v>
      </c>
      <c r="J984" s="88" t="s">
        <v>3385</v>
      </c>
      <c r="K984" s="88" t="s">
        <v>1954</v>
      </c>
      <c r="L984" s="91">
        <v>43088</v>
      </c>
      <c r="M984" s="91">
        <v>46223</v>
      </c>
      <c r="N984" s="88">
        <f t="shared" ca="1" si="33"/>
        <v>-36</v>
      </c>
      <c r="O984" s="84" t="str">
        <f ca="1">IF(Tabla1[[#This Row],[|]]&gt;=0,"VENCIDA",IF(Tabla1[[#This Row],[|]]&gt;=-14,"POR VENCER","OK"))</f>
        <v>OK</v>
      </c>
      <c r="P984" s="90" t="s">
        <v>3009</v>
      </c>
      <c r="Q984" s="88" t="s">
        <v>3241</v>
      </c>
      <c r="R984" s="88" t="s">
        <v>317</v>
      </c>
      <c r="S984" s="88"/>
      <c r="T984" s="88"/>
      <c r="U984" s="88"/>
      <c r="V984" s="88" t="s">
        <v>282</v>
      </c>
      <c r="W984" s="88" t="s">
        <v>850</v>
      </c>
      <c r="X984" s="88" t="s">
        <v>2819</v>
      </c>
    </row>
    <row r="985" spans="1:24" s="63" customFormat="1" ht="32.25" customHeight="1" x14ac:dyDescent="0.2">
      <c r="A985" s="202">
        <v>1025</v>
      </c>
      <c r="B985" s="88" t="s">
        <v>279</v>
      </c>
      <c r="C985" s="89">
        <v>1025</v>
      </c>
      <c r="D985" s="88" t="str">
        <f t="shared" si="34"/>
        <v>SUPERMIX1025</v>
      </c>
      <c r="E985" s="58" t="s">
        <v>3386</v>
      </c>
      <c r="F985" s="58" t="s">
        <v>3387</v>
      </c>
      <c r="G985" s="88" t="s">
        <v>310</v>
      </c>
      <c r="H985" s="90">
        <v>47311138</v>
      </c>
      <c r="I985" s="90" t="s">
        <v>3787</v>
      </c>
      <c r="J985" s="88" t="s">
        <v>3388</v>
      </c>
      <c r="K985" s="88" t="s">
        <v>2092</v>
      </c>
      <c r="L985" s="91">
        <v>42669</v>
      </c>
      <c r="M985" s="91">
        <v>45636</v>
      </c>
      <c r="N985" s="88">
        <f t="shared" ca="1" si="33"/>
        <v>551</v>
      </c>
      <c r="O985" s="84" t="str">
        <f ca="1">IF(Tabla1[[#This Row],[|]]&gt;=0,"VENCIDA",IF(Tabla1[[#This Row],[|]]&gt;=-14,"POR VENCER","OK"))</f>
        <v>VENCIDA</v>
      </c>
      <c r="P985" s="90" t="s">
        <v>3507</v>
      </c>
      <c r="Q985" s="88" t="s">
        <v>3241</v>
      </c>
      <c r="R985" s="88" t="s">
        <v>17</v>
      </c>
      <c r="S985" s="88"/>
      <c r="T985" s="88"/>
      <c r="U985" s="88"/>
      <c r="V985" s="88" t="s">
        <v>282</v>
      </c>
      <c r="W985" s="88" t="s">
        <v>850</v>
      </c>
      <c r="X985" s="88" t="s">
        <v>640</v>
      </c>
    </row>
    <row r="986" spans="1:24" s="43" customFormat="1" ht="32.25" customHeight="1" x14ac:dyDescent="0.2">
      <c r="A986" s="42">
        <v>1026</v>
      </c>
      <c r="B986" s="93" t="s">
        <v>279</v>
      </c>
      <c r="C986" s="94">
        <v>1026</v>
      </c>
      <c r="D986" s="93" t="str">
        <f t="shared" si="34"/>
        <v>SUPERMIX1026</v>
      </c>
      <c r="E986" s="115" t="s">
        <v>3389</v>
      </c>
      <c r="F986" s="115" t="s">
        <v>2081</v>
      </c>
      <c r="G986" s="93" t="s">
        <v>2825</v>
      </c>
      <c r="H986" s="95">
        <v>44394414</v>
      </c>
      <c r="I986" s="95" t="s">
        <v>3788</v>
      </c>
      <c r="J986" s="93" t="s">
        <v>3390</v>
      </c>
      <c r="K986" s="93" t="s">
        <v>1954</v>
      </c>
      <c r="L986" s="96">
        <v>41990</v>
      </c>
      <c r="M986" s="96">
        <v>46147</v>
      </c>
      <c r="N986" s="93">
        <f t="shared" ca="1" si="33"/>
        <v>40</v>
      </c>
      <c r="O986" s="84" t="str">
        <f ca="1">IF(Tabla1[[#This Row],[|]]&gt;=0,"VENCIDA",IF(Tabla1[[#This Row],[|]]&gt;=-14,"POR VENCER","OK"))</f>
        <v>VENCIDA</v>
      </c>
      <c r="P986" s="95" t="s">
        <v>3421</v>
      </c>
      <c r="Q986" s="93" t="s">
        <v>3241</v>
      </c>
      <c r="R986" s="93" t="s">
        <v>17</v>
      </c>
      <c r="S986" s="93"/>
      <c r="T986" s="93"/>
      <c r="U986" s="93"/>
      <c r="V986" s="93" t="s">
        <v>3391</v>
      </c>
      <c r="W986" s="93" t="s">
        <v>850</v>
      </c>
      <c r="X986" s="204" t="s">
        <v>597</v>
      </c>
    </row>
    <row r="987" spans="1:24" s="63" customFormat="1" ht="32.25" customHeight="1" x14ac:dyDescent="0.2">
      <c r="A987" s="202">
        <v>1027</v>
      </c>
      <c r="B987" s="88" t="s">
        <v>279</v>
      </c>
      <c r="C987" s="89">
        <v>1027</v>
      </c>
      <c r="D987" s="88" t="str">
        <f t="shared" si="34"/>
        <v>SUPERMIX1027</v>
      </c>
      <c r="E987" s="58" t="s">
        <v>3392</v>
      </c>
      <c r="F987" s="58" t="s">
        <v>3393</v>
      </c>
      <c r="G987" s="88" t="s">
        <v>310</v>
      </c>
      <c r="H987" s="90">
        <v>73238398</v>
      </c>
      <c r="I987" s="90" t="s">
        <v>3787</v>
      </c>
      <c r="J987" s="88" t="s">
        <v>3394</v>
      </c>
      <c r="K987" s="88" t="s">
        <v>3142</v>
      </c>
      <c r="L987" s="91">
        <v>41562</v>
      </c>
      <c r="M987" s="91">
        <v>44484</v>
      </c>
      <c r="N987" s="88">
        <f t="shared" ca="1" si="33"/>
        <v>1703</v>
      </c>
      <c r="O987" s="84" t="str">
        <f ca="1">IF(Tabla1[[#This Row],[|]]&gt;=0,"VENCIDA",IF(Tabla1[[#This Row],[|]]&gt;=-14,"POR VENCER","OK"))</f>
        <v>VENCIDA</v>
      </c>
      <c r="P987" s="90" t="s">
        <v>2827</v>
      </c>
      <c r="Q987" s="88" t="s">
        <v>3241</v>
      </c>
      <c r="R987" s="88" t="s">
        <v>17</v>
      </c>
      <c r="S987" s="88"/>
      <c r="T987" s="88"/>
      <c r="U987" s="88"/>
      <c r="V987" s="88" t="s">
        <v>334</v>
      </c>
      <c r="W987" s="88" t="s">
        <v>2947</v>
      </c>
      <c r="X987" s="88" t="s">
        <v>3395</v>
      </c>
    </row>
    <row r="988" spans="1:24" s="43" customFormat="1" ht="32.25" customHeight="1" x14ac:dyDescent="0.2">
      <c r="A988" s="42">
        <v>1028</v>
      </c>
      <c r="B988" s="93" t="s">
        <v>279</v>
      </c>
      <c r="C988" s="94">
        <v>1028</v>
      </c>
      <c r="D988" s="93" t="str">
        <f t="shared" si="34"/>
        <v>SUPERMIX1028</v>
      </c>
      <c r="E988" s="115" t="s">
        <v>3403</v>
      </c>
      <c r="F988" s="115" t="s">
        <v>31</v>
      </c>
      <c r="G988" s="93" t="s">
        <v>2825</v>
      </c>
      <c r="H988" s="95">
        <v>46307367</v>
      </c>
      <c r="I988" s="95" t="s">
        <v>3788</v>
      </c>
      <c r="J988" s="93" t="s">
        <v>3404</v>
      </c>
      <c r="K988" s="93" t="s">
        <v>1961</v>
      </c>
      <c r="L988" s="96">
        <v>41673</v>
      </c>
      <c r="M988" s="96">
        <v>45684</v>
      </c>
      <c r="N988" s="93">
        <f t="shared" ca="1" si="33"/>
        <v>503</v>
      </c>
      <c r="O988" s="84" t="str">
        <f ca="1">IF(Tabla1[[#This Row],[|]]&gt;=0,"VENCIDA",IF(Tabla1[[#This Row],[|]]&gt;=-14,"POR VENCER","OK"))</f>
        <v>VENCIDA</v>
      </c>
      <c r="P988" s="95" t="s">
        <v>2778</v>
      </c>
      <c r="Q988" s="93" t="s">
        <v>3241</v>
      </c>
      <c r="R988" s="93" t="s">
        <v>317</v>
      </c>
      <c r="S988" s="93"/>
      <c r="T988" s="93"/>
      <c r="U988" s="93"/>
      <c r="V988" s="93" t="s">
        <v>2395</v>
      </c>
      <c r="W988" s="93" t="s">
        <v>850</v>
      </c>
      <c r="X988" s="93" t="s">
        <v>640</v>
      </c>
    </row>
    <row r="989" spans="1:24" s="43" customFormat="1" ht="32.25" customHeight="1" x14ac:dyDescent="0.2">
      <c r="A989" s="42">
        <v>1029</v>
      </c>
      <c r="B989" s="93" t="s">
        <v>279</v>
      </c>
      <c r="C989" s="94">
        <v>1029</v>
      </c>
      <c r="D989" s="93" t="str">
        <f t="shared" si="34"/>
        <v>SUPERMIX1029</v>
      </c>
      <c r="E989" s="115" t="s">
        <v>3405</v>
      </c>
      <c r="F989" s="115" t="s">
        <v>28</v>
      </c>
      <c r="G989" s="93" t="s">
        <v>310</v>
      </c>
      <c r="H989" s="95">
        <v>40796635</v>
      </c>
      <c r="I989" s="95" t="s">
        <v>3788</v>
      </c>
      <c r="J989" s="93" t="s">
        <v>3406</v>
      </c>
      <c r="K989" s="93" t="s">
        <v>3142</v>
      </c>
      <c r="L989" s="96">
        <v>38546</v>
      </c>
      <c r="M989" s="96">
        <v>45290</v>
      </c>
      <c r="N989" s="93">
        <f t="shared" ca="1" si="33"/>
        <v>897</v>
      </c>
      <c r="O989" s="84" t="str">
        <f ca="1">IF(Tabla1[[#This Row],[|]]&gt;=0,"VENCIDA",IF(Tabla1[[#This Row],[|]]&gt;=-14,"POR VENCER","OK"))</f>
        <v>VENCIDA</v>
      </c>
      <c r="P989" s="95" t="s">
        <v>2827</v>
      </c>
      <c r="Q989" s="93" t="s">
        <v>3241</v>
      </c>
      <c r="R989" s="93" t="s">
        <v>317</v>
      </c>
      <c r="S989" s="93"/>
      <c r="T989" s="93"/>
      <c r="U989" s="93"/>
      <c r="V989" s="93" t="s">
        <v>334</v>
      </c>
      <c r="W989" s="93" t="s">
        <v>2947</v>
      </c>
      <c r="X989" s="93" t="s">
        <v>2894</v>
      </c>
    </row>
    <row r="990" spans="1:24" s="63" customFormat="1" ht="32.25" customHeight="1" x14ac:dyDescent="0.2">
      <c r="A990" s="202">
        <v>1030</v>
      </c>
      <c r="B990" s="88" t="s">
        <v>279</v>
      </c>
      <c r="C990" s="89">
        <v>1030</v>
      </c>
      <c r="D990" s="88" t="str">
        <f t="shared" si="34"/>
        <v>SUPERMIX1030</v>
      </c>
      <c r="E990" s="58" t="s">
        <v>3407</v>
      </c>
      <c r="F990" s="58" t="s">
        <v>3408</v>
      </c>
      <c r="G990" s="88" t="s">
        <v>2825</v>
      </c>
      <c r="H990" s="90">
        <v>42017416</v>
      </c>
      <c r="I990" s="90" t="s">
        <v>3787</v>
      </c>
      <c r="J990" s="88" t="s">
        <v>3409</v>
      </c>
      <c r="K990" s="88" t="s">
        <v>2092</v>
      </c>
      <c r="L990" s="91">
        <v>41352</v>
      </c>
      <c r="M990" s="91">
        <v>44796</v>
      </c>
      <c r="N990" s="88">
        <f t="shared" ca="1" si="33"/>
        <v>1391</v>
      </c>
      <c r="O990" s="84" t="str">
        <f ca="1">IF(Tabla1[[#This Row],[|]]&gt;=0,"VENCIDA",IF(Tabla1[[#This Row],[|]]&gt;=-14,"POR VENCER","OK"))</f>
        <v>VENCIDA</v>
      </c>
      <c r="P990" s="90" t="s">
        <v>3423</v>
      </c>
      <c r="Q990" s="88" t="s">
        <v>3241</v>
      </c>
      <c r="R990" s="88" t="s">
        <v>317</v>
      </c>
      <c r="S990" s="88"/>
      <c r="T990" s="88"/>
      <c r="U990" s="88"/>
      <c r="V990" s="88" t="s">
        <v>329</v>
      </c>
      <c r="W990" s="88" t="s">
        <v>511</v>
      </c>
      <c r="X990" s="88" t="s">
        <v>3410</v>
      </c>
    </row>
    <row r="991" spans="1:24" s="63" customFormat="1" ht="32.25" customHeight="1" x14ac:dyDescent="0.2">
      <c r="A991" s="202">
        <v>1031</v>
      </c>
      <c r="B991" s="88" t="s">
        <v>279</v>
      </c>
      <c r="C991" s="89">
        <v>1031</v>
      </c>
      <c r="D991" s="88" t="str">
        <f t="shared" si="34"/>
        <v>SUPERMIX1031</v>
      </c>
      <c r="E991" s="58" t="s">
        <v>3411</v>
      </c>
      <c r="F991" s="58" t="s">
        <v>3412</v>
      </c>
      <c r="G991" s="88" t="s">
        <v>2825</v>
      </c>
      <c r="H991" s="90">
        <v>73486219</v>
      </c>
      <c r="I991" s="90" t="s">
        <v>3787</v>
      </c>
      <c r="J991" s="88" t="s">
        <v>3413</v>
      </c>
      <c r="K991" s="88" t="s">
        <v>1961</v>
      </c>
      <c r="L991" s="91">
        <v>42544</v>
      </c>
      <c r="M991" s="91">
        <v>44760</v>
      </c>
      <c r="N991" s="88">
        <f t="shared" ca="1" si="33"/>
        <v>1427</v>
      </c>
      <c r="O991" s="84" t="str">
        <f ca="1">IF(Tabla1[[#This Row],[|]]&gt;=0,"VENCIDA",IF(Tabla1[[#This Row],[|]]&gt;=-14,"POR VENCER","OK"))</f>
        <v>VENCIDA</v>
      </c>
      <c r="P991" s="90" t="s">
        <v>3414</v>
      </c>
      <c r="Q991" s="88" t="s">
        <v>3241</v>
      </c>
      <c r="R991" s="88" t="s">
        <v>317</v>
      </c>
      <c r="S991" s="88"/>
      <c r="T991" s="88"/>
      <c r="U991" s="88"/>
      <c r="V991" s="88" t="s">
        <v>1993</v>
      </c>
      <c r="W991" s="88" t="s">
        <v>850</v>
      </c>
      <c r="X991" s="88" t="s">
        <v>640</v>
      </c>
    </row>
    <row r="992" spans="1:24" s="43" customFormat="1" ht="32.25" customHeight="1" x14ac:dyDescent="0.2">
      <c r="A992" s="42">
        <v>1032</v>
      </c>
      <c r="B992" s="93" t="s">
        <v>279</v>
      </c>
      <c r="C992" s="94">
        <v>1032</v>
      </c>
      <c r="D992" s="93" t="str">
        <f t="shared" si="34"/>
        <v>SUPERMIX1032</v>
      </c>
      <c r="E992" s="115" t="s">
        <v>3415</v>
      </c>
      <c r="F992" s="115" t="s">
        <v>3416</v>
      </c>
      <c r="G992" s="93" t="s">
        <v>2825</v>
      </c>
      <c r="H992" s="95">
        <v>46057854</v>
      </c>
      <c r="I992" s="95" t="s">
        <v>3788</v>
      </c>
      <c r="J992" s="93" t="s">
        <v>3417</v>
      </c>
      <c r="K992" s="93" t="s">
        <v>3142</v>
      </c>
      <c r="L992" s="96">
        <v>41436</v>
      </c>
      <c r="M992" s="96">
        <v>47280</v>
      </c>
      <c r="N992" s="93">
        <f t="shared" ca="1" si="33"/>
        <v>-1093</v>
      </c>
      <c r="O992" s="84" t="str">
        <f ca="1">IF(Tabla1[[#This Row],[|]]&gt;=0,"VENCIDA",IF(Tabla1[[#This Row],[|]]&gt;=-14,"POR VENCER","OK"))</f>
        <v>OK</v>
      </c>
      <c r="P992" s="95" t="s">
        <v>2827</v>
      </c>
      <c r="Q992" s="93" t="s">
        <v>3241</v>
      </c>
      <c r="R992" s="93" t="s">
        <v>317</v>
      </c>
      <c r="S992" s="93"/>
      <c r="T992" s="93"/>
      <c r="U992" s="93"/>
      <c r="V992" s="93" t="s">
        <v>2973</v>
      </c>
      <c r="W992" s="93" t="s">
        <v>2835</v>
      </c>
      <c r="X992" s="93" t="s">
        <v>2898</v>
      </c>
    </row>
    <row r="993" spans="1:24" s="43" customFormat="1" ht="32.25" customHeight="1" x14ac:dyDescent="0.2">
      <c r="A993" s="42">
        <v>1033</v>
      </c>
      <c r="B993" s="93" t="s">
        <v>279</v>
      </c>
      <c r="C993" s="94">
        <v>1033</v>
      </c>
      <c r="D993" s="93" t="str">
        <f t="shared" si="34"/>
        <v>SUPERMIX1033</v>
      </c>
      <c r="E993" s="115" t="s">
        <v>3433</v>
      </c>
      <c r="F993" s="115" t="s">
        <v>3434</v>
      </c>
      <c r="G993" s="93" t="s">
        <v>2825</v>
      </c>
      <c r="H993" s="95">
        <v>72518754</v>
      </c>
      <c r="I993" s="95" t="s">
        <v>3788</v>
      </c>
      <c r="J993" s="93" t="s">
        <v>3435</v>
      </c>
      <c r="K993" s="93" t="s">
        <v>3142</v>
      </c>
      <c r="L993" s="96">
        <v>42745</v>
      </c>
      <c r="M993" s="96">
        <v>47154</v>
      </c>
      <c r="N993" s="93">
        <f t="shared" ca="1" si="33"/>
        <v>-967</v>
      </c>
      <c r="O993" s="84" t="str">
        <f ca="1">IF(Tabla1[[#This Row],[|]]&gt;=0,"VENCIDA",IF(Tabla1[[#This Row],[|]]&gt;=-14,"POR VENCER","OK"))</f>
        <v>OK</v>
      </c>
      <c r="P993" s="95" t="s">
        <v>2827</v>
      </c>
      <c r="Q993" s="93" t="s">
        <v>3241</v>
      </c>
      <c r="R993" s="93" t="s">
        <v>17</v>
      </c>
      <c r="S993" s="93"/>
      <c r="T993" s="93"/>
      <c r="U993" s="93"/>
      <c r="V993" s="93" t="s">
        <v>1928</v>
      </c>
      <c r="W993" s="93" t="s">
        <v>850</v>
      </c>
      <c r="X993" s="93" t="s">
        <v>3015</v>
      </c>
    </row>
    <row r="994" spans="1:24" s="63" customFormat="1" ht="32.25" customHeight="1" x14ac:dyDescent="0.2">
      <c r="A994" s="202">
        <v>1034</v>
      </c>
      <c r="B994" s="88" t="s">
        <v>279</v>
      </c>
      <c r="C994" s="89">
        <v>1034</v>
      </c>
      <c r="D994" s="88" t="str">
        <f t="shared" si="34"/>
        <v>SUPERMIX1034</v>
      </c>
      <c r="E994" s="58" t="s">
        <v>3436</v>
      </c>
      <c r="F994" s="58" t="s">
        <v>3437</v>
      </c>
      <c r="G994" s="88" t="s">
        <v>2825</v>
      </c>
      <c r="H994" s="90">
        <v>73444266</v>
      </c>
      <c r="I994" s="90" t="s">
        <v>3787</v>
      </c>
      <c r="J994" s="88" t="s">
        <v>3438</v>
      </c>
      <c r="K994" s="88" t="s">
        <v>1954</v>
      </c>
      <c r="L994" s="91">
        <v>43789</v>
      </c>
      <c r="M994" s="91">
        <v>46329</v>
      </c>
      <c r="N994" s="88">
        <f t="shared" ca="1" si="33"/>
        <v>-142</v>
      </c>
      <c r="O994" s="84" t="str">
        <f ca="1">IF(Tabla1[[#This Row],[|]]&gt;=0,"VENCIDA",IF(Tabla1[[#This Row],[|]]&gt;=-14,"POR VENCER","OK"))</f>
        <v>OK</v>
      </c>
      <c r="P994" s="90" t="s">
        <v>3444</v>
      </c>
      <c r="Q994" s="88" t="s">
        <v>3241</v>
      </c>
      <c r="R994" s="88" t="s">
        <v>317</v>
      </c>
      <c r="S994" s="88"/>
      <c r="T994" s="88"/>
      <c r="U994" s="88"/>
      <c r="V994" s="88" t="s">
        <v>2677</v>
      </c>
      <c r="W994" s="88" t="s">
        <v>3429</v>
      </c>
      <c r="X994" s="88" t="s">
        <v>2019</v>
      </c>
    </row>
    <row r="995" spans="1:24" s="63" customFormat="1" ht="32.25" customHeight="1" x14ac:dyDescent="0.2">
      <c r="A995" s="202">
        <v>1035</v>
      </c>
      <c r="B995" s="88" t="s">
        <v>279</v>
      </c>
      <c r="C995" s="89">
        <v>1035</v>
      </c>
      <c r="D995" s="88" t="str">
        <f t="shared" si="34"/>
        <v>SUPERMIX1035</v>
      </c>
      <c r="E995" s="58" t="s">
        <v>3426</v>
      </c>
      <c r="F995" s="58" t="s">
        <v>3427</v>
      </c>
      <c r="G995" s="88" t="s">
        <v>310</v>
      </c>
      <c r="H995" s="90">
        <v>71432322</v>
      </c>
      <c r="I995" s="90" t="s">
        <v>3788</v>
      </c>
      <c r="J995" s="88" t="s">
        <v>3428</v>
      </c>
      <c r="K995" s="88" t="s">
        <v>1954</v>
      </c>
      <c r="L995" s="91">
        <v>44705</v>
      </c>
      <c r="M995" s="91">
        <v>46531</v>
      </c>
      <c r="N995" s="88">
        <f t="shared" ca="1" si="33"/>
        <v>-344</v>
      </c>
      <c r="O995" s="84" t="str">
        <f ca="1">IF(Tabla1[[#This Row],[|]]&gt;=0,"VENCIDA",IF(Tabla1[[#This Row],[|]]&gt;=-14,"POR VENCER","OK"))</f>
        <v>OK</v>
      </c>
      <c r="P995" s="90" t="s">
        <v>2827</v>
      </c>
      <c r="Q995" s="88" t="s">
        <v>3241</v>
      </c>
      <c r="R995" s="88" t="s">
        <v>317</v>
      </c>
      <c r="S995" s="88"/>
      <c r="T995" s="88"/>
      <c r="U995" s="88"/>
      <c r="V995" s="88" t="s">
        <v>2922</v>
      </c>
      <c r="W995" s="88" t="s">
        <v>2776</v>
      </c>
      <c r="X995" s="88" t="s">
        <v>824</v>
      </c>
    </row>
    <row r="996" spans="1:24" s="43" customFormat="1" ht="32.25" customHeight="1" x14ac:dyDescent="0.2">
      <c r="A996" s="42">
        <v>1036</v>
      </c>
      <c r="B996" s="93" t="s">
        <v>279</v>
      </c>
      <c r="C996" s="94">
        <v>1036</v>
      </c>
      <c r="D996" s="93" t="str">
        <f t="shared" si="34"/>
        <v>SUPERMIX1036</v>
      </c>
      <c r="E996" s="115" t="s">
        <v>3430</v>
      </c>
      <c r="F996" s="115" t="s">
        <v>3431</v>
      </c>
      <c r="G996" s="93" t="s">
        <v>2825</v>
      </c>
      <c r="H996" s="95">
        <v>75539923</v>
      </c>
      <c r="I996" s="95" t="s">
        <v>3788</v>
      </c>
      <c r="J996" s="93" t="s">
        <v>3432</v>
      </c>
      <c r="K996" s="93" t="s">
        <v>3142</v>
      </c>
      <c r="L996" s="96">
        <v>43789</v>
      </c>
      <c r="M996" s="96">
        <v>47442</v>
      </c>
      <c r="N996" s="93">
        <f t="shared" ca="1" si="33"/>
        <v>-1255</v>
      </c>
      <c r="O996" s="84" t="str">
        <f ca="1">IF(Tabla1[[#This Row],[|]]&gt;=0,"VENCIDA",IF(Tabla1[[#This Row],[|]]&gt;=-14,"POR VENCER","OK"))</f>
        <v>OK</v>
      </c>
      <c r="P996" s="95" t="s">
        <v>2827</v>
      </c>
      <c r="Q996" s="93" t="s">
        <v>3241</v>
      </c>
      <c r="R996" s="93" t="s">
        <v>317</v>
      </c>
      <c r="S996" s="93"/>
      <c r="T996" s="93"/>
      <c r="U996" s="93"/>
      <c r="V996" s="93" t="s">
        <v>334</v>
      </c>
      <c r="W996" s="93" t="s">
        <v>2947</v>
      </c>
      <c r="X996" s="93" t="s">
        <v>3191</v>
      </c>
    </row>
    <row r="997" spans="1:24" s="63" customFormat="1" ht="32.25" customHeight="1" x14ac:dyDescent="0.2">
      <c r="A997" s="202">
        <v>1037</v>
      </c>
      <c r="B997" s="88" t="s">
        <v>279</v>
      </c>
      <c r="C997" s="89">
        <v>1037</v>
      </c>
      <c r="D997" s="88" t="str">
        <f t="shared" si="34"/>
        <v>SUPERMIX1037</v>
      </c>
      <c r="E997" s="58" t="s">
        <v>3440</v>
      </c>
      <c r="F997" s="58" t="s">
        <v>3441</v>
      </c>
      <c r="G997" s="88" t="s">
        <v>2825</v>
      </c>
      <c r="H997" s="90">
        <v>43928680</v>
      </c>
      <c r="I997" s="90" t="s">
        <v>3787</v>
      </c>
      <c r="J997" s="88" t="s">
        <v>3442</v>
      </c>
      <c r="K997" s="88" t="s">
        <v>3443</v>
      </c>
      <c r="L997" s="91">
        <v>42388</v>
      </c>
      <c r="M997" s="91">
        <v>46394</v>
      </c>
      <c r="N997" s="88">
        <f t="shared" ca="1" si="33"/>
        <v>-207</v>
      </c>
      <c r="O997" s="84" t="str">
        <f ca="1">IF(Tabla1[[#This Row],[|]]&gt;=0,"VENCIDA",IF(Tabla1[[#This Row],[|]]&gt;=-14,"POR VENCER","OK"))</f>
        <v>OK</v>
      </c>
      <c r="P997" s="90" t="s">
        <v>3326</v>
      </c>
      <c r="Q997" s="88" t="s">
        <v>3241</v>
      </c>
      <c r="R997" s="88" t="s">
        <v>17</v>
      </c>
      <c r="S997" s="88"/>
      <c r="T997" s="88"/>
      <c r="U997" s="88"/>
      <c r="V997" s="88" t="s">
        <v>1939</v>
      </c>
      <c r="W997" s="88" t="s">
        <v>3429</v>
      </c>
      <c r="X997" s="88" t="s">
        <v>640</v>
      </c>
    </row>
    <row r="998" spans="1:24" s="63" customFormat="1" ht="32.25" customHeight="1" x14ac:dyDescent="0.2">
      <c r="A998" s="202">
        <v>1038</v>
      </c>
      <c r="B998" s="88" t="s">
        <v>279</v>
      </c>
      <c r="C998" s="89">
        <v>1038</v>
      </c>
      <c r="D998" s="88" t="str">
        <f t="shared" si="34"/>
        <v>SUPERMIX1038</v>
      </c>
      <c r="E998" s="58" t="s">
        <v>3445</v>
      </c>
      <c r="F998" s="58" t="s">
        <v>3446</v>
      </c>
      <c r="G998" s="88" t="s">
        <v>2825</v>
      </c>
      <c r="H998" s="90">
        <v>43529756</v>
      </c>
      <c r="I998" s="90" t="s">
        <v>3787</v>
      </c>
      <c r="J998" s="88" t="s">
        <v>3447</v>
      </c>
      <c r="K998" s="88" t="s">
        <v>1954</v>
      </c>
      <c r="L998" s="91">
        <v>41675</v>
      </c>
      <c r="M998" s="91">
        <v>45667</v>
      </c>
      <c r="N998" s="88">
        <f t="shared" ca="1" si="33"/>
        <v>520</v>
      </c>
      <c r="O998" s="84" t="str">
        <f ca="1">IF(Tabla1[[#This Row],[|]]&gt;=0,"VENCIDA",IF(Tabla1[[#This Row],[|]]&gt;=-14,"POR VENCER","OK"))</f>
        <v>VENCIDA</v>
      </c>
      <c r="P998" s="90" t="s">
        <v>2827</v>
      </c>
      <c r="Q998" s="90" t="s">
        <v>312</v>
      </c>
      <c r="R998" s="88" t="s">
        <v>317</v>
      </c>
      <c r="S998" s="88"/>
      <c r="T998" s="88"/>
      <c r="U998" s="88"/>
      <c r="V998" s="88" t="s">
        <v>282</v>
      </c>
      <c r="W998" s="88" t="s">
        <v>850</v>
      </c>
      <c r="X998" s="88" t="s">
        <v>824</v>
      </c>
    </row>
    <row r="999" spans="1:24" s="63" customFormat="1" ht="32.25" customHeight="1" x14ac:dyDescent="0.2">
      <c r="A999" s="202">
        <v>1039</v>
      </c>
      <c r="B999" s="88" t="s">
        <v>279</v>
      </c>
      <c r="C999" s="89">
        <v>1039</v>
      </c>
      <c r="D999" s="88" t="str">
        <f t="shared" si="34"/>
        <v>SUPERMIX1039</v>
      </c>
      <c r="E999" s="58" t="s">
        <v>3449</v>
      </c>
      <c r="F999" s="58" t="s">
        <v>176</v>
      </c>
      <c r="G999" s="88" t="s">
        <v>2825</v>
      </c>
      <c r="H999" s="90">
        <v>43557164</v>
      </c>
      <c r="I999" s="90" t="s">
        <v>3787</v>
      </c>
      <c r="J999" s="88" t="s">
        <v>3450</v>
      </c>
      <c r="K999" s="88" t="s">
        <v>1954</v>
      </c>
      <c r="L999" s="91">
        <v>41565</v>
      </c>
      <c r="M999" s="91">
        <v>44852</v>
      </c>
      <c r="N999" s="88">
        <f t="shared" ca="1" si="33"/>
        <v>1335</v>
      </c>
      <c r="O999" s="84" t="str">
        <f ca="1">IF(Tabla1[[#This Row],[|]]&gt;=0,"VENCIDA",IF(Tabla1[[#This Row],[|]]&gt;=-14,"POR VENCER","OK"))</f>
        <v>VENCIDA</v>
      </c>
      <c r="P999" s="90" t="s">
        <v>2827</v>
      </c>
      <c r="Q999" s="90" t="s">
        <v>312</v>
      </c>
      <c r="R999" s="88" t="s">
        <v>17</v>
      </c>
      <c r="S999" s="88"/>
      <c r="T999" s="88"/>
      <c r="U999" s="88"/>
      <c r="V999" s="88" t="s">
        <v>282</v>
      </c>
      <c r="W999" s="88" t="s">
        <v>850</v>
      </c>
      <c r="X999" s="88" t="s">
        <v>824</v>
      </c>
    </row>
    <row r="1000" spans="1:24" s="63" customFormat="1" ht="32.25" customHeight="1" x14ac:dyDescent="0.2">
      <c r="A1000" s="202">
        <v>1040</v>
      </c>
      <c r="B1000" s="88" t="s">
        <v>279</v>
      </c>
      <c r="C1000" s="89">
        <v>1040</v>
      </c>
      <c r="D1000" s="88" t="str">
        <f t="shared" si="34"/>
        <v>SUPERMIX1040</v>
      </c>
      <c r="E1000" s="58" t="s">
        <v>3451</v>
      </c>
      <c r="F1000" s="58" t="s">
        <v>803</v>
      </c>
      <c r="G1000" s="88" t="s">
        <v>2825</v>
      </c>
      <c r="H1000" s="90">
        <v>42349603</v>
      </c>
      <c r="I1000" s="90" t="s">
        <v>3787</v>
      </c>
      <c r="J1000" s="88" t="s">
        <v>3452</v>
      </c>
      <c r="K1000" s="88" t="s">
        <v>1954</v>
      </c>
      <c r="L1000" s="91">
        <v>40508</v>
      </c>
      <c r="M1000" s="91">
        <v>44957</v>
      </c>
      <c r="N1000" s="88">
        <f t="shared" ca="1" si="33"/>
        <v>1230</v>
      </c>
      <c r="O1000" s="84" t="str">
        <f ca="1">IF(Tabla1[[#This Row],[|]]&gt;=0,"VENCIDA",IF(Tabla1[[#This Row],[|]]&gt;=-14,"POR VENCER","OK"))</f>
        <v>VENCIDA</v>
      </c>
      <c r="P1000" s="90" t="s">
        <v>3453</v>
      </c>
      <c r="Q1000" s="90" t="s">
        <v>312</v>
      </c>
      <c r="R1000" s="88" t="s">
        <v>17</v>
      </c>
      <c r="S1000" s="88"/>
      <c r="T1000" s="88"/>
      <c r="U1000" s="88"/>
      <c r="V1000" s="88" t="s">
        <v>282</v>
      </c>
      <c r="W1000" s="88" t="s">
        <v>850</v>
      </c>
      <c r="X1000" s="88" t="s">
        <v>3232</v>
      </c>
    </row>
    <row r="1001" spans="1:24" s="63" customFormat="1" ht="32.25" customHeight="1" x14ac:dyDescent="0.2">
      <c r="A1001" s="202">
        <v>1041</v>
      </c>
      <c r="B1001" s="88" t="s">
        <v>279</v>
      </c>
      <c r="C1001" s="89">
        <v>1041</v>
      </c>
      <c r="D1001" s="88" t="str">
        <f t="shared" si="34"/>
        <v>SUPERMIX1041</v>
      </c>
      <c r="E1001" s="58" t="s">
        <v>3454</v>
      </c>
      <c r="F1001" s="58" t="s">
        <v>3455</v>
      </c>
      <c r="G1001" s="88" t="s">
        <v>2825</v>
      </c>
      <c r="H1001" s="90">
        <v>72566240</v>
      </c>
      <c r="I1001" s="90" t="s">
        <v>3787</v>
      </c>
      <c r="J1001" s="88" t="s">
        <v>3456</v>
      </c>
      <c r="K1001" s="88" t="s">
        <v>3625</v>
      </c>
      <c r="L1001" s="91">
        <v>44239</v>
      </c>
      <c r="M1001" s="91">
        <v>46065</v>
      </c>
      <c r="N1001" s="88">
        <f t="shared" ref="N1001:N1064" ca="1" si="35">TODAY()-M1001</f>
        <v>122</v>
      </c>
      <c r="O1001" s="84" t="str">
        <f ca="1">IF(Tabla1[[#This Row],[|]]&gt;=0,"VENCIDA",IF(Tabla1[[#This Row],[|]]&gt;=-14,"POR VENCER","OK"))</f>
        <v>VENCIDA</v>
      </c>
      <c r="P1001" s="60" t="s">
        <v>2778</v>
      </c>
      <c r="Q1001" s="90" t="s">
        <v>312</v>
      </c>
      <c r="R1001" s="88" t="s">
        <v>317</v>
      </c>
      <c r="S1001" s="88"/>
      <c r="T1001" s="88"/>
      <c r="U1001" s="88"/>
      <c r="V1001" s="88" t="s">
        <v>282</v>
      </c>
      <c r="W1001" s="88" t="s">
        <v>850</v>
      </c>
      <c r="X1001" s="88" t="s">
        <v>640</v>
      </c>
    </row>
    <row r="1002" spans="1:24" s="63" customFormat="1" ht="32.25" customHeight="1" x14ac:dyDescent="0.2">
      <c r="A1002" s="202">
        <v>1042</v>
      </c>
      <c r="B1002" s="88" t="s">
        <v>279</v>
      </c>
      <c r="C1002" s="89">
        <v>1042</v>
      </c>
      <c r="D1002" s="88" t="str">
        <f t="shared" si="34"/>
        <v>SUPERMIX1042</v>
      </c>
      <c r="E1002" s="58" t="s">
        <v>3457</v>
      </c>
      <c r="F1002" s="58" t="s">
        <v>3458</v>
      </c>
      <c r="G1002" s="88" t="s">
        <v>2825</v>
      </c>
      <c r="H1002" s="90">
        <v>41961569</v>
      </c>
      <c r="I1002" s="90" t="s">
        <v>3787</v>
      </c>
      <c r="J1002" s="88" t="s">
        <v>3459</v>
      </c>
      <c r="K1002" s="88" t="s">
        <v>1954</v>
      </c>
      <c r="L1002" s="91">
        <v>41670</v>
      </c>
      <c r="M1002" s="91">
        <v>44872</v>
      </c>
      <c r="N1002" s="88">
        <f t="shared" ca="1" si="35"/>
        <v>1315</v>
      </c>
      <c r="O1002" s="84" t="str">
        <f ca="1">IF(Tabla1[[#This Row],[|]]&gt;=0,"VENCIDA",IF(Tabla1[[#This Row],[|]]&gt;=-14,"POR VENCER","OK"))</f>
        <v>VENCIDA</v>
      </c>
      <c r="P1002" s="90" t="s">
        <v>2847</v>
      </c>
      <c r="Q1002" s="90" t="s">
        <v>312</v>
      </c>
      <c r="R1002" s="88" t="s">
        <v>17</v>
      </c>
      <c r="S1002" s="88"/>
      <c r="T1002" s="88"/>
      <c r="U1002" s="88"/>
      <c r="V1002" s="88" t="s">
        <v>282</v>
      </c>
      <c r="W1002" s="88" t="s">
        <v>850</v>
      </c>
      <c r="X1002" s="88" t="s">
        <v>597</v>
      </c>
    </row>
    <row r="1003" spans="1:24" s="63" customFormat="1" ht="32.25" customHeight="1" x14ac:dyDescent="0.2">
      <c r="A1003" s="202">
        <v>1043</v>
      </c>
      <c r="B1003" s="88" t="s">
        <v>279</v>
      </c>
      <c r="C1003" s="89">
        <v>1043</v>
      </c>
      <c r="D1003" s="88" t="str">
        <f t="shared" si="34"/>
        <v>SUPERMIX1043</v>
      </c>
      <c r="E1003" s="58" t="s">
        <v>3460</v>
      </c>
      <c r="F1003" s="58" t="s">
        <v>3461</v>
      </c>
      <c r="G1003" s="88" t="s">
        <v>2825</v>
      </c>
      <c r="H1003" s="90">
        <v>44942035</v>
      </c>
      <c r="I1003" s="90" t="s">
        <v>3787</v>
      </c>
      <c r="J1003" s="88" t="s">
        <v>3462</v>
      </c>
      <c r="K1003" s="88" t="s">
        <v>1954</v>
      </c>
      <c r="L1003" s="91">
        <v>42151</v>
      </c>
      <c r="M1003" s="91">
        <v>46111</v>
      </c>
      <c r="N1003" s="88">
        <f t="shared" ca="1" si="35"/>
        <v>76</v>
      </c>
      <c r="O1003" s="84" t="str">
        <f ca="1">IF(Tabla1[[#This Row],[|]]&gt;=0,"VENCIDA",IF(Tabla1[[#This Row],[|]]&gt;=-14,"POR VENCER","OK"))</f>
        <v>VENCIDA</v>
      </c>
      <c r="P1003" s="90" t="s">
        <v>2847</v>
      </c>
      <c r="Q1003" s="90" t="s">
        <v>312</v>
      </c>
      <c r="R1003" s="88" t="s">
        <v>317</v>
      </c>
      <c r="S1003" s="88"/>
      <c r="T1003" s="88"/>
      <c r="U1003" s="88"/>
      <c r="V1003" s="88" t="s">
        <v>282</v>
      </c>
      <c r="W1003" s="88" t="s">
        <v>850</v>
      </c>
      <c r="X1003" s="88" t="s">
        <v>597</v>
      </c>
    </row>
    <row r="1004" spans="1:24" s="63" customFormat="1" ht="32.25" customHeight="1" x14ac:dyDescent="0.2">
      <c r="A1004" s="202">
        <v>1044</v>
      </c>
      <c r="B1004" s="88" t="s">
        <v>279</v>
      </c>
      <c r="C1004" s="89">
        <v>1044</v>
      </c>
      <c r="D1004" s="88" t="str">
        <f t="shared" si="34"/>
        <v>SUPERMIX1044</v>
      </c>
      <c r="E1004" s="58" t="s">
        <v>3463</v>
      </c>
      <c r="F1004" s="58" t="s">
        <v>3464</v>
      </c>
      <c r="G1004" s="88" t="s">
        <v>2825</v>
      </c>
      <c r="H1004" s="90">
        <v>43475208</v>
      </c>
      <c r="I1004" s="90" t="s">
        <v>3787</v>
      </c>
      <c r="J1004" s="88" t="s">
        <v>3465</v>
      </c>
      <c r="K1004" s="88" t="s">
        <v>1954</v>
      </c>
      <c r="L1004" s="91">
        <v>42075</v>
      </c>
      <c r="M1004" s="91">
        <v>46184</v>
      </c>
      <c r="N1004" s="88">
        <f t="shared" ca="1" si="35"/>
        <v>3</v>
      </c>
      <c r="O1004" s="84" t="str">
        <f ca="1">IF(Tabla1[[#This Row],[|]]&gt;=0,"VENCIDA",IF(Tabla1[[#This Row],[|]]&gt;=-14,"POR VENCER","OK"))</f>
        <v>VENCIDA</v>
      </c>
      <c r="P1004" s="90" t="s">
        <v>2778</v>
      </c>
      <c r="Q1004" s="90" t="s">
        <v>312</v>
      </c>
      <c r="R1004" s="88" t="s">
        <v>17</v>
      </c>
      <c r="S1004" s="88"/>
      <c r="T1004" s="88"/>
      <c r="U1004" s="88"/>
      <c r="V1004" s="88" t="s">
        <v>1939</v>
      </c>
      <c r="W1004" s="88" t="s">
        <v>3429</v>
      </c>
      <c r="X1004" s="88" t="s">
        <v>640</v>
      </c>
    </row>
    <row r="1005" spans="1:24" s="63" customFormat="1" ht="32.25" customHeight="1" x14ac:dyDescent="0.2">
      <c r="A1005" s="202">
        <v>1045</v>
      </c>
      <c r="B1005" s="88" t="s">
        <v>279</v>
      </c>
      <c r="C1005" s="89">
        <v>1045</v>
      </c>
      <c r="D1005" s="88" t="str">
        <f t="shared" si="34"/>
        <v>SUPERMIX1045</v>
      </c>
      <c r="E1005" s="58" t="s">
        <v>3467</v>
      </c>
      <c r="F1005" s="58" t="s">
        <v>3468</v>
      </c>
      <c r="G1005" s="88" t="s">
        <v>2825</v>
      </c>
      <c r="H1005" s="90">
        <v>48310938</v>
      </c>
      <c r="I1005" s="90" t="s">
        <v>3787</v>
      </c>
      <c r="J1005" s="88" t="s">
        <v>3469</v>
      </c>
      <c r="K1005" s="88" t="s">
        <v>1954</v>
      </c>
      <c r="L1005" s="91">
        <v>43388</v>
      </c>
      <c r="M1005" s="91">
        <v>46369</v>
      </c>
      <c r="N1005" s="88">
        <f t="shared" ca="1" si="35"/>
        <v>-182</v>
      </c>
      <c r="O1005" s="84" t="str">
        <f ca="1">IF(Tabla1[[#This Row],[|]]&gt;=0,"VENCIDA",IF(Tabla1[[#This Row],[|]]&gt;=-14,"POR VENCER","OK"))</f>
        <v>OK</v>
      </c>
      <c r="P1005" s="90" t="s">
        <v>2847</v>
      </c>
      <c r="Q1005" s="90" t="s">
        <v>312</v>
      </c>
      <c r="R1005" s="88" t="s">
        <v>17</v>
      </c>
      <c r="S1005" s="88"/>
      <c r="T1005" s="88"/>
      <c r="U1005" s="88"/>
      <c r="V1005" s="88" t="s">
        <v>282</v>
      </c>
      <c r="W1005" s="88" t="s">
        <v>850</v>
      </c>
      <c r="X1005" s="88" t="s">
        <v>597</v>
      </c>
    </row>
    <row r="1006" spans="1:24" s="43" customFormat="1" ht="32.25" customHeight="1" x14ac:dyDescent="0.2">
      <c r="A1006" s="42">
        <v>1046</v>
      </c>
      <c r="B1006" s="93" t="s">
        <v>279</v>
      </c>
      <c r="C1006" s="94">
        <v>1046</v>
      </c>
      <c r="D1006" s="93" t="str">
        <f t="shared" si="34"/>
        <v>SUPERMIX1046</v>
      </c>
      <c r="E1006" s="115" t="s">
        <v>3470</v>
      </c>
      <c r="F1006" s="115" t="s">
        <v>3471</v>
      </c>
      <c r="G1006" s="93" t="s">
        <v>2825</v>
      </c>
      <c r="H1006" s="95">
        <v>42770393</v>
      </c>
      <c r="I1006" s="95" t="s">
        <v>3788</v>
      </c>
      <c r="J1006" s="93" t="s">
        <v>3472</v>
      </c>
      <c r="K1006" s="93" t="s">
        <v>1954</v>
      </c>
      <c r="L1006" s="96">
        <v>41904</v>
      </c>
      <c r="M1006" s="96">
        <v>45953</v>
      </c>
      <c r="N1006" s="93">
        <f t="shared" ca="1" si="35"/>
        <v>234</v>
      </c>
      <c r="O1006" s="84" t="str">
        <f ca="1">IF(Tabla1[[#This Row],[|]]&gt;=0,"VENCIDA",IF(Tabla1[[#This Row],[|]]&gt;=-14,"POR VENCER","OK"))</f>
        <v>VENCIDA</v>
      </c>
      <c r="P1006" s="95" t="s">
        <v>2847</v>
      </c>
      <c r="Q1006" s="95" t="s">
        <v>312</v>
      </c>
      <c r="R1006" s="93" t="s">
        <v>17</v>
      </c>
      <c r="S1006" s="93"/>
      <c r="T1006" s="93"/>
      <c r="U1006" s="93"/>
      <c r="V1006" s="93" t="s">
        <v>282</v>
      </c>
      <c r="W1006" s="93" t="s">
        <v>850</v>
      </c>
      <c r="X1006" s="204" t="s">
        <v>597</v>
      </c>
    </row>
    <row r="1007" spans="1:24" s="43" customFormat="1" ht="32.25" customHeight="1" x14ac:dyDescent="0.2">
      <c r="A1007" s="42">
        <v>1047</v>
      </c>
      <c r="B1007" s="93" t="s">
        <v>279</v>
      </c>
      <c r="C1007" s="94">
        <v>1047</v>
      </c>
      <c r="D1007" s="93" t="str">
        <f t="shared" si="34"/>
        <v>SUPERMIX1047</v>
      </c>
      <c r="E1007" s="115" t="s">
        <v>3473</v>
      </c>
      <c r="F1007" s="115" t="s">
        <v>3474</v>
      </c>
      <c r="G1007" s="93" t="s">
        <v>2825</v>
      </c>
      <c r="H1007" s="95">
        <v>43133034</v>
      </c>
      <c r="I1007" s="95" t="s">
        <v>3788</v>
      </c>
      <c r="J1007" s="93" t="s">
        <v>3475</v>
      </c>
      <c r="K1007" s="93" t="s">
        <v>1954</v>
      </c>
      <c r="L1007" s="96">
        <v>41717</v>
      </c>
      <c r="M1007" s="96">
        <v>45692</v>
      </c>
      <c r="N1007" s="93">
        <f t="shared" ca="1" si="35"/>
        <v>495</v>
      </c>
      <c r="O1007" s="84" t="str">
        <f ca="1">IF(Tabla1[[#This Row],[|]]&gt;=0,"VENCIDA",IF(Tabla1[[#This Row],[|]]&gt;=-14,"POR VENCER","OK"))</f>
        <v>VENCIDA</v>
      </c>
      <c r="P1007" s="95" t="s">
        <v>3173</v>
      </c>
      <c r="Q1007" s="95" t="s">
        <v>312</v>
      </c>
      <c r="R1007" s="93" t="s">
        <v>317</v>
      </c>
      <c r="S1007" s="93"/>
      <c r="T1007" s="93"/>
      <c r="U1007" s="93"/>
      <c r="V1007" s="93" t="s">
        <v>282</v>
      </c>
      <c r="W1007" s="93" t="s">
        <v>850</v>
      </c>
      <c r="X1007" s="204" t="s">
        <v>597</v>
      </c>
    </row>
    <row r="1008" spans="1:24" s="63" customFormat="1" ht="32.25" customHeight="1" x14ac:dyDescent="0.2">
      <c r="A1008" s="202">
        <v>1048</v>
      </c>
      <c r="B1008" s="88" t="s">
        <v>279</v>
      </c>
      <c r="C1008" s="89">
        <v>1048</v>
      </c>
      <c r="D1008" s="88" t="str">
        <f t="shared" si="34"/>
        <v>SUPERMIX1048</v>
      </c>
      <c r="E1008" s="58" t="s">
        <v>3476</v>
      </c>
      <c r="F1008" s="58" t="s">
        <v>1676</v>
      </c>
      <c r="G1008" s="88" t="s">
        <v>2825</v>
      </c>
      <c r="H1008" s="90">
        <v>41117843</v>
      </c>
      <c r="I1008" s="90" t="s">
        <v>3787</v>
      </c>
      <c r="J1008" s="88" t="s">
        <v>3477</v>
      </c>
      <c r="K1008" s="88" t="s">
        <v>1954</v>
      </c>
      <c r="L1008" s="91">
        <v>40777</v>
      </c>
      <c r="M1008" s="91">
        <v>45981</v>
      </c>
      <c r="N1008" s="88">
        <f t="shared" ca="1" si="35"/>
        <v>206</v>
      </c>
      <c r="O1008" s="84" t="str">
        <f ca="1">IF(Tabla1[[#This Row],[|]]&gt;=0,"VENCIDA",IF(Tabla1[[#This Row],[|]]&gt;=-14,"POR VENCER","OK"))</f>
        <v>VENCIDA</v>
      </c>
      <c r="P1008" s="90" t="s">
        <v>2790</v>
      </c>
      <c r="Q1008" s="90" t="s">
        <v>312</v>
      </c>
      <c r="R1008" s="88" t="s">
        <v>317</v>
      </c>
      <c r="S1008" s="88"/>
      <c r="T1008" s="88"/>
      <c r="U1008" s="88"/>
      <c r="V1008" s="88" t="s">
        <v>1939</v>
      </c>
      <c r="W1008" s="88" t="s">
        <v>3429</v>
      </c>
      <c r="X1008" s="88" t="s">
        <v>624</v>
      </c>
    </row>
    <row r="1009" spans="1:24" s="63" customFormat="1" ht="32.25" customHeight="1" x14ac:dyDescent="0.2">
      <c r="A1009" s="202">
        <v>1049</v>
      </c>
      <c r="B1009" s="88" t="s">
        <v>279</v>
      </c>
      <c r="C1009" s="89">
        <v>1049</v>
      </c>
      <c r="D1009" s="88" t="str">
        <f t="shared" si="34"/>
        <v>SUPERMIX1049</v>
      </c>
      <c r="E1009" s="58" t="s">
        <v>3478</v>
      </c>
      <c r="F1009" s="58" t="s">
        <v>3479</v>
      </c>
      <c r="G1009" s="88" t="s">
        <v>2825</v>
      </c>
      <c r="H1009" s="90">
        <v>45032356</v>
      </c>
      <c r="I1009" s="90" t="s">
        <v>3787</v>
      </c>
      <c r="J1009" s="88" t="s">
        <v>3480</v>
      </c>
      <c r="K1009" s="88" t="s">
        <v>1954</v>
      </c>
      <c r="L1009" s="91">
        <v>42206</v>
      </c>
      <c r="M1009" s="91">
        <v>46209</v>
      </c>
      <c r="N1009" s="88">
        <f t="shared" ca="1" si="35"/>
        <v>-22</v>
      </c>
      <c r="O1009" s="84" t="str">
        <f ca="1">IF(Tabla1[[#This Row],[|]]&gt;=0,"VENCIDA",IF(Tabla1[[#This Row],[|]]&gt;=-14,"POR VENCER","OK"))</f>
        <v>OK</v>
      </c>
      <c r="P1009" s="90" t="s">
        <v>2847</v>
      </c>
      <c r="Q1009" s="90" t="s">
        <v>312</v>
      </c>
      <c r="R1009" s="88" t="s">
        <v>317</v>
      </c>
      <c r="S1009" s="88"/>
      <c r="T1009" s="88"/>
      <c r="U1009" s="88"/>
      <c r="V1009" s="88" t="s">
        <v>282</v>
      </c>
      <c r="W1009" s="88" t="s">
        <v>850</v>
      </c>
      <c r="X1009" s="88" t="s">
        <v>597</v>
      </c>
    </row>
    <row r="1010" spans="1:24" s="63" customFormat="1" ht="32.25" customHeight="1" x14ac:dyDescent="0.2">
      <c r="A1010" s="202">
        <v>1050</v>
      </c>
      <c r="B1010" s="88" t="s">
        <v>279</v>
      </c>
      <c r="C1010" s="89">
        <v>1050</v>
      </c>
      <c r="D1010" s="88" t="str">
        <f t="shared" si="34"/>
        <v>SUPERMIX1050</v>
      </c>
      <c r="E1010" s="58" t="s">
        <v>3481</v>
      </c>
      <c r="F1010" s="58" t="s">
        <v>3482</v>
      </c>
      <c r="G1010" s="88" t="s">
        <v>2825</v>
      </c>
      <c r="H1010" s="90">
        <v>24709274</v>
      </c>
      <c r="I1010" s="90" t="s">
        <v>3787</v>
      </c>
      <c r="J1010" s="88" t="s">
        <v>3483</v>
      </c>
      <c r="K1010" s="88" t="s">
        <v>1954</v>
      </c>
      <c r="L1010" s="91">
        <v>40830</v>
      </c>
      <c r="M1010" s="91">
        <v>46307</v>
      </c>
      <c r="N1010" s="88">
        <f t="shared" ca="1" si="35"/>
        <v>-120</v>
      </c>
      <c r="O1010" s="84" t="str">
        <f ca="1">IF(Tabla1[[#This Row],[|]]&gt;=0,"VENCIDA",IF(Tabla1[[#This Row],[|]]&gt;=-14,"POR VENCER","OK"))</f>
        <v>OK</v>
      </c>
      <c r="P1010" s="90" t="s">
        <v>2847</v>
      </c>
      <c r="Q1010" s="90" t="s">
        <v>312</v>
      </c>
      <c r="R1010" s="88" t="s">
        <v>317</v>
      </c>
      <c r="S1010" s="88"/>
      <c r="T1010" s="88"/>
      <c r="U1010" s="88"/>
      <c r="V1010" s="88" t="s">
        <v>282</v>
      </c>
      <c r="W1010" s="88" t="s">
        <v>850</v>
      </c>
      <c r="X1010" s="88" t="s">
        <v>597</v>
      </c>
    </row>
    <row r="1011" spans="1:24" s="63" customFormat="1" ht="32.25" customHeight="1" x14ac:dyDescent="0.2">
      <c r="A1011" s="202">
        <v>1051</v>
      </c>
      <c r="B1011" s="88" t="s">
        <v>279</v>
      </c>
      <c r="C1011" s="89">
        <v>1051</v>
      </c>
      <c r="D1011" s="88" t="str">
        <f t="shared" si="34"/>
        <v>SUPERMIX1051</v>
      </c>
      <c r="E1011" s="58" t="s">
        <v>3484</v>
      </c>
      <c r="F1011" s="58" t="s">
        <v>3485</v>
      </c>
      <c r="G1011" s="88" t="s">
        <v>2825</v>
      </c>
      <c r="H1011" s="90">
        <v>25322469</v>
      </c>
      <c r="I1011" s="90" t="s">
        <v>3787</v>
      </c>
      <c r="J1011" s="88" t="s">
        <v>3486</v>
      </c>
      <c r="K1011" s="88" t="s">
        <v>1954</v>
      </c>
      <c r="L1011" s="91">
        <v>41568</v>
      </c>
      <c r="M1011" s="91">
        <v>46130</v>
      </c>
      <c r="N1011" s="88">
        <f t="shared" ca="1" si="35"/>
        <v>57</v>
      </c>
      <c r="O1011" s="84" t="str">
        <f ca="1">IF(Tabla1[[#This Row],[|]]&gt;=0,"VENCIDA",IF(Tabla1[[#This Row],[|]]&gt;=-14,"POR VENCER","OK"))</f>
        <v>VENCIDA</v>
      </c>
      <c r="P1011" s="90" t="s">
        <v>2847</v>
      </c>
      <c r="Q1011" s="90" t="s">
        <v>312</v>
      </c>
      <c r="R1011" s="88" t="s">
        <v>17</v>
      </c>
      <c r="S1011" s="88"/>
      <c r="T1011" s="88"/>
      <c r="U1011" s="88"/>
      <c r="V1011" s="88" t="s">
        <v>282</v>
      </c>
      <c r="W1011" s="88" t="s">
        <v>850</v>
      </c>
      <c r="X1011" s="88" t="s">
        <v>597</v>
      </c>
    </row>
    <row r="1012" spans="1:24" s="63" customFormat="1" ht="32.25" customHeight="1" x14ac:dyDescent="0.2">
      <c r="A1012" s="202">
        <v>1052</v>
      </c>
      <c r="B1012" s="88" t="s">
        <v>279</v>
      </c>
      <c r="C1012" s="89">
        <v>1052</v>
      </c>
      <c r="D1012" s="88" t="str">
        <f t="shared" si="34"/>
        <v>SUPERMIX1052</v>
      </c>
      <c r="E1012" s="58" t="s">
        <v>3487</v>
      </c>
      <c r="F1012" s="58" t="s">
        <v>3488</v>
      </c>
      <c r="G1012" s="88" t="s">
        <v>2825</v>
      </c>
      <c r="H1012" s="90">
        <v>71316930</v>
      </c>
      <c r="I1012" s="90" t="s">
        <v>3787</v>
      </c>
      <c r="J1012" s="88" t="s">
        <v>3489</v>
      </c>
      <c r="K1012" s="88" t="s">
        <v>1961</v>
      </c>
      <c r="L1012" s="88" t="s">
        <v>3490</v>
      </c>
      <c r="M1012" s="91">
        <v>46065</v>
      </c>
      <c r="N1012" s="88">
        <f t="shared" ca="1" si="35"/>
        <v>122</v>
      </c>
      <c r="O1012" s="84" t="str">
        <f ca="1">IF(Tabla1[[#This Row],[|]]&gt;=0,"VENCIDA",IF(Tabla1[[#This Row],[|]]&gt;=-14,"POR VENCER","OK"))</f>
        <v>VENCIDA</v>
      </c>
      <c r="P1012" s="90" t="s">
        <v>2827</v>
      </c>
      <c r="Q1012" s="90" t="s">
        <v>312</v>
      </c>
      <c r="R1012" s="88" t="s">
        <v>317</v>
      </c>
      <c r="S1012" s="88"/>
      <c r="T1012" s="88"/>
      <c r="U1012" s="88"/>
      <c r="V1012" s="88" t="s">
        <v>282</v>
      </c>
      <c r="W1012" s="88" t="s">
        <v>850</v>
      </c>
      <c r="X1012" s="88" t="s">
        <v>824</v>
      </c>
    </row>
    <row r="1013" spans="1:24" s="63" customFormat="1" ht="32.25" customHeight="1" x14ac:dyDescent="0.2">
      <c r="A1013" s="202">
        <v>1053</v>
      </c>
      <c r="B1013" s="88" t="s">
        <v>279</v>
      </c>
      <c r="C1013" s="89">
        <v>1053</v>
      </c>
      <c r="D1013" s="88" t="str">
        <f t="shared" si="34"/>
        <v>SUPERMIX1053</v>
      </c>
      <c r="E1013" s="58" t="s">
        <v>1285</v>
      </c>
      <c r="F1013" s="58" t="s">
        <v>2610</v>
      </c>
      <c r="G1013" s="88" t="s">
        <v>2825</v>
      </c>
      <c r="H1013" s="90">
        <v>47164790</v>
      </c>
      <c r="I1013" s="90" t="s">
        <v>3787</v>
      </c>
      <c r="J1013" s="88" t="s">
        <v>3491</v>
      </c>
      <c r="K1013" s="88" t="s">
        <v>3142</v>
      </c>
      <c r="L1013" s="91">
        <v>42077</v>
      </c>
      <c r="M1013" s="91">
        <v>44999</v>
      </c>
      <c r="N1013" s="88">
        <f t="shared" ca="1" si="35"/>
        <v>1188</v>
      </c>
      <c r="O1013" s="84" t="str">
        <f ca="1">IF(Tabla1[[#This Row],[|]]&gt;=0,"VENCIDA",IF(Tabla1[[#This Row],[|]]&gt;=-14,"POR VENCER","OK"))</f>
        <v>VENCIDA</v>
      </c>
      <c r="P1013" s="90" t="s">
        <v>2827</v>
      </c>
      <c r="Q1013" s="90" t="s">
        <v>312</v>
      </c>
      <c r="R1013" s="88" t="s">
        <v>317</v>
      </c>
      <c r="S1013" s="88"/>
      <c r="T1013" s="88"/>
      <c r="U1013" s="88"/>
      <c r="V1013" s="88" t="s">
        <v>282</v>
      </c>
      <c r="W1013" s="88" t="s">
        <v>850</v>
      </c>
      <c r="X1013" s="88" t="s">
        <v>2913</v>
      </c>
    </row>
    <row r="1014" spans="1:24" s="63" customFormat="1" ht="32.25" customHeight="1" x14ac:dyDescent="0.2">
      <c r="A1014" s="202">
        <v>1054</v>
      </c>
      <c r="B1014" s="88" t="s">
        <v>279</v>
      </c>
      <c r="C1014" s="89">
        <v>1054</v>
      </c>
      <c r="D1014" s="88" t="str">
        <f t="shared" si="34"/>
        <v>SUPERMIX1054</v>
      </c>
      <c r="E1014" s="58" t="s">
        <v>3492</v>
      </c>
      <c r="F1014" s="58" t="s">
        <v>3493</v>
      </c>
      <c r="G1014" s="88" t="s">
        <v>2825</v>
      </c>
      <c r="H1014" s="90">
        <v>44993222</v>
      </c>
      <c r="I1014" s="90" t="s">
        <v>3787</v>
      </c>
      <c r="J1014" s="88" t="s">
        <v>3494</v>
      </c>
      <c r="K1014" s="88" t="s">
        <v>3142</v>
      </c>
      <c r="L1014" s="91">
        <v>44291</v>
      </c>
      <c r="M1014" s="91">
        <v>47943</v>
      </c>
      <c r="N1014" s="88">
        <f t="shared" ca="1" si="35"/>
        <v>-1756</v>
      </c>
      <c r="O1014" s="84" t="str">
        <f ca="1">IF(Tabla1[[#This Row],[|]]&gt;=0,"VENCIDA",IF(Tabla1[[#This Row],[|]]&gt;=-14,"POR VENCER","OK"))</f>
        <v>OK</v>
      </c>
      <c r="P1014" s="90" t="s">
        <v>2827</v>
      </c>
      <c r="Q1014" s="90" t="s">
        <v>312</v>
      </c>
      <c r="R1014" s="88" t="s">
        <v>317</v>
      </c>
      <c r="S1014" s="88"/>
      <c r="T1014" s="88"/>
      <c r="U1014" s="88"/>
      <c r="V1014" s="88" t="s">
        <v>282</v>
      </c>
      <c r="W1014" s="88" t="s">
        <v>850</v>
      </c>
      <c r="X1014" s="88" t="s">
        <v>2870</v>
      </c>
    </row>
    <row r="1015" spans="1:24" s="43" customFormat="1" ht="32.25" customHeight="1" x14ac:dyDescent="0.2">
      <c r="A1015" s="42">
        <v>1055</v>
      </c>
      <c r="B1015" s="93" t="s">
        <v>279</v>
      </c>
      <c r="C1015" s="94">
        <v>1055</v>
      </c>
      <c r="D1015" s="93" t="str">
        <f t="shared" si="34"/>
        <v>SUPERMIX1055</v>
      </c>
      <c r="E1015" s="115" t="s">
        <v>3496</v>
      </c>
      <c r="F1015" s="115" t="s">
        <v>3497</v>
      </c>
      <c r="G1015" s="93" t="s">
        <v>310</v>
      </c>
      <c r="H1015" s="95">
        <v>70128599</v>
      </c>
      <c r="I1015" s="95" t="s">
        <v>3788</v>
      </c>
      <c r="J1015" s="93" t="s">
        <v>3498</v>
      </c>
      <c r="K1015" s="93" t="s">
        <v>343</v>
      </c>
      <c r="L1015" s="96">
        <v>43709</v>
      </c>
      <c r="M1015" s="96">
        <v>46821</v>
      </c>
      <c r="N1015" s="93">
        <f t="shared" ca="1" si="35"/>
        <v>-634</v>
      </c>
      <c r="O1015" s="84" t="str">
        <f ca="1">IF(Tabla1[[#This Row],[|]]&gt;=0,"VENCIDA",IF(Tabla1[[#This Row],[|]]&gt;=-14,"POR VENCER","OK"))</f>
        <v>OK</v>
      </c>
      <c r="P1015" s="95" t="s">
        <v>3715</v>
      </c>
      <c r="Q1015" s="95" t="s">
        <v>312</v>
      </c>
      <c r="R1015" s="93" t="s">
        <v>317</v>
      </c>
      <c r="S1015" s="93"/>
      <c r="T1015" s="93"/>
      <c r="U1015" s="93"/>
      <c r="V1015" s="93" t="s">
        <v>1102</v>
      </c>
      <c r="W1015" s="93" t="s">
        <v>3499</v>
      </c>
      <c r="X1015" s="93" t="s">
        <v>3055</v>
      </c>
    </row>
    <row r="1016" spans="1:24" s="63" customFormat="1" ht="32.25" customHeight="1" x14ac:dyDescent="0.2">
      <c r="A1016" s="202">
        <v>1056</v>
      </c>
      <c r="B1016" s="88" t="s">
        <v>279</v>
      </c>
      <c r="C1016" s="89">
        <v>1056</v>
      </c>
      <c r="D1016" s="88" t="str">
        <f t="shared" si="34"/>
        <v>SUPERMIX1056</v>
      </c>
      <c r="E1016" s="58" t="s">
        <v>3500</v>
      </c>
      <c r="F1016" s="58" t="s">
        <v>3620</v>
      </c>
      <c r="G1016" s="88" t="s">
        <v>2825</v>
      </c>
      <c r="H1016" s="90">
        <v>40658883</v>
      </c>
      <c r="I1016" s="90" t="s">
        <v>3787</v>
      </c>
      <c r="J1016" s="88" t="s">
        <v>3501</v>
      </c>
      <c r="K1016" s="88" t="s">
        <v>3443</v>
      </c>
      <c r="L1016" s="91">
        <v>41863</v>
      </c>
      <c r="M1016" s="91">
        <v>46117</v>
      </c>
      <c r="N1016" s="88">
        <f t="shared" ca="1" si="35"/>
        <v>70</v>
      </c>
      <c r="O1016" s="84" t="str">
        <f ca="1">IF(Tabla1[[#This Row],[|]]&gt;=0,"VENCIDA",IF(Tabla1[[#This Row],[|]]&gt;=-14,"POR VENCER","OK"))</f>
        <v>VENCIDA</v>
      </c>
      <c r="P1016" s="90" t="s">
        <v>3578</v>
      </c>
      <c r="Q1016" s="90" t="s">
        <v>312</v>
      </c>
      <c r="R1016" s="88" t="s">
        <v>317</v>
      </c>
      <c r="S1016" s="88"/>
      <c r="T1016" s="88"/>
      <c r="U1016" s="88"/>
      <c r="V1016" s="88" t="s">
        <v>282</v>
      </c>
      <c r="W1016" s="88" t="s">
        <v>850</v>
      </c>
      <c r="X1016" s="88" t="s">
        <v>3152</v>
      </c>
    </row>
    <row r="1017" spans="1:24" s="63" customFormat="1" ht="32.25" customHeight="1" x14ac:dyDescent="0.2">
      <c r="A1017" s="202">
        <v>1057</v>
      </c>
      <c r="B1017" s="88" t="s">
        <v>279</v>
      </c>
      <c r="C1017" s="89">
        <v>1057</v>
      </c>
      <c r="D1017" s="88" t="str">
        <f t="shared" si="34"/>
        <v>SUPERMIX1057</v>
      </c>
      <c r="E1017" s="58" t="s">
        <v>3504</v>
      </c>
      <c r="F1017" s="58" t="s">
        <v>3505</v>
      </c>
      <c r="G1017" s="88" t="s">
        <v>310</v>
      </c>
      <c r="H1017" s="90">
        <v>44948020</v>
      </c>
      <c r="I1017" s="90" t="s">
        <v>3787</v>
      </c>
      <c r="J1017" s="88" t="s">
        <v>3506</v>
      </c>
      <c r="K1017" s="88" t="s">
        <v>1961</v>
      </c>
      <c r="L1017" s="91">
        <v>41593</v>
      </c>
      <c r="M1017" s="91">
        <v>46299</v>
      </c>
      <c r="N1017" s="88">
        <f t="shared" ca="1" si="35"/>
        <v>-112</v>
      </c>
      <c r="O1017" s="84" t="str">
        <f ca="1">IF(Tabla1[[#This Row],[|]]&gt;=0,"VENCIDA",IF(Tabla1[[#This Row],[|]]&gt;=-14,"POR VENCER","OK"))</f>
        <v>OK</v>
      </c>
      <c r="P1017" s="90" t="s">
        <v>2827</v>
      </c>
      <c r="Q1017" s="90" t="s">
        <v>312</v>
      </c>
      <c r="R1017" s="88" t="s">
        <v>17</v>
      </c>
      <c r="S1017" s="88"/>
      <c r="T1017" s="88"/>
      <c r="U1017" s="88"/>
      <c r="V1017" s="88" t="s">
        <v>282</v>
      </c>
      <c r="W1017" s="88" t="s">
        <v>2776</v>
      </c>
      <c r="X1017" s="88" t="s">
        <v>3064</v>
      </c>
    </row>
    <row r="1018" spans="1:24" s="63" customFormat="1" ht="32.25" customHeight="1" x14ac:dyDescent="0.2">
      <c r="A1018" s="202">
        <v>1058</v>
      </c>
      <c r="B1018" s="88" t="s">
        <v>279</v>
      </c>
      <c r="C1018" s="89">
        <v>1058</v>
      </c>
      <c r="D1018" s="88" t="str">
        <f t="shared" si="34"/>
        <v>SUPERMIX1058</v>
      </c>
      <c r="E1018" s="58" t="s">
        <v>3510</v>
      </c>
      <c r="F1018" s="58" t="s">
        <v>1403</v>
      </c>
      <c r="G1018" s="88" t="s">
        <v>2825</v>
      </c>
      <c r="H1018" s="90">
        <v>29698132</v>
      </c>
      <c r="I1018" s="90" t="s">
        <v>3787</v>
      </c>
      <c r="J1018" s="88" t="s">
        <v>3511</v>
      </c>
      <c r="K1018" s="88" t="s">
        <v>1954</v>
      </c>
      <c r="L1018" s="91">
        <v>37916</v>
      </c>
      <c r="M1018" s="91">
        <v>46436</v>
      </c>
      <c r="N1018" s="88">
        <f t="shared" ca="1" si="35"/>
        <v>-249</v>
      </c>
      <c r="O1018" s="84" t="str">
        <f ca="1">IF(Tabla1[[#This Row],[|]]&gt;=0,"VENCIDA",IF(Tabla1[[#This Row],[|]]&gt;=-14,"POR VENCER","OK"))</f>
        <v>OK</v>
      </c>
      <c r="P1018" s="90" t="s">
        <v>2847</v>
      </c>
      <c r="Q1018" s="90" t="s">
        <v>312</v>
      </c>
      <c r="R1018" s="88" t="s">
        <v>317</v>
      </c>
      <c r="S1018" s="88"/>
      <c r="T1018" s="88"/>
      <c r="U1018" s="88"/>
      <c r="V1018" s="88" t="s">
        <v>282</v>
      </c>
      <c r="W1018" s="88" t="s">
        <v>850</v>
      </c>
      <c r="X1018" s="88" t="s">
        <v>597</v>
      </c>
    </row>
    <row r="1019" spans="1:24" s="63" customFormat="1" ht="32.25" customHeight="1" x14ac:dyDescent="0.2">
      <c r="A1019" s="202">
        <v>1059</v>
      </c>
      <c r="B1019" s="88" t="s">
        <v>279</v>
      </c>
      <c r="C1019" s="89">
        <v>1059</v>
      </c>
      <c r="D1019" s="88" t="str">
        <f t="shared" si="34"/>
        <v>SUPERMIX1059</v>
      </c>
      <c r="E1019" s="58" t="s">
        <v>3512</v>
      </c>
      <c r="F1019" s="58" t="s">
        <v>1603</v>
      </c>
      <c r="G1019" s="88" t="s">
        <v>2825</v>
      </c>
      <c r="H1019" s="90">
        <v>43307446</v>
      </c>
      <c r="I1019" s="90" t="s">
        <v>3787</v>
      </c>
      <c r="J1019" s="88" t="s">
        <v>3513</v>
      </c>
      <c r="K1019" s="88" t="s">
        <v>1954</v>
      </c>
      <c r="L1019" s="91">
        <v>42674</v>
      </c>
      <c r="M1019" s="91">
        <v>44827</v>
      </c>
      <c r="N1019" s="88">
        <f t="shared" ca="1" si="35"/>
        <v>1360</v>
      </c>
      <c r="O1019" s="84" t="str">
        <f ca="1">IF(Tabla1[[#This Row],[|]]&gt;=0,"VENCIDA",IF(Tabla1[[#This Row],[|]]&gt;=-14,"POR VENCER","OK"))</f>
        <v>VENCIDA</v>
      </c>
      <c r="P1019" s="90" t="s">
        <v>2778</v>
      </c>
      <c r="Q1019" s="90" t="s">
        <v>312</v>
      </c>
      <c r="R1019" s="88" t="s">
        <v>317</v>
      </c>
      <c r="S1019" s="88"/>
      <c r="T1019" s="88"/>
      <c r="U1019" s="88"/>
      <c r="V1019" s="88" t="s">
        <v>1939</v>
      </c>
      <c r="W1019" s="88" t="s">
        <v>3429</v>
      </c>
      <c r="X1019" s="88" t="s">
        <v>640</v>
      </c>
    </row>
    <row r="1020" spans="1:24" s="63" customFormat="1" ht="32.25" customHeight="1" x14ac:dyDescent="0.2">
      <c r="A1020" s="202">
        <v>1060</v>
      </c>
      <c r="B1020" s="88" t="s">
        <v>279</v>
      </c>
      <c r="C1020" s="89">
        <v>1060</v>
      </c>
      <c r="D1020" s="88" t="str">
        <f t="shared" si="34"/>
        <v>SUPERMIX1060</v>
      </c>
      <c r="E1020" s="58" t="s">
        <v>3516</v>
      </c>
      <c r="F1020" s="58" t="s">
        <v>842</v>
      </c>
      <c r="G1020" s="88" t="s">
        <v>2825</v>
      </c>
      <c r="H1020" s="90">
        <v>44328518</v>
      </c>
      <c r="I1020" s="90" t="s">
        <v>3787</v>
      </c>
      <c r="J1020" s="88" t="s">
        <v>3517</v>
      </c>
      <c r="K1020" s="88" t="s">
        <v>3443</v>
      </c>
      <c r="L1020" s="91">
        <v>42629</v>
      </c>
      <c r="M1020" s="91">
        <v>44799</v>
      </c>
      <c r="N1020" s="88">
        <f t="shared" ca="1" si="35"/>
        <v>1388</v>
      </c>
      <c r="O1020" s="84" t="str">
        <f ca="1">IF(Tabla1[[#This Row],[|]]&gt;=0,"VENCIDA",IF(Tabla1[[#This Row],[|]]&gt;=-14,"POR VENCER","OK"))</f>
        <v>VENCIDA</v>
      </c>
      <c r="P1020" s="90" t="s">
        <v>2847</v>
      </c>
      <c r="Q1020" s="90" t="s">
        <v>312</v>
      </c>
      <c r="R1020" s="88" t="s">
        <v>317</v>
      </c>
      <c r="S1020" s="88"/>
      <c r="T1020" s="88"/>
      <c r="U1020" s="88"/>
      <c r="V1020" s="88" t="s">
        <v>282</v>
      </c>
      <c r="W1020" s="88" t="s">
        <v>850</v>
      </c>
      <c r="X1020" s="88" t="s">
        <v>597</v>
      </c>
    </row>
    <row r="1021" spans="1:24" s="43" customFormat="1" ht="32.25" customHeight="1" x14ac:dyDescent="0.2">
      <c r="A1021" s="42">
        <v>1061</v>
      </c>
      <c r="B1021" s="93" t="s">
        <v>279</v>
      </c>
      <c r="C1021" s="94">
        <v>1061</v>
      </c>
      <c r="D1021" s="93" t="str">
        <f t="shared" si="34"/>
        <v>SUPERMIX1061</v>
      </c>
      <c r="E1021" s="115" t="s">
        <v>1055</v>
      </c>
      <c r="F1021" s="115" t="s">
        <v>3519</v>
      </c>
      <c r="G1021" s="93" t="s">
        <v>2825</v>
      </c>
      <c r="H1021" s="95">
        <v>43291477</v>
      </c>
      <c r="I1021" s="95" t="s">
        <v>3788</v>
      </c>
      <c r="J1021" s="93" t="s">
        <v>3520</v>
      </c>
      <c r="K1021" s="93" t="s">
        <v>3142</v>
      </c>
      <c r="L1021" s="96">
        <v>43433</v>
      </c>
      <c r="M1021" s="96">
        <v>47086</v>
      </c>
      <c r="N1021" s="93">
        <f t="shared" ca="1" si="35"/>
        <v>-899</v>
      </c>
      <c r="O1021" s="84" t="str">
        <f ca="1">IF(Tabla1[[#This Row],[|]]&gt;=0,"VENCIDA",IF(Tabla1[[#This Row],[|]]&gt;=-14,"POR VENCER","OK"))</f>
        <v>OK</v>
      </c>
      <c r="P1021" s="95" t="s">
        <v>2827</v>
      </c>
      <c r="Q1021" s="95" t="s">
        <v>312</v>
      </c>
      <c r="R1021" s="93" t="s">
        <v>17</v>
      </c>
      <c r="S1021" s="93"/>
      <c r="T1021" s="93"/>
      <c r="U1021" s="93"/>
      <c r="V1021" s="93" t="s">
        <v>282</v>
      </c>
      <c r="W1021" s="93" t="s">
        <v>850</v>
      </c>
      <c r="X1021" s="93" t="s">
        <v>2913</v>
      </c>
    </row>
    <row r="1022" spans="1:24" s="63" customFormat="1" ht="32.25" customHeight="1" x14ac:dyDescent="0.2">
      <c r="A1022" s="202">
        <v>1062</v>
      </c>
      <c r="B1022" s="88" t="s">
        <v>279</v>
      </c>
      <c r="C1022" s="89">
        <v>1062</v>
      </c>
      <c r="D1022" s="88" t="str">
        <f t="shared" si="34"/>
        <v>SUPERMIX1062</v>
      </c>
      <c r="E1022" s="58" t="s">
        <v>3521</v>
      </c>
      <c r="F1022" s="58" t="s">
        <v>3522</v>
      </c>
      <c r="G1022" s="88" t="s">
        <v>2825</v>
      </c>
      <c r="H1022" s="90">
        <v>43806413</v>
      </c>
      <c r="I1022" s="90" t="s">
        <v>3787</v>
      </c>
      <c r="J1022" s="88" t="s">
        <v>3523</v>
      </c>
      <c r="K1022" s="88" t="s">
        <v>3142</v>
      </c>
      <c r="L1022" s="91">
        <v>41269</v>
      </c>
      <c r="M1022" s="91">
        <v>47947</v>
      </c>
      <c r="N1022" s="88">
        <f t="shared" ca="1" si="35"/>
        <v>-1760</v>
      </c>
      <c r="O1022" s="84" t="str">
        <f ca="1">IF(Tabla1[[#This Row],[|]]&gt;=0,"VENCIDA",IF(Tabla1[[#This Row],[|]]&gt;=-14,"POR VENCER","OK"))</f>
        <v>OK</v>
      </c>
      <c r="P1022" s="90" t="s">
        <v>2827</v>
      </c>
      <c r="Q1022" s="90" t="s">
        <v>312</v>
      </c>
      <c r="R1022" s="88" t="s">
        <v>17</v>
      </c>
      <c r="S1022" s="88"/>
      <c r="T1022" s="88"/>
      <c r="U1022" s="88"/>
      <c r="V1022" s="88" t="s">
        <v>1981</v>
      </c>
      <c r="W1022" s="88" t="s">
        <v>3524</v>
      </c>
      <c r="X1022" s="88" t="s">
        <v>2866</v>
      </c>
    </row>
    <row r="1023" spans="1:24" s="63" customFormat="1" ht="32.25" customHeight="1" x14ac:dyDescent="0.2">
      <c r="A1023" s="202">
        <v>1063</v>
      </c>
      <c r="B1023" s="88" t="s">
        <v>279</v>
      </c>
      <c r="C1023" s="89">
        <v>1063</v>
      </c>
      <c r="D1023" s="88" t="str">
        <f t="shared" si="34"/>
        <v>SUPERMIX1063</v>
      </c>
      <c r="E1023" s="58" t="s">
        <v>3526</v>
      </c>
      <c r="F1023" s="58" t="s">
        <v>1484</v>
      </c>
      <c r="G1023" s="88" t="s">
        <v>2825</v>
      </c>
      <c r="H1023" s="90">
        <v>45214873</v>
      </c>
      <c r="I1023" s="90" t="s">
        <v>3787</v>
      </c>
      <c r="J1023" s="88" t="s">
        <v>1485</v>
      </c>
      <c r="K1023" s="88" t="s">
        <v>1954</v>
      </c>
      <c r="L1023" s="91">
        <v>42156</v>
      </c>
      <c r="M1023" s="91">
        <v>46218</v>
      </c>
      <c r="N1023" s="88">
        <f t="shared" ca="1" si="35"/>
        <v>-31</v>
      </c>
      <c r="O1023" s="84" t="str">
        <f ca="1">IF(Tabla1[[#This Row],[|]]&gt;=0,"VENCIDA",IF(Tabla1[[#This Row],[|]]&gt;=-14,"POR VENCER","OK"))</f>
        <v>OK</v>
      </c>
      <c r="P1023" s="90" t="s">
        <v>2790</v>
      </c>
      <c r="Q1023" s="90" t="s">
        <v>312</v>
      </c>
      <c r="R1023" s="88" t="s">
        <v>317</v>
      </c>
      <c r="S1023" s="88"/>
      <c r="T1023" s="88"/>
      <c r="U1023" s="88"/>
      <c r="V1023" s="88" t="s">
        <v>1939</v>
      </c>
      <c r="W1023" s="88" t="s">
        <v>3429</v>
      </c>
      <c r="X1023" s="88" t="s">
        <v>624</v>
      </c>
    </row>
    <row r="1024" spans="1:24" s="43" customFormat="1" ht="32.25" customHeight="1" x14ac:dyDescent="0.2">
      <c r="A1024" s="42">
        <v>1064</v>
      </c>
      <c r="B1024" s="93" t="s">
        <v>279</v>
      </c>
      <c r="C1024" s="94">
        <v>1064</v>
      </c>
      <c r="D1024" s="93" t="str">
        <f t="shared" si="34"/>
        <v>SUPERMIX1064</v>
      </c>
      <c r="E1024" s="115" t="s">
        <v>3430</v>
      </c>
      <c r="F1024" s="115" t="s">
        <v>3527</v>
      </c>
      <c r="G1024" s="93" t="s">
        <v>2825</v>
      </c>
      <c r="H1024" s="95">
        <v>44437548</v>
      </c>
      <c r="I1024" s="95" t="s">
        <v>3788</v>
      </c>
      <c r="J1024" s="93" t="s">
        <v>3528</v>
      </c>
      <c r="K1024" s="93" t="s">
        <v>3142</v>
      </c>
      <c r="L1024" s="96">
        <v>43840</v>
      </c>
      <c r="M1024" s="96">
        <v>47493</v>
      </c>
      <c r="N1024" s="93">
        <f t="shared" ca="1" si="35"/>
        <v>-1306</v>
      </c>
      <c r="O1024" s="84" t="str">
        <f ca="1">IF(Tabla1[[#This Row],[|]]&gt;=0,"VENCIDA",IF(Tabla1[[#This Row],[|]]&gt;=-14,"POR VENCER","OK"))</f>
        <v>OK</v>
      </c>
      <c r="P1024" s="95" t="s">
        <v>2827</v>
      </c>
      <c r="Q1024" s="95" t="s">
        <v>312</v>
      </c>
      <c r="R1024" s="93" t="s">
        <v>17</v>
      </c>
      <c r="S1024" s="93"/>
      <c r="T1024" s="93"/>
      <c r="U1024" s="93"/>
      <c r="V1024" s="93" t="s">
        <v>836</v>
      </c>
      <c r="W1024" s="93" t="s">
        <v>3529</v>
      </c>
      <c r="X1024" s="93" t="s">
        <v>2996</v>
      </c>
    </row>
    <row r="1025" spans="1:24" s="63" customFormat="1" ht="32.25" customHeight="1" x14ac:dyDescent="0.2">
      <c r="A1025" s="202">
        <v>1065</v>
      </c>
      <c r="B1025" s="88" t="s">
        <v>279</v>
      </c>
      <c r="C1025" s="89">
        <v>1065</v>
      </c>
      <c r="D1025" s="88" t="str">
        <f t="shared" si="34"/>
        <v>SUPERMIX1065</v>
      </c>
      <c r="E1025" s="58" t="s">
        <v>3531</v>
      </c>
      <c r="F1025" s="58" t="s">
        <v>3533</v>
      </c>
      <c r="G1025" s="88" t="s">
        <v>310</v>
      </c>
      <c r="H1025" s="90">
        <v>75523307</v>
      </c>
      <c r="I1025" s="90" t="s">
        <v>3787</v>
      </c>
      <c r="J1025" s="88" t="s">
        <v>3532</v>
      </c>
      <c r="K1025" s="88" t="s">
        <v>1961</v>
      </c>
      <c r="L1025" s="91">
        <v>42668</v>
      </c>
      <c r="M1025" s="91">
        <v>44856</v>
      </c>
      <c r="N1025" s="88">
        <f t="shared" ca="1" si="35"/>
        <v>1331</v>
      </c>
      <c r="O1025" s="84" t="str">
        <f ca="1">IF(Tabla1[[#This Row],[|]]&gt;=0,"VENCIDA",IF(Tabla1[[#This Row],[|]]&gt;=-14,"POR VENCER","OK"))</f>
        <v>VENCIDA</v>
      </c>
      <c r="P1025" s="90" t="s">
        <v>3193</v>
      </c>
      <c r="Q1025" s="90" t="s">
        <v>312</v>
      </c>
      <c r="R1025" s="88" t="s">
        <v>317</v>
      </c>
      <c r="S1025" s="88"/>
      <c r="T1025" s="88"/>
      <c r="U1025" s="88"/>
      <c r="V1025" s="88" t="s">
        <v>329</v>
      </c>
      <c r="W1025" s="88" t="s">
        <v>511</v>
      </c>
      <c r="X1025" s="88" t="s">
        <v>823</v>
      </c>
    </row>
    <row r="1026" spans="1:24" s="63" customFormat="1" ht="32.25" customHeight="1" x14ac:dyDescent="0.2">
      <c r="A1026" s="202">
        <v>1066</v>
      </c>
      <c r="B1026" s="88" t="s">
        <v>279</v>
      </c>
      <c r="C1026" s="89">
        <v>1066</v>
      </c>
      <c r="D1026" s="88" t="str">
        <f t="shared" si="34"/>
        <v>SUPERMIX1066</v>
      </c>
      <c r="E1026" s="58" t="s">
        <v>3534</v>
      </c>
      <c r="F1026" s="58" t="s">
        <v>3535</v>
      </c>
      <c r="G1026" s="88" t="s">
        <v>2825</v>
      </c>
      <c r="H1026" s="90">
        <v>47343247</v>
      </c>
      <c r="I1026" s="90" t="s">
        <v>3787</v>
      </c>
      <c r="J1026" s="88" t="s">
        <v>3536</v>
      </c>
      <c r="K1026" s="88" t="s">
        <v>1961</v>
      </c>
      <c r="L1026" s="91">
        <v>42089</v>
      </c>
      <c r="M1026" s="91">
        <v>44304</v>
      </c>
      <c r="N1026" s="88">
        <f t="shared" ca="1" si="35"/>
        <v>1883</v>
      </c>
      <c r="O1026" s="84" t="str">
        <f ca="1">IF(Tabla1[[#This Row],[|]]&gt;=0,"VENCIDA",IF(Tabla1[[#This Row],[|]]&gt;=-14,"POR VENCER","OK"))</f>
        <v>VENCIDA</v>
      </c>
      <c r="P1026" s="90" t="s">
        <v>3193</v>
      </c>
      <c r="Q1026" s="90" t="s">
        <v>312</v>
      </c>
      <c r="R1026" s="88" t="s">
        <v>317</v>
      </c>
      <c r="S1026" s="88"/>
      <c r="T1026" s="88"/>
      <c r="U1026" s="88"/>
      <c r="V1026" s="88" t="s">
        <v>329</v>
      </c>
      <c r="W1026" s="88" t="s">
        <v>511</v>
      </c>
      <c r="X1026" s="88" t="s">
        <v>823</v>
      </c>
    </row>
    <row r="1027" spans="1:24" s="43" customFormat="1" ht="32.25" customHeight="1" x14ac:dyDescent="0.2">
      <c r="A1027" s="42">
        <v>1067</v>
      </c>
      <c r="B1027" s="93" t="s">
        <v>279</v>
      </c>
      <c r="C1027" s="94">
        <v>1067</v>
      </c>
      <c r="D1027" s="93" t="str">
        <f t="shared" si="34"/>
        <v>SUPERMIX1067</v>
      </c>
      <c r="E1027" s="115" t="s">
        <v>3537</v>
      </c>
      <c r="F1027" s="115" t="s">
        <v>3538</v>
      </c>
      <c r="G1027" s="93" t="s">
        <v>2825</v>
      </c>
      <c r="H1027" s="95">
        <v>46855021</v>
      </c>
      <c r="I1027" s="95" t="s">
        <v>3788</v>
      </c>
      <c r="J1027" s="93" t="s">
        <v>3539</v>
      </c>
      <c r="K1027" s="93" t="s">
        <v>2092</v>
      </c>
      <c r="L1027" s="96">
        <v>42930</v>
      </c>
      <c r="M1027" s="96">
        <v>46132</v>
      </c>
      <c r="N1027" s="93">
        <f t="shared" ca="1" si="35"/>
        <v>55</v>
      </c>
      <c r="O1027" s="84" t="str">
        <f ca="1">IF(Tabla1[[#This Row],[|]]&gt;=0,"VENCIDA",IF(Tabla1[[#This Row],[|]]&gt;=-14,"POR VENCER","OK"))</f>
        <v>VENCIDA</v>
      </c>
      <c r="P1027" s="95" t="s">
        <v>3717</v>
      </c>
      <c r="Q1027" s="95" t="s">
        <v>312</v>
      </c>
      <c r="R1027" s="93" t="s">
        <v>317</v>
      </c>
      <c r="S1027" s="93"/>
      <c r="T1027" s="93"/>
      <c r="U1027" s="93"/>
      <c r="V1027" s="93" t="s">
        <v>1939</v>
      </c>
      <c r="W1027" s="93" t="s">
        <v>3429</v>
      </c>
      <c r="X1027" s="93" t="s">
        <v>760</v>
      </c>
    </row>
    <row r="1028" spans="1:24" s="43" customFormat="1" ht="32.25" customHeight="1" x14ac:dyDescent="0.2">
      <c r="A1028" s="42">
        <v>1068</v>
      </c>
      <c r="B1028" s="93" t="s">
        <v>279</v>
      </c>
      <c r="C1028" s="94">
        <v>1068</v>
      </c>
      <c r="D1028" s="93" t="str">
        <f t="shared" si="34"/>
        <v>SUPERMIX1068</v>
      </c>
      <c r="E1028" s="115" t="s">
        <v>3540</v>
      </c>
      <c r="F1028" s="115" t="s">
        <v>3541</v>
      </c>
      <c r="G1028" s="93" t="s">
        <v>2825</v>
      </c>
      <c r="H1028" s="95">
        <v>29558722</v>
      </c>
      <c r="I1028" s="95" t="s">
        <v>3788</v>
      </c>
      <c r="J1028" s="93" t="s">
        <v>3542</v>
      </c>
      <c r="K1028" s="93" t="s">
        <v>3142</v>
      </c>
      <c r="L1028" s="96">
        <v>43818</v>
      </c>
      <c r="M1028" s="96">
        <v>47481</v>
      </c>
      <c r="N1028" s="93">
        <f t="shared" ca="1" si="35"/>
        <v>-1294</v>
      </c>
      <c r="O1028" s="84" t="str">
        <f ca="1">IF(Tabla1[[#This Row],[|]]&gt;=0,"VENCIDA",IF(Tabla1[[#This Row],[|]]&gt;=-14,"POR VENCER","OK"))</f>
        <v>OK</v>
      </c>
      <c r="P1028" s="95" t="s">
        <v>2827</v>
      </c>
      <c r="Q1028" s="95" t="s">
        <v>312</v>
      </c>
      <c r="R1028" s="93" t="s">
        <v>17</v>
      </c>
      <c r="S1028" s="93"/>
      <c r="T1028" s="93"/>
      <c r="U1028" s="93"/>
      <c r="V1028" s="93" t="s">
        <v>1939</v>
      </c>
      <c r="W1028" s="93" t="s">
        <v>3429</v>
      </c>
      <c r="X1028" s="93" t="s">
        <v>2836</v>
      </c>
    </row>
    <row r="1029" spans="1:24" ht="32.25" customHeight="1" x14ac:dyDescent="0.2">
      <c r="A1029" s="37">
        <v>1069</v>
      </c>
      <c r="B1029" s="100" t="s">
        <v>279</v>
      </c>
      <c r="C1029" s="101">
        <v>1069</v>
      </c>
      <c r="D1029" s="100" t="str">
        <f t="shared" si="34"/>
        <v>SUPERMIX1069</v>
      </c>
      <c r="E1029" s="169" t="s">
        <v>3543</v>
      </c>
      <c r="F1029" s="169" t="s">
        <v>3544</v>
      </c>
      <c r="G1029" s="100" t="s">
        <v>341</v>
      </c>
      <c r="H1029" s="102">
        <v>29260174</v>
      </c>
      <c r="I1029" s="102" t="s">
        <v>3788</v>
      </c>
      <c r="J1029" s="100" t="s">
        <v>3545</v>
      </c>
      <c r="K1029" s="100" t="s">
        <v>1961</v>
      </c>
      <c r="L1029" s="103">
        <v>42445</v>
      </c>
      <c r="M1029" s="103">
        <v>45628</v>
      </c>
      <c r="N1029" s="100">
        <f t="shared" ca="1" si="35"/>
        <v>559</v>
      </c>
      <c r="O1029" s="84" t="str">
        <f ca="1">IF(Tabla1[[#This Row],[|]]&gt;=0,"VENCIDA",IF(Tabla1[[#This Row],[|]]&gt;=-14,"POR VENCER","OK"))</f>
        <v>VENCIDA</v>
      </c>
      <c r="P1029" s="102" t="s">
        <v>2827</v>
      </c>
      <c r="Q1029" s="102" t="s">
        <v>312</v>
      </c>
      <c r="R1029" s="100" t="s">
        <v>317</v>
      </c>
      <c r="S1029" s="100"/>
      <c r="T1029" s="100"/>
      <c r="U1029" s="100"/>
      <c r="V1029" s="100" t="s">
        <v>1939</v>
      </c>
      <c r="W1029" s="100" t="s">
        <v>3429</v>
      </c>
      <c r="X1029" s="100" t="s">
        <v>2931</v>
      </c>
    </row>
    <row r="1030" spans="1:24" s="43" customFormat="1" ht="32.25" customHeight="1" x14ac:dyDescent="0.2">
      <c r="A1030" s="42">
        <v>1070</v>
      </c>
      <c r="B1030" s="93" t="s">
        <v>279</v>
      </c>
      <c r="C1030" s="94">
        <v>1070</v>
      </c>
      <c r="D1030" s="93" t="str">
        <f t="shared" si="34"/>
        <v>SUPERMIX1070</v>
      </c>
      <c r="E1030" s="115" t="s">
        <v>3549</v>
      </c>
      <c r="F1030" s="115" t="s">
        <v>3550</v>
      </c>
      <c r="G1030" s="93" t="s">
        <v>2825</v>
      </c>
      <c r="H1030" s="95">
        <v>73146851</v>
      </c>
      <c r="I1030" s="95" t="s">
        <v>3788</v>
      </c>
      <c r="J1030" s="93" t="s">
        <v>3551</v>
      </c>
      <c r="K1030" s="93" t="s">
        <v>3142</v>
      </c>
      <c r="L1030" s="96">
        <v>41101</v>
      </c>
      <c r="M1030" s="96">
        <v>46497</v>
      </c>
      <c r="N1030" s="93">
        <f t="shared" ca="1" si="35"/>
        <v>-310</v>
      </c>
      <c r="O1030" s="84" t="str">
        <f ca="1">IF(Tabla1[[#This Row],[|]]&gt;=0,"VENCIDA",IF(Tabla1[[#This Row],[|]]&gt;=-14,"POR VENCER","OK"))</f>
        <v>OK</v>
      </c>
      <c r="P1030" s="95" t="s">
        <v>3193</v>
      </c>
      <c r="Q1030" s="95" t="s">
        <v>312</v>
      </c>
      <c r="R1030" s="93" t="s">
        <v>317</v>
      </c>
      <c r="S1030" s="93"/>
      <c r="T1030" s="93"/>
      <c r="U1030" s="93"/>
      <c r="V1030" s="93" t="s">
        <v>329</v>
      </c>
      <c r="W1030" s="93" t="s">
        <v>511</v>
      </c>
      <c r="X1030" s="93" t="s">
        <v>823</v>
      </c>
    </row>
    <row r="1031" spans="1:24" s="43" customFormat="1" ht="32.25" customHeight="1" x14ac:dyDescent="0.2">
      <c r="A1031" s="42">
        <v>1071</v>
      </c>
      <c r="B1031" s="93" t="s">
        <v>279</v>
      </c>
      <c r="C1031" s="94">
        <v>1071</v>
      </c>
      <c r="D1031" s="93" t="str">
        <f t="shared" si="34"/>
        <v>SUPERMIX1071</v>
      </c>
      <c r="E1031" s="115" t="s">
        <v>3552</v>
      </c>
      <c r="F1031" s="115" t="s">
        <v>19</v>
      </c>
      <c r="G1031" s="93" t="s">
        <v>2825</v>
      </c>
      <c r="H1031" s="95">
        <v>43653839</v>
      </c>
      <c r="I1031" s="95" t="s">
        <v>3788</v>
      </c>
      <c r="J1031" s="93" t="s">
        <v>3553</v>
      </c>
      <c r="K1031" s="93" t="s">
        <v>1954</v>
      </c>
      <c r="L1031" s="96">
        <v>41712</v>
      </c>
      <c r="M1031" s="96">
        <v>47541</v>
      </c>
      <c r="N1031" s="93">
        <f t="shared" ca="1" si="35"/>
        <v>-1354</v>
      </c>
      <c r="O1031" s="84" t="str">
        <f ca="1">IF(Tabla1[[#This Row],[|]]&gt;=0,"VENCIDA",IF(Tabla1[[#This Row],[|]]&gt;=-14,"POR VENCER","OK"))</f>
        <v>OK</v>
      </c>
      <c r="P1031" s="95" t="s">
        <v>3736</v>
      </c>
      <c r="Q1031" s="95" t="s">
        <v>312</v>
      </c>
      <c r="R1031" s="93" t="s">
        <v>317</v>
      </c>
      <c r="S1031" s="93"/>
      <c r="T1031" s="93"/>
      <c r="U1031" s="93"/>
      <c r="V1031" s="93" t="s">
        <v>282</v>
      </c>
      <c r="W1031" s="93" t="s">
        <v>850</v>
      </c>
      <c r="X1031" s="204" t="s">
        <v>3985</v>
      </c>
    </row>
    <row r="1032" spans="1:24" s="43" customFormat="1" ht="32.25" customHeight="1" x14ac:dyDescent="0.2">
      <c r="A1032" s="42">
        <v>1072</v>
      </c>
      <c r="B1032" s="93" t="s">
        <v>279</v>
      </c>
      <c r="C1032" s="94">
        <v>1072</v>
      </c>
      <c r="D1032" s="93" t="str">
        <f t="shared" ref="D1032:D1094" si="36">CONCATENATE(B1032,C1032)</f>
        <v>SUPERMIX1072</v>
      </c>
      <c r="E1032" s="115" t="s">
        <v>3554</v>
      </c>
      <c r="F1032" s="115" t="s">
        <v>3555</v>
      </c>
      <c r="G1032" s="93" t="s">
        <v>2825</v>
      </c>
      <c r="H1032" s="95">
        <v>41782860</v>
      </c>
      <c r="I1032" s="95" t="s">
        <v>3788</v>
      </c>
      <c r="J1032" s="93" t="s">
        <v>3556</v>
      </c>
      <c r="K1032" s="93" t="s">
        <v>1954</v>
      </c>
      <c r="L1032" s="96">
        <v>41340</v>
      </c>
      <c r="M1032" s="96">
        <v>46449</v>
      </c>
      <c r="N1032" s="93">
        <f t="shared" ca="1" si="35"/>
        <v>-262</v>
      </c>
      <c r="O1032" s="84" t="str">
        <f ca="1">IF(Tabla1[[#This Row],[|]]&gt;=0,"VENCIDA",IF(Tabla1[[#This Row],[|]]&gt;=-14,"POR VENCER","OK"))</f>
        <v>OK</v>
      </c>
      <c r="P1032" s="95" t="s">
        <v>3077</v>
      </c>
      <c r="Q1032" s="95" t="s">
        <v>312</v>
      </c>
      <c r="R1032" s="93" t="s">
        <v>17</v>
      </c>
      <c r="S1032" s="93"/>
      <c r="T1032" s="93"/>
      <c r="U1032" s="93"/>
      <c r="V1032" s="93" t="s">
        <v>282</v>
      </c>
      <c r="W1032" s="93" t="s">
        <v>850</v>
      </c>
      <c r="X1032" s="93" t="s">
        <v>624</v>
      </c>
    </row>
    <row r="1033" spans="1:24" s="43" customFormat="1" ht="32.25" customHeight="1" x14ac:dyDescent="0.2">
      <c r="A1033" s="42">
        <v>1073</v>
      </c>
      <c r="B1033" s="93" t="s">
        <v>279</v>
      </c>
      <c r="C1033" s="94">
        <v>1073</v>
      </c>
      <c r="D1033" s="93" t="str">
        <f t="shared" si="36"/>
        <v>SUPERMIX1073</v>
      </c>
      <c r="E1033" s="115" t="s">
        <v>3557</v>
      </c>
      <c r="F1033" s="115" t="s">
        <v>3558</v>
      </c>
      <c r="G1033" s="93" t="s">
        <v>2825</v>
      </c>
      <c r="H1033" s="95">
        <v>44095094</v>
      </c>
      <c r="I1033" s="95" t="s">
        <v>3788</v>
      </c>
      <c r="J1033" s="93" t="s">
        <v>3559</v>
      </c>
      <c r="K1033" s="93" t="s">
        <v>3443</v>
      </c>
      <c r="L1033" s="96">
        <v>42853</v>
      </c>
      <c r="M1033" s="96">
        <v>46366</v>
      </c>
      <c r="N1033" s="93">
        <f t="shared" ca="1" si="35"/>
        <v>-179</v>
      </c>
      <c r="O1033" s="84" t="str">
        <f ca="1">IF(Tabla1[[#This Row],[|]]&gt;=0,"VENCIDA",IF(Tabla1[[#This Row],[|]]&gt;=-14,"POR VENCER","OK"))</f>
        <v>OK</v>
      </c>
      <c r="P1033" s="95" t="s">
        <v>2778</v>
      </c>
      <c r="Q1033" s="95" t="s">
        <v>312</v>
      </c>
      <c r="R1033" s="93" t="s">
        <v>17</v>
      </c>
      <c r="S1033" s="93"/>
      <c r="T1033" s="93"/>
      <c r="U1033" s="93"/>
      <c r="V1033" s="93" t="s">
        <v>1939</v>
      </c>
      <c r="W1033" s="93" t="s">
        <v>3429</v>
      </c>
      <c r="X1033" s="93" t="s">
        <v>640</v>
      </c>
    </row>
    <row r="1034" spans="1:24" s="63" customFormat="1" ht="32.25" customHeight="1" x14ac:dyDescent="0.2">
      <c r="A1034" s="202">
        <v>1074</v>
      </c>
      <c r="B1034" s="88" t="s">
        <v>279</v>
      </c>
      <c r="C1034" s="89">
        <v>1074</v>
      </c>
      <c r="D1034" s="88" t="str">
        <f t="shared" si="36"/>
        <v>SUPERMIX1074</v>
      </c>
      <c r="E1034" s="58" t="s">
        <v>3560</v>
      </c>
      <c r="F1034" s="58" t="s">
        <v>2006</v>
      </c>
      <c r="G1034" s="88" t="s">
        <v>2825</v>
      </c>
      <c r="H1034" s="90">
        <v>29396529</v>
      </c>
      <c r="I1034" s="90" t="s">
        <v>3787</v>
      </c>
      <c r="J1034" s="88" t="s">
        <v>3561</v>
      </c>
      <c r="K1034" s="88" t="s">
        <v>1961</v>
      </c>
      <c r="L1034" s="91">
        <v>36031</v>
      </c>
      <c r="M1034" s="91">
        <v>46253</v>
      </c>
      <c r="N1034" s="88">
        <f t="shared" ca="1" si="35"/>
        <v>-66</v>
      </c>
      <c r="O1034" s="84" t="str">
        <f ca="1">IF(Tabla1[[#This Row],[|]]&gt;=0,"VENCIDA",IF(Tabla1[[#This Row],[|]]&gt;=-14,"POR VENCER","OK"))</f>
        <v>OK</v>
      </c>
      <c r="P1034" s="90" t="s">
        <v>2827</v>
      </c>
      <c r="Q1034" s="90" t="s">
        <v>312</v>
      </c>
      <c r="R1034" s="88" t="s">
        <v>317</v>
      </c>
      <c r="S1034" s="88"/>
      <c r="T1034" s="88"/>
      <c r="U1034" s="88"/>
      <c r="V1034" s="88" t="s">
        <v>3185</v>
      </c>
      <c r="W1034" s="88" t="s">
        <v>3524</v>
      </c>
      <c r="X1034" s="88" t="s">
        <v>3261</v>
      </c>
    </row>
    <row r="1035" spans="1:24" s="63" customFormat="1" ht="32.25" customHeight="1" x14ac:dyDescent="0.2">
      <c r="A1035" s="202">
        <v>1075</v>
      </c>
      <c r="B1035" s="88" t="s">
        <v>279</v>
      </c>
      <c r="C1035" s="89">
        <v>1075</v>
      </c>
      <c r="D1035" s="88" t="str">
        <f t="shared" si="36"/>
        <v>SUPERMIX1075</v>
      </c>
      <c r="E1035" s="58" t="s">
        <v>3562</v>
      </c>
      <c r="F1035" s="58" t="s">
        <v>3563</v>
      </c>
      <c r="G1035" s="88" t="s">
        <v>2825</v>
      </c>
      <c r="H1035" s="90">
        <v>46300203</v>
      </c>
      <c r="I1035" s="90" t="s">
        <v>3787</v>
      </c>
      <c r="J1035" s="88" t="s">
        <v>3564</v>
      </c>
      <c r="K1035" s="88" t="s">
        <v>3443</v>
      </c>
      <c r="L1035" s="91">
        <v>43045</v>
      </c>
      <c r="M1035" s="91">
        <v>45980</v>
      </c>
      <c r="N1035" s="88">
        <f t="shared" ca="1" si="35"/>
        <v>207</v>
      </c>
      <c r="O1035" s="84" t="str">
        <f ca="1">IF(Tabla1[[#This Row],[|]]&gt;=0,"VENCIDA",IF(Tabla1[[#This Row],[|]]&gt;=-14,"POR VENCER","OK"))</f>
        <v>VENCIDA</v>
      </c>
      <c r="P1035" s="90" t="s">
        <v>2847</v>
      </c>
      <c r="Q1035" s="90" t="s">
        <v>312</v>
      </c>
      <c r="R1035" s="88" t="s">
        <v>317</v>
      </c>
      <c r="S1035" s="88"/>
      <c r="T1035" s="88"/>
      <c r="U1035" s="88"/>
      <c r="V1035" s="88" t="s">
        <v>282</v>
      </c>
      <c r="W1035" s="88" t="s">
        <v>850</v>
      </c>
      <c r="X1035" s="88" t="s">
        <v>597</v>
      </c>
    </row>
    <row r="1036" spans="1:24" s="43" customFormat="1" ht="32.25" customHeight="1" x14ac:dyDescent="0.2">
      <c r="A1036" s="42">
        <v>1076</v>
      </c>
      <c r="B1036" s="93" t="s">
        <v>279</v>
      </c>
      <c r="C1036" s="94">
        <v>1076</v>
      </c>
      <c r="D1036" s="93" t="str">
        <f t="shared" si="36"/>
        <v>SUPERMIX1076</v>
      </c>
      <c r="E1036" s="115" t="s">
        <v>3627</v>
      </c>
      <c r="F1036" s="115" t="s">
        <v>3565</v>
      </c>
      <c r="G1036" s="93" t="s">
        <v>2825</v>
      </c>
      <c r="H1036" s="95">
        <v>29602278</v>
      </c>
      <c r="I1036" s="95" t="s">
        <v>3788</v>
      </c>
      <c r="J1036" s="93" t="s">
        <v>3566</v>
      </c>
      <c r="K1036" s="93" t="s">
        <v>3626</v>
      </c>
      <c r="L1036" s="96">
        <v>40633</v>
      </c>
      <c r="M1036" s="96">
        <v>45621</v>
      </c>
      <c r="N1036" s="93">
        <f t="shared" ca="1" si="35"/>
        <v>566</v>
      </c>
      <c r="O1036" s="84" t="str">
        <f ca="1">IF(Tabla1[[#This Row],[|]]&gt;=0,"VENCIDA",IF(Tabla1[[#This Row],[|]]&gt;=-14,"POR VENCER","OK"))</f>
        <v>VENCIDA</v>
      </c>
      <c r="P1036" s="95" t="s">
        <v>2827</v>
      </c>
      <c r="Q1036" s="95" t="s">
        <v>312</v>
      </c>
      <c r="R1036" s="93" t="s">
        <v>17</v>
      </c>
      <c r="S1036" s="93"/>
      <c r="T1036" s="93"/>
      <c r="U1036" s="93"/>
      <c r="V1036" s="93" t="s">
        <v>3185</v>
      </c>
      <c r="W1036" s="93" t="s">
        <v>3524</v>
      </c>
      <c r="X1036" s="93" t="s">
        <v>3042</v>
      </c>
    </row>
    <row r="1037" spans="1:24" s="59" customFormat="1" ht="32.25" customHeight="1" x14ac:dyDescent="0.2">
      <c r="A1037" s="202">
        <v>1077</v>
      </c>
      <c r="B1037" s="88" t="s">
        <v>279</v>
      </c>
      <c r="C1037" s="89">
        <v>1077</v>
      </c>
      <c r="D1037" s="88" t="str">
        <f t="shared" si="36"/>
        <v>SUPERMIX1077</v>
      </c>
      <c r="E1037" s="58" t="s">
        <v>3567</v>
      </c>
      <c r="F1037" s="58" t="s">
        <v>3568</v>
      </c>
      <c r="G1037" s="88" t="s">
        <v>2825</v>
      </c>
      <c r="H1037" s="90">
        <v>43209245</v>
      </c>
      <c r="I1037" s="90" t="s">
        <v>3787</v>
      </c>
      <c r="J1037" s="88" t="s">
        <v>3569</v>
      </c>
      <c r="K1037" s="88" t="s">
        <v>3625</v>
      </c>
      <c r="L1037" s="91">
        <v>41842</v>
      </c>
      <c r="M1037" s="91">
        <v>46141</v>
      </c>
      <c r="N1037" s="88">
        <f t="shared" ca="1" si="35"/>
        <v>46</v>
      </c>
      <c r="O1037" s="84" t="str">
        <f ca="1">IF(Tabla1[[#This Row],[|]]&gt;=0,"VENCIDA",IF(Tabla1[[#This Row],[|]]&gt;=-14,"POR VENCER","OK"))</f>
        <v>VENCIDA</v>
      </c>
      <c r="P1037" s="90" t="s">
        <v>2827</v>
      </c>
      <c r="Q1037" s="90" t="s">
        <v>312</v>
      </c>
      <c r="R1037" s="88" t="s">
        <v>317</v>
      </c>
      <c r="S1037" s="88"/>
      <c r="T1037" s="88"/>
      <c r="U1037" s="88"/>
      <c r="V1037" s="88" t="s">
        <v>1981</v>
      </c>
      <c r="W1037" s="88" t="s">
        <v>3345</v>
      </c>
      <c r="X1037" s="88" t="s">
        <v>2866</v>
      </c>
    </row>
    <row r="1038" spans="1:24" ht="32.25" customHeight="1" x14ac:dyDescent="0.2">
      <c r="A1038" s="202">
        <v>1078</v>
      </c>
      <c r="B1038" s="88" t="s">
        <v>279</v>
      </c>
      <c r="C1038" s="89">
        <v>1078</v>
      </c>
      <c r="D1038" s="88" t="str">
        <f t="shared" si="36"/>
        <v>SUPERMIX1078</v>
      </c>
      <c r="E1038" s="58" t="s">
        <v>3587</v>
      </c>
      <c r="F1038" s="58" t="s">
        <v>3571</v>
      </c>
      <c r="G1038" s="88" t="s">
        <v>2825</v>
      </c>
      <c r="H1038" s="90">
        <v>41409017</v>
      </c>
      <c r="I1038" s="90" t="s">
        <v>3787</v>
      </c>
      <c r="J1038" s="88" t="s">
        <v>3572</v>
      </c>
      <c r="K1038" s="88" t="s">
        <v>3142</v>
      </c>
      <c r="L1038" s="91">
        <v>39126</v>
      </c>
      <c r="M1038" s="91">
        <v>48443</v>
      </c>
      <c r="N1038" s="88">
        <f t="shared" ca="1" si="35"/>
        <v>-2256</v>
      </c>
      <c r="O1038" s="84" t="str">
        <f ca="1">IF(Tabla1[[#This Row],[|]]&gt;=0,"VENCIDA",IF(Tabla1[[#This Row],[|]]&gt;=-14,"POR VENCER","OK"))</f>
        <v>OK</v>
      </c>
      <c r="P1038" s="90" t="s">
        <v>2827</v>
      </c>
      <c r="Q1038" s="90" t="s">
        <v>312</v>
      </c>
      <c r="R1038" s="88" t="s">
        <v>317</v>
      </c>
      <c r="S1038" s="88"/>
      <c r="T1038" s="88"/>
      <c r="U1038" s="88"/>
      <c r="V1038" s="88" t="s">
        <v>836</v>
      </c>
      <c r="W1038" s="88" t="s">
        <v>3529</v>
      </c>
      <c r="X1038" s="88" t="s">
        <v>2996</v>
      </c>
    </row>
    <row r="1039" spans="1:24" s="56" customFormat="1" ht="32.25" customHeight="1" x14ac:dyDescent="0.2">
      <c r="A1039" s="212">
        <v>1079</v>
      </c>
      <c r="B1039" s="121" t="s">
        <v>279</v>
      </c>
      <c r="C1039" s="139">
        <v>1079</v>
      </c>
      <c r="D1039" s="121" t="str">
        <f t="shared" si="36"/>
        <v>SUPERMIX1079</v>
      </c>
      <c r="E1039" s="148" t="s">
        <v>3573</v>
      </c>
      <c r="F1039" s="148" t="s">
        <v>3574</v>
      </c>
      <c r="G1039" s="146" t="s">
        <v>2825</v>
      </c>
      <c r="H1039" s="149">
        <v>71438746</v>
      </c>
      <c r="I1039" s="149" t="s">
        <v>3788</v>
      </c>
      <c r="J1039" s="146" t="s">
        <v>3575</v>
      </c>
      <c r="K1039" s="146" t="s">
        <v>1954</v>
      </c>
      <c r="L1039" s="150">
        <v>43752</v>
      </c>
      <c r="M1039" s="150">
        <v>46660</v>
      </c>
      <c r="N1039" s="146">
        <f t="shared" ca="1" si="35"/>
        <v>-473</v>
      </c>
      <c r="O1039" s="142" t="str">
        <f ca="1">IF(Tabla1[[#This Row],[|]]&gt;=0,"VENCIDA",IF(Tabla1[[#This Row],[|]]&gt;=-14,"POR VENCER","OK"))</f>
        <v>OK</v>
      </c>
      <c r="P1039" s="149" t="s">
        <v>4203</v>
      </c>
      <c r="Q1039" s="120" t="s">
        <v>312</v>
      </c>
      <c r="R1039" s="146" t="s">
        <v>17</v>
      </c>
      <c r="S1039" s="61"/>
      <c r="T1039" s="61"/>
      <c r="U1039" s="61"/>
      <c r="V1039" s="146" t="s">
        <v>282</v>
      </c>
      <c r="W1039" s="146" t="s">
        <v>850</v>
      </c>
      <c r="X1039" s="146" t="s">
        <v>597</v>
      </c>
    </row>
    <row r="1040" spans="1:24" ht="32.25" customHeight="1" x14ac:dyDescent="0.2">
      <c r="A1040" s="42">
        <v>1080</v>
      </c>
      <c r="B1040" s="93" t="s">
        <v>279</v>
      </c>
      <c r="C1040" s="94">
        <v>1080</v>
      </c>
      <c r="D1040" s="93" t="str">
        <f t="shared" si="36"/>
        <v>SUPERMIX1080</v>
      </c>
      <c r="E1040" s="169" t="s">
        <v>3579</v>
      </c>
      <c r="F1040" s="169" t="s">
        <v>3580</v>
      </c>
      <c r="G1040" s="100" t="s">
        <v>2825</v>
      </c>
      <c r="H1040" s="102" t="s">
        <v>3581</v>
      </c>
      <c r="I1040" s="102" t="s">
        <v>3788</v>
      </c>
      <c r="J1040" s="100" t="s">
        <v>3582</v>
      </c>
      <c r="K1040" s="100" t="s">
        <v>3142</v>
      </c>
      <c r="L1040" s="103">
        <v>35051</v>
      </c>
      <c r="M1040" s="152">
        <v>44942</v>
      </c>
      <c r="N1040" s="100">
        <f t="shared" ca="1" si="35"/>
        <v>1245</v>
      </c>
      <c r="O1040" s="84" t="str">
        <f ca="1">IF(Tabla1[[#This Row],[|]]&gt;=0,"VENCIDA",IF(Tabla1[[#This Row],[|]]&gt;=-14,"POR VENCER","OK"))</f>
        <v>VENCIDA</v>
      </c>
      <c r="P1040" s="102" t="s">
        <v>2827</v>
      </c>
      <c r="Q1040" s="95" t="s">
        <v>312</v>
      </c>
      <c r="R1040" s="100" t="s">
        <v>317</v>
      </c>
      <c r="S1040" s="100"/>
      <c r="T1040" s="100"/>
      <c r="U1040" s="100"/>
      <c r="V1040" s="100" t="s">
        <v>836</v>
      </c>
      <c r="W1040" s="100" t="s">
        <v>3529</v>
      </c>
      <c r="X1040" s="100" t="s">
        <v>2996</v>
      </c>
    </row>
    <row r="1041" spans="1:24" ht="32.25" customHeight="1" x14ac:dyDescent="0.2">
      <c r="A1041" s="42">
        <v>1081</v>
      </c>
      <c r="B1041" s="93" t="s">
        <v>279</v>
      </c>
      <c r="C1041" s="94">
        <v>1081</v>
      </c>
      <c r="D1041" s="93" t="str">
        <f t="shared" si="36"/>
        <v>SUPERMIX1081</v>
      </c>
      <c r="E1041" s="169" t="s">
        <v>3583</v>
      </c>
      <c r="F1041" s="169" t="s">
        <v>3584</v>
      </c>
      <c r="G1041" s="100" t="s">
        <v>2825</v>
      </c>
      <c r="H1041" s="102">
        <v>45207840</v>
      </c>
      <c r="I1041" s="102" t="s">
        <v>3788</v>
      </c>
      <c r="J1041" s="100" t="s">
        <v>3585</v>
      </c>
      <c r="K1041" s="100" t="s">
        <v>3443</v>
      </c>
      <c r="L1041" s="103">
        <v>42537</v>
      </c>
      <c r="M1041" s="103">
        <v>46525</v>
      </c>
      <c r="N1041" s="100">
        <f t="shared" ca="1" si="35"/>
        <v>-338</v>
      </c>
      <c r="O1041" s="84" t="str">
        <f ca="1">IF(Tabla1[[#This Row],[|]]&gt;=0,"VENCIDA",IF(Tabla1[[#This Row],[|]]&gt;=-14,"POR VENCER","OK"))</f>
        <v>OK</v>
      </c>
      <c r="P1041" s="102" t="s">
        <v>2790</v>
      </c>
      <c r="Q1041" s="95" t="s">
        <v>312</v>
      </c>
      <c r="R1041" s="100" t="s">
        <v>317</v>
      </c>
      <c r="S1041" s="100"/>
      <c r="T1041" s="100"/>
      <c r="U1041" s="100"/>
      <c r="V1041" s="100" t="s">
        <v>1939</v>
      </c>
      <c r="W1041" s="100" t="s">
        <v>3429</v>
      </c>
      <c r="X1041" s="100" t="s">
        <v>624</v>
      </c>
    </row>
    <row r="1042" spans="1:24" s="59" customFormat="1" ht="32.25" customHeight="1" x14ac:dyDescent="0.2">
      <c r="A1042" s="202">
        <v>1082</v>
      </c>
      <c r="B1042" s="88" t="s">
        <v>279</v>
      </c>
      <c r="C1042" s="89">
        <v>1082</v>
      </c>
      <c r="D1042" s="88" t="str">
        <f t="shared" si="36"/>
        <v>SUPERMIX1082</v>
      </c>
      <c r="E1042" s="82" t="s">
        <v>994</v>
      </c>
      <c r="F1042" s="82" t="s">
        <v>3588</v>
      </c>
      <c r="G1042" s="61" t="s">
        <v>2825</v>
      </c>
      <c r="H1042" s="60" t="s">
        <v>3589</v>
      </c>
      <c r="I1042" s="60" t="s">
        <v>3787</v>
      </c>
      <c r="J1042" s="61" t="s">
        <v>3590</v>
      </c>
      <c r="K1042" s="61" t="s">
        <v>3443</v>
      </c>
      <c r="L1042" s="62">
        <v>39603</v>
      </c>
      <c r="M1042" s="62">
        <v>46257</v>
      </c>
      <c r="N1042" s="61">
        <f t="shared" ca="1" si="35"/>
        <v>-70</v>
      </c>
      <c r="O1042" s="84" t="str">
        <f ca="1">IF(Tabla1[[#This Row],[|]]&gt;=0,"VENCIDA",IF(Tabla1[[#This Row],[|]]&gt;=-14,"POR VENCER","OK"))</f>
        <v>OK</v>
      </c>
      <c r="P1042" s="60" t="s">
        <v>2790</v>
      </c>
      <c r="Q1042" s="90" t="s">
        <v>312</v>
      </c>
      <c r="R1042" s="61" t="s">
        <v>317</v>
      </c>
      <c r="S1042" s="61"/>
      <c r="T1042" s="61"/>
      <c r="U1042" s="61"/>
      <c r="V1042" s="61" t="s">
        <v>282</v>
      </c>
      <c r="W1042" s="61" t="s">
        <v>850</v>
      </c>
      <c r="X1042" s="61" t="s">
        <v>624</v>
      </c>
    </row>
    <row r="1043" spans="1:24" s="59" customFormat="1" ht="32.25" customHeight="1" x14ac:dyDescent="0.2">
      <c r="A1043" s="202">
        <v>1083</v>
      </c>
      <c r="B1043" s="88" t="s">
        <v>279</v>
      </c>
      <c r="C1043" s="89">
        <v>1083</v>
      </c>
      <c r="D1043" s="88" t="str">
        <f t="shared" si="36"/>
        <v>SUPERMIX1083</v>
      </c>
      <c r="E1043" s="82" t="s">
        <v>3591</v>
      </c>
      <c r="F1043" s="82" t="s">
        <v>3592</v>
      </c>
      <c r="G1043" s="61" t="s">
        <v>2825</v>
      </c>
      <c r="H1043" s="60">
        <v>43047838</v>
      </c>
      <c r="I1043" s="60" t="s">
        <v>3787</v>
      </c>
      <c r="J1043" s="61" t="s">
        <v>3593</v>
      </c>
      <c r="K1043" s="61" t="s">
        <v>3443</v>
      </c>
      <c r="L1043" s="62">
        <v>41899</v>
      </c>
      <c r="M1043" s="62">
        <v>45535</v>
      </c>
      <c r="N1043" s="61">
        <f t="shared" ca="1" si="35"/>
        <v>652</v>
      </c>
      <c r="O1043" s="84" t="str">
        <f ca="1">IF(Tabla1[[#This Row],[|]]&gt;=0,"VENCIDA",IF(Tabla1[[#This Row],[|]]&gt;=-14,"POR VENCER","OK"))</f>
        <v>VENCIDA</v>
      </c>
      <c r="P1043" s="60" t="s">
        <v>2790</v>
      </c>
      <c r="Q1043" s="90" t="s">
        <v>312</v>
      </c>
      <c r="R1043" s="61" t="s">
        <v>17</v>
      </c>
      <c r="S1043" s="61"/>
      <c r="T1043" s="61"/>
      <c r="U1043" s="61"/>
      <c r="V1043" s="61" t="s">
        <v>282</v>
      </c>
      <c r="W1043" s="61" t="s">
        <v>850</v>
      </c>
      <c r="X1043" s="61" t="s">
        <v>624</v>
      </c>
    </row>
    <row r="1044" spans="1:24" s="59" customFormat="1" ht="32.25" customHeight="1" x14ac:dyDescent="0.2">
      <c r="A1044" s="202">
        <v>1084</v>
      </c>
      <c r="B1044" s="88" t="s">
        <v>279</v>
      </c>
      <c r="C1044" s="89">
        <v>1084</v>
      </c>
      <c r="D1044" s="88" t="str">
        <f t="shared" si="36"/>
        <v>SUPERMIX1084</v>
      </c>
      <c r="E1044" s="82" t="s">
        <v>3594</v>
      </c>
      <c r="F1044" s="82" t="s">
        <v>3595</v>
      </c>
      <c r="G1044" s="61" t="s">
        <v>2825</v>
      </c>
      <c r="H1044" s="60">
        <v>44425385</v>
      </c>
      <c r="I1044" s="60" t="s">
        <v>3787</v>
      </c>
      <c r="J1044" s="61" t="s">
        <v>3596</v>
      </c>
      <c r="K1044" s="61" t="s">
        <v>3443</v>
      </c>
      <c r="L1044" s="62">
        <v>42335</v>
      </c>
      <c r="M1044" s="62">
        <v>46463</v>
      </c>
      <c r="N1044" s="61">
        <f t="shared" ca="1" si="35"/>
        <v>-276</v>
      </c>
      <c r="O1044" s="84" t="str">
        <f ca="1">IF(Tabla1[[#This Row],[|]]&gt;=0,"VENCIDA",IF(Tabla1[[#This Row],[|]]&gt;=-14,"POR VENCER","OK"))</f>
        <v>OK</v>
      </c>
      <c r="P1044" s="60" t="s">
        <v>2790</v>
      </c>
      <c r="Q1044" s="90" t="s">
        <v>312</v>
      </c>
      <c r="R1044" s="61" t="s">
        <v>317</v>
      </c>
      <c r="S1044" s="61"/>
      <c r="T1044" s="61"/>
      <c r="U1044" s="61"/>
      <c r="V1044" s="61" t="s">
        <v>282</v>
      </c>
      <c r="W1044" s="61" t="s">
        <v>850</v>
      </c>
      <c r="X1044" s="61" t="s">
        <v>624</v>
      </c>
    </row>
    <row r="1045" spans="1:24" ht="32.25" customHeight="1" x14ac:dyDescent="0.2">
      <c r="A1045" s="42">
        <v>1085</v>
      </c>
      <c r="B1045" s="93" t="s">
        <v>279</v>
      </c>
      <c r="C1045" s="94">
        <v>1085</v>
      </c>
      <c r="D1045" s="93" t="str">
        <f t="shared" si="36"/>
        <v>SUPERMIX1085</v>
      </c>
      <c r="E1045" s="169" t="s">
        <v>3600</v>
      </c>
      <c r="F1045" s="169" t="s">
        <v>3601</v>
      </c>
      <c r="G1045" s="100" t="s">
        <v>2825</v>
      </c>
      <c r="H1045" s="102">
        <v>44944558</v>
      </c>
      <c r="I1045" s="102" t="s">
        <v>3788</v>
      </c>
      <c r="J1045" s="100" t="s">
        <v>3602</v>
      </c>
      <c r="K1045" s="100" t="s">
        <v>2771</v>
      </c>
      <c r="L1045" s="103">
        <v>44369</v>
      </c>
      <c r="M1045" s="103">
        <v>46195</v>
      </c>
      <c r="N1045" s="100">
        <f t="shared" ca="1" si="35"/>
        <v>-8</v>
      </c>
      <c r="O1045" s="84" t="str">
        <f ca="1">IF(Tabla1[[#This Row],[|]]&gt;=0,"VENCIDA",IF(Tabla1[[#This Row],[|]]&gt;=-14,"POR VENCER","OK"))</f>
        <v>POR VENCER</v>
      </c>
      <c r="P1045" s="102" t="s">
        <v>3576</v>
      </c>
      <c r="Q1045" s="95" t="s">
        <v>312</v>
      </c>
      <c r="R1045" s="100" t="s">
        <v>317</v>
      </c>
      <c r="S1045" s="100"/>
      <c r="T1045" s="100"/>
      <c r="U1045" s="100"/>
      <c r="V1045" s="100" t="s">
        <v>282</v>
      </c>
      <c r="W1045" s="100" t="s">
        <v>850</v>
      </c>
      <c r="X1045" s="204" t="s">
        <v>597</v>
      </c>
    </row>
    <row r="1046" spans="1:24" s="59" customFormat="1" ht="32.25" customHeight="1" x14ac:dyDescent="0.2">
      <c r="A1046" s="202">
        <v>1086</v>
      </c>
      <c r="B1046" s="88" t="s">
        <v>279</v>
      </c>
      <c r="C1046" s="89">
        <v>1086</v>
      </c>
      <c r="D1046" s="88" t="str">
        <f t="shared" si="36"/>
        <v>SUPERMIX1086</v>
      </c>
      <c r="E1046" s="82" t="s">
        <v>3603</v>
      </c>
      <c r="F1046" s="82" t="s">
        <v>3604</v>
      </c>
      <c r="G1046" s="61" t="s">
        <v>2825</v>
      </c>
      <c r="H1046" s="60">
        <v>47848661</v>
      </c>
      <c r="I1046" s="60" t="s">
        <v>3787</v>
      </c>
      <c r="J1046" s="61" t="s">
        <v>3605</v>
      </c>
      <c r="K1046" s="61" t="s">
        <v>3443</v>
      </c>
      <c r="L1046" s="62">
        <v>44076</v>
      </c>
      <c r="M1046" s="62">
        <v>45902</v>
      </c>
      <c r="N1046" s="61">
        <f t="shared" ca="1" si="35"/>
        <v>285</v>
      </c>
      <c r="O1046" s="84" t="str">
        <f ca="1">IF(Tabla1[[#This Row],[|]]&gt;=0,"VENCIDA",IF(Tabla1[[#This Row],[|]]&gt;=-14,"POR VENCER","OK"))</f>
        <v>VENCIDA</v>
      </c>
      <c r="P1046" s="60" t="s">
        <v>3576</v>
      </c>
      <c r="Q1046" s="90" t="s">
        <v>312</v>
      </c>
      <c r="R1046" s="61" t="s">
        <v>317</v>
      </c>
      <c r="S1046" s="61"/>
      <c r="T1046" s="61"/>
      <c r="U1046" s="61"/>
      <c r="V1046" s="61" t="s">
        <v>282</v>
      </c>
      <c r="W1046" s="61" t="s">
        <v>850</v>
      </c>
      <c r="X1046" s="61" t="s">
        <v>597</v>
      </c>
    </row>
    <row r="1047" spans="1:24" s="59" customFormat="1" ht="32.25" customHeight="1" x14ac:dyDescent="0.2">
      <c r="A1047" s="202">
        <v>1087</v>
      </c>
      <c r="B1047" s="88" t="s">
        <v>279</v>
      </c>
      <c r="C1047" s="89">
        <v>1087</v>
      </c>
      <c r="D1047" s="88" t="str">
        <f t="shared" si="36"/>
        <v>SUPERMIX1087</v>
      </c>
      <c r="E1047" s="82" t="s">
        <v>3606</v>
      </c>
      <c r="F1047" s="82" t="s">
        <v>3607</v>
      </c>
      <c r="G1047" s="61" t="s">
        <v>2825</v>
      </c>
      <c r="H1047" s="60">
        <v>80015796</v>
      </c>
      <c r="I1047" s="60" t="s">
        <v>3787</v>
      </c>
      <c r="J1047" s="61" t="s">
        <v>3608</v>
      </c>
      <c r="K1047" s="61" t="s">
        <v>3443</v>
      </c>
      <c r="L1047" s="62">
        <v>39414</v>
      </c>
      <c r="M1047" s="62">
        <v>45623</v>
      </c>
      <c r="N1047" s="61">
        <f t="shared" ca="1" si="35"/>
        <v>564</v>
      </c>
      <c r="O1047" s="84" t="str">
        <f ca="1">IF(Tabla1[[#This Row],[|]]&gt;=0,"VENCIDA",IF(Tabla1[[#This Row],[|]]&gt;=-14,"POR VENCER","OK"))</f>
        <v>VENCIDA</v>
      </c>
      <c r="P1047" s="60" t="s">
        <v>3576</v>
      </c>
      <c r="Q1047" s="90" t="s">
        <v>312</v>
      </c>
      <c r="R1047" s="61" t="s">
        <v>317</v>
      </c>
      <c r="S1047" s="61"/>
      <c r="T1047" s="61"/>
      <c r="U1047" s="61"/>
      <c r="V1047" s="61" t="s">
        <v>282</v>
      </c>
      <c r="W1047" s="61" t="s">
        <v>850</v>
      </c>
      <c r="X1047" s="61" t="s">
        <v>597</v>
      </c>
    </row>
    <row r="1048" spans="1:24" s="59" customFormat="1" ht="32.25" customHeight="1" x14ac:dyDescent="0.2">
      <c r="A1048" s="202">
        <v>1088</v>
      </c>
      <c r="B1048" s="88" t="s">
        <v>279</v>
      </c>
      <c r="C1048" s="89">
        <v>1088</v>
      </c>
      <c r="D1048" s="88" t="str">
        <f t="shared" si="36"/>
        <v>SUPERMIX1088</v>
      </c>
      <c r="E1048" s="82" t="s">
        <v>3609</v>
      </c>
      <c r="F1048" s="82" t="s">
        <v>3610</v>
      </c>
      <c r="G1048" s="61" t="s">
        <v>2825</v>
      </c>
      <c r="H1048" s="60">
        <v>44951165</v>
      </c>
      <c r="I1048" s="60" t="s">
        <v>3787</v>
      </c>
      <c r="J1048" s="61" t="s">
        <v>3611</v>
      </c>
      <c r="K1048" s="61" t="s">
        <v>3443</v>
      </c>
      <c r="L1048" s="62">
        <v>41792</v>
      </c>
      <c r="M1048" s="62">
        <v>46260</v>
      </c>
      <c r="N1048" s="61">
        <f t="shared" ca="1" si="35"/>
        <v>-73</v>
      </c>
      <c r="O1048" s="84" t="str">
        <f ca="1">IF(Tabla1[[#This Row],[|]]&gt;=0,"VENCIDA",IF(Tabla1[[#This Row],[|]]&gt;=-14,"POR VENCER","OK"))</f>
        <v>OK</v>
      </c>
      <c r="P1048" s="60" t="s">
        <v>2790</v>
      </c>
      <c r="Q1048" s="90" t="s">
        <v>312</v>
      </c>
      <c r="R1048" s="61" t="s">
        <v>317</v>
      </c>
      <c r="S1048" s="61"/>
      <c r="T1048" s="61"/>
      <c r="U1048" s="61"/>
      <c r="V1048" s="61" t="s">
        <v>1939</v>
      </c>
      <c r="W1048" s="61" t="s">
        <v>3429</v>
      </c>
      <c r="X1048" s="61" t="s">
        <v>597</v>
      </c>
    </row>
    <row r="1049" spans="1:24" ht="32.25" customHeight="1" x14ac:dyDescent="0.2">
      <c r="A1049" s="42">
        <v>1089</v>
      </c>
      <c r="B1049" s="93" t="s">
        <v>279</v>
      </c>
      <c r="C1049" s="94">
        <v>1089</v>
      </c>
      <c r="D1049" s="93" t="str">
        <f t="shared" si="36"/>
        <v>SUPERMIX1089</v>
      </c>
      <c r="E1049" s="169" t="s">
        <v>3612</v>
      </c>
      <c r="F1049" s="169" t="s">
        <v>3613</v>
      </c>
      <c r="G1049" s="100" t="s">
        <v>2825</v>
      </c>
      <c r="H1049" s="102">
        <v>25321753</v>
      </c>
      <c r="I1049" s="102" t="s">
        <v>3788</v>
      </c>
      <c r="J1049" s="100" t="s">
        <v>3614</v>
      </c>
      <c r="K1049" s="100" t="s">
        <v>3443</v>
      </c>
      <c r="L1049" s="103">
        <v>41652</v>
      </c>
      <c r="M1049" s="103">
        <v>47106</v>
      </c>
      <c r="N1049" s="100">
        <f t="shared" ca="1" si="35"/>
        <v>-919</v>
      </c>
      <c r="O1049" s="84" t="str">
        <f ca="1">IF(Tabla1[[#This Row],[|]]&gt;=0,"VENCIDA",IF(Tabla1[[#This Row],[|]]&gt;=-14,"POR VENCER","OK"))</f>
        <v>OK</v>
      </c>
      <c r="P1049" s="102" t="s">
        <v>3892</v>
      </c>
      <c r="Q1049" s="95" t="s">
        <v>312</v>
      </c>
      <c r="R1049" s="100" t="s">
        <v>17</v>
      </c>
      <c r="S1049" s="100"/>
      <c r="T1049" s="100"/>
      <c r="U1049" s="100"/>
      <c r="V1049" s="100" t="s">
        <v>282</v>
      </c>
      <c r="W1049" s="100" t="s">
        <v>850</v>
      </c>
      <c r="X1049" s="100" t="s">
        <v>3616</v>
      </c>
    </row>
    <row r="1050" spans="1:24" ht="32.25" customHeight="1" x14ac:dyDescent="0.2">
      <c r="A1050" s="42">
        <v>1090</v>
      </c>
      <c r="B1050" s="93" t="s">
        <v>279</v>
      </c>
      <c r="C1050" s="94">
        <v>1090</v>
      </c>
      <c r="D1050" s="93" t="str">
        <f t="shared" si="36"/>
        <v>SUPERMIX1090</v>
      </c>
      <c r="E1050" s="169" t="s">
        <v>3617</v>
      </c>
      <c r="F1050" s="169" t="s">
        <v>1293</v>
      </c>
      <c r="G1050" s="100" t="s">
        <v>2825</v>
      </c>
      <c r="H1050" s="102">
        <v>41834016</v>
      </c>
      <c r="I1050" s="102" t="s">
        <v>3788</v>
      </c>
      <c r="J1050" s="100" t="s">
        <v>3618</v>
      </c>
      <c r="K1050" s="100" t="s">
        <v>3142</v>
      </c>
      <c r="L1050" s="103">
        <v>38481</v>
      </c>
      <c r="M1050" s="103">
        <v>48879</v>
      </c>
      <c r="N1050" s="100">
        <f t="shared" ca="1" si="35"/>
        <v>-2692</v>
      </c>
      <c r="O1050" s="84" t="str">
        <f ca="1">IF(Tabla1[[#This Row],[|]]&gt;=0,"VENCIDA",IF(Tabla1[[#This Row],[|]]&gt;=-14,"POR VENCER","OK"))</f>
        <v>OK</v>
      </c>
      <c r="P1050" s="102" t="s">
        <v>2827</v>
      </c>
      <c r="Q1050" s="95" t="s">
        <v>312</v>
      </c>
      <c r="R1050" s="100" t="s">
        <v>317</v>
      </c>
      <c r="S1050" s="100"/>
      <c r="T1050" s="100"/>
      <c r="U1050" s="100"/>
      <c r="V1050" s="100" t="s">
        <v>3796</v>
      </c>
      <c r="W1050" s="100" t="s">
        <v>3619</v>
      </c>
      <c r="X1050" s="100" t="s">
        <v>3797</v>
      </c>
    </row>
    <row r="1051" spans="1:24" s="56" customFormat="1" ht="32.25" customHeight="1" x14ac:dyDescent="0.2">
      <c r="A1051" s="42">
        <v>1091</v>
      </c>
      <c r="B1051" s="93" t="s">
        <v>279</v>
      </c>
      <c r="C1051" s="94">
        <v>1091</v>
      </c>
      <c r="D1051" s="93" t="str">
        <f t="shared" si="36"/>
        <v>SUPERMIX1091</v>
      </c>
      <c r="E1051" s="115" t="s">
        <v>3621</v>
      </c>
      <c r="F1051" s="169" t="s">
        <v>487</v>
      </c>
      <c r="G1051" s="100" t="s">
        <v>2825</v>
      </c>
      <c r="H1051" s="102">
        <v>45355793</v>
      </c>
      <c r="I1051" s="102" t="s">
        <v>3788</v>
      </c>
      <c r="J1051" s="100" t="s">
        <v>3622</v>
      </c>
      <c r="K1051" s="100" t="s">
        <v>3443</v>
      </c>
      <c r="L1051" s="103">
        <v>42500</v>
      </c>
      <c r="M1051" s="103">
        <v>46602</v>
      </c>
      <c r="N1051" s="100">
        <f t="shared" ca="1" si="35"/>
        <v>-415</v>
      </c>
      <c r="O1051" s="84" t="str">
        <f ca="1">IF(Tabla1[[#This Row],[|]]&gt;=0,"VENCIDA",IF(Tabla1[[#This Row],[|]]&gt;=-14,"POR VENCER","OK"))</f>
        <v>OK</v>
      </c>
      <c r="P1051" s="102" t="s">
        <v>3156</v>
      </c>
      <c r="Q1051" s="95" t="s">
        <v>312</v>
      </c>
      <c r="R1051" s="100" t="s">
        <v>317</v>
      </c>
      <c r="S1051" s="100"/>
      <c r="T1051" s="100"/>
      <c r="U1051" s="100"/>
      <c r="V1051" s="100" t="s">
        <v>282</v>
      </c>
      <c r="W1051" s="100" t="s">
        <v>1017</v>
      </c>
      <c r="X1051" s="100" t="s">
        <v>927</v>
      </c>
    </row>
    <row r="1052" spans="1:24" s="59" customFormat="1" ht="32.25" customHeight="1" x14ac:dyDescent="0.2">
      <c r="A1052" s="202">
        <v>1092</v>
      </c>
      <c r="B1052" s="88" t="s">
        <v>279</v>
      </c>
      <c r="C1052" s="89">
        <v>1092</v>
      </c>
      <c r="D1052" s="88" t="str">
        <f t="shared" si="36"/>
        <v>SUPERMIX1092</v>
      </c>
      <c r="E1052" s="58" t="s">
        <v>3628</v>
      </c>
      <c r="F1052" s="82" t="s">
        <v>3629</v>
      </c>
      <c r="G1052" s="61" t="s">
        <v>2825</v>
      </c>
      <c r="H1052" s="60">
        <v>44306843</v>
      </c>
      <c r="I1052" s="60" t="s">
        <v>3787</v>
      </c>
      <c r="J1052" s="61" t="s">
        <v>3630</v>
      </c>
      <c r="K1052" s="61" t="s">
        <v>3443</v>
      </c>
      <c r="L1052" s="62">
        <v>44384</v>
      </c>
      <c r="M1052" s="153">
        <v>46210</v>
      </c>
      <c r="N1052" s="61">
        <f t="shared" ca="1" si="35"/>
        <v>-23</v>
      </c>
      <c r="O1052" s="84" t="str">
        <f ca="1">IF(Tabla1[[#This Row],[|]]&gt;=0,"VENCIDA",IF(Tabla1[[#This Row],[|]]&gt;=-14,"POR VENCER","OK"))</f>
        <v>OK</v>
      </c>
      <c r="P1052" s="157" t="s">
        <v>2790</v>
      </c>
      <c r="Q1052" s="90" t="s">
        <v>312</v>
      </c>
      <c r="R1052" s="61" t="s">
        <v>317</v>
      </c>
      <c r="S1052" s="61"/>
      <c r="T1052" s="61"/>
      <c r="U1052" s="61"/>
      <c r="V1052" s="61" t="s">
        <v>1939</v>
      </c>
      <c r="W1052" s="61" t="s">
        <v>3693</v>
      </c>
      <c r="X1052" s="61" t="s">
        <v>624</v>
      </c>
    </row>
    <row r="1053" spans="1:24" s="59" customFormat="1" ht="32.25" customHeight="1" x14ac:dyDescent="0.2">
      <c r="A1053" s="202">
        <v>1093</v>
      </c>
      <c r="B1053" s="88" t="s">
        <v>279</v>
      </c>
      <c r="C1053" s="89">
        <v>1093</v>
      </c>
      <c r="D1053" s="88" t="str">
        <f t="shared" si="36"/>
        <v>SUPERMIX1093</v>
      </c>
      <c r="E1053" s="113" t="s">
        <v>3631</v>
      </c>
      <c r="F1053" s="113" t="s">
        <v>1058</v>
      </c>
      <c r="G1053" s="61" t="s">
        <v>2825</v>
      </c>
      <c r="H1053" s="154">
        <v>25218948</v>
      </c>
      <c r="I1053" s="154" t="s">
        <v>3787</v>
      </c>
      <c r="J1053" s="155" t="s">
        <v>3632</v>
      </c>
      <c r="K1053" s="155" t="s">
        <v>3443</v>
      </c>
      <c r="L1053" s="153">
        <v>45983</v>
      </c>
      <c r="M1053" s="153">
        <v>45727</v>
      </c>
      <c r="N1053" s="61">
        <f t="shared" ca="1" si="35"/>
        <v>460</v>
      </c>
      <c r="O1053" s="84" t="str">
        <f ca="1">IF(Tabla1[[#This Row],[|]]&gt;=0,"VENCIDA",IF(Tabla1[[#This Row],[|]]&gt;=-14,"POR VENCER","OK"))</f>
        <v>VENCIDA</v>
      </c>
      <c r="P1053" s="157" t="s">
        <v>2790</v>
      </c>
      <c r="Q1053" s="90" t="s">
        <v>312</v>
      </c>
      <c r="R1053" s="61" t="s">
        <v>317</v>
      </c>
      <c r="S1053" s="61"/>
      <c r="T1053" s="61"/>
      <c r="U1053" s="61"/>
      <c r="V1053" s="61"/>
      <c r="W1053" s="61"/>
      <c r="X1053" s="61"/>
    </row>
    <row r="1054" spans="1:24" s="59" customFormat="1" ht="32.25" customHeight="1" x14ac:dyDescent="0.2">
      <c r="A1054" s="202">
        <v>1094</v>
      </c>
      <c r="B1054" s="88" t="s">
        <v>279</v>
      </c>
      <c r="C1054" s="89">
        <v>1094</v>
      </c>
      <c r="D1054" s="88" t="str">
        <f t="shared" si="36"/>
        <v>SUPERMIX1094</v>
      </c>
      <c r="E1054" s="113" t="s">
        <v>3633</v>
      </c>
      <c r="F1054" s="113" t="s">
        <v>3634</v>
      </c>
      <c r="G1054" s="61" t="s">
        <v>2825</v>
      </c>
      <c r="H1054" s="154">
        <v>43687935</v>
      </c>
      <c r="I1054" s="154" t="s">
        <v>3787</v>
      </c>
      <c r="J1054" s="155" t="s">
        <v>3635</v>
      </c>
      <c r="K1054" s="109" t="s">
        <v>3443</v>
      </c>
      <c r="L1054" s="153">
        <v>41359</v>
      </c>
      <c r="M1054" s="153">
        <v>45870</v>
      </c>
      <c r="N1054" s="61">
        <f t="shared" ca="1" si="35"/>
        <v>317</v>
      </c>
      <c r="O1054" s="84" t="str">
        <f ca="1">IF(Tabla1[[#This Row],[|]]&gt;=0,"VENCIDA",IF(Tabla1[[#This Row],[|]]&gt;=-14,"POR VENCER","OK"))</f>
        <v>VENCIDA</v>
      </c>
      <c r="P1054" s="157" t="s">
        <v>3576</v>
      </c>
      <c r="Q1054" s="90" t="s">
        <v>312</v>
      </c>
      <c r="R1054" s="61" t="s">
        <v>317</v>
      </c>
      <c r="S1054" s="61"/>
      <c r="T1054" s="61"/>
      <c r="U1054" s="61"/>
      <c r="V1054" s="61"/>
      <c r="W1054" s="61"/>
      <c r="X1054" s="61"/>
    </row>
    <row r="1055" spans="1:24" s="59" customFormat="1" ht="32.25" customHeight="1" x14ac:dyDescent="0.2">
      <c r="A1055" s="202">
        <v>1095</v>
      </c>
      <c r="B1055" s="88" t="s">
        <v>279</v>
      </c>
      <c r="C1055" s="89">
        <v>1095</v>
      </c>
      <c r="D1055" s="88" t="str">
        <f t="shared" si="36"/>
        <v>SUPERMIX1095</v>
      </c>
      <c r="E1055" s="82" t="s">
        <v>3636</v>
      </c>
      <c r="F1055" s="82" t="s">
        <v>3637</v>
      </c>
      <c r="G1055" s="61" t="s">
        <v>2825</v>
      </c>
      <c r="H1055" s="60">
        <v>44743158</v>
      </c>
      <c r="I1055" s="60" t="s">
        <v>3787</v>
      </c>
      <c r="J1055" s="61" t="s">
        <v>3638</v>
      </c>
      <c r="K1055" s="88" t="s">
        <v>3443</v>
      </c>
      <c r="L1055" s="62">
        <v>44526</v>
      </c>
      <c r="M1055" s="62">
        <v>46352</v>
      </c>
      <c r="N1055" s="61">
        <f t="shared" ca="1" si="35"/>
        <v>-165</v>
      </c>
      <c r="O1055" s="84" t="str">
        <f ca="1">IF(Tabla1[[#This Row],[|]]&gt;=0,"VENCIDA",IF(Tabla1[[#This Row],[|]]&gt;=-14,"POR VENCER","OK"))</f>
        <v>OK</v>
      </c>
      <c r="P1055" s="157" t="s">
        <v>3576</v>
      </c>
      <c r="Q1055" s="90" t="s">
        <v>312</v>
      </c>
      <c r="R1055" s="88" t="s">
        <v>317</v>
      </c>
      <c r="S1055" s="61"/>
      <c r="T1055" s="61"/>
      <c r="U1055" s="61"/>
      <c r="V1055" s="61"/>
      <c r="W1055" s="61"/>
      <c r="X1055" s="61"/>
    </row>
    <row r="1056" spans="1:24" s="59" customFormat="1" ht="32.25" customHeight="1" x14ac:dyDescent="0.2">
      <c r="A1056" s="202">
        <v>1096</v>
      </c>
      <c r="B1056" s="88" t="s">
        <v>279</v>
      </c>
      <c r="C1056" s="89">
        <v>1096</v>
      </c>
      <c r="D1056" s="88" t="str">
        <f t="shared" si="36"/>
        <v>SUPERMIX1096</v>
      </c>
      <c r="E1056" s="82" t="s">
        <v>3639</v>
      </c>
      <c r="F1056" s="82" t="s">
        <v>842</v>
      </c>
      <c r="G1056" s="61" t="s">
        <v>2825</v>
      </c>
      <c r="H1056" s="60">
        <v>40717346</v>
      </c>
      <c r="I1056" s="60" t="s">
        <v>3787</v>
      </c>
      <c r="J1056" s="61" t="s">
        <v>3640</v>
      </c>
      <c r="K1056" s="88" t="s">
        <v>3443</v>
      </c>
      <c r="L1056" s="62">
        <v>40653</v>
      </c>
      <c r="M1056" s="62">
        <v>45685</v>
      </c>
      <c r="N1056" s="61">
        <f t="shared" ca="1" si="35"/>
        <v>502</v>
      </c>
      <c r="O1056" s="84" t="str">
        <f ca="1">IF(Tabla1[[#This Row],[|]]&gt;=0,"VENCIDA",IF(Tabla1[[#This Row],[|]]&gt;=-14,"POR VENCER","OK"))</f>
        <v>VENCIDA</v>
      </c>
      <c r="P1056" s="157" t="s">
        <v>2790</v>
      </c>
      <c r="Q1056" s="90" t="s">
        <v>312</v>
      </c>
      <c r="R1056" s="88" t="s">
        <v>317</v>
      </c>
      <c r="S1056" s="61"/>
      <c r="T1056" s="61"/>
      <c r="U1056" s="61"/>
      <c r="V1056" s="61"/>
      <c r="W1056" s="61"/>
      <c r="X1056" s="61"/>
    </row>
    <row r="1057" spans="1:24" ht="32.25" customHeight="1" x14ac:dyDescent="0.2">
      <c r="A1057" s="202">
        <v>1097</v>
      </c>
      <c r="B1057" s="88" t="s">
        <v>279</v>
      </c>
      <c r="C1057" s="89">
        <v>1097</v>
      </c>
      <c r="D1057" s="88" t="str">
        <f t="shared" si="36"/>
        <v>SUPERMIX1097</v>
      </c>
      <c r="E1057" s="82" t="s">
        <v>3697</v>
      </c>
      <c r="F1057" s="82" t="s">
        <v>3688</v>
      </c>
      <c r="G1057" s="61" t="s">
        <v>2825</v>
      </c>
      <c r="H1057" s="60">
        <v>29462192</v>
      </c>
      <c r="I1057" s="60" t="s">
        <v>3787</v>
      </c>
      <c r="J1057" s="60" t="s">
        <v>3689</v>
      </c>
      <c r="K1057" s="88" t="s">
        <v>3623</v>
      </c>
      <c r="L1057" s="62">
        <v>30690</v>
      </c>
      <c r="M1057" s="62">
        <v>46247</v>
      </c>
      <c r="N1057" s="61">
        <f t="shared" ca="1" si="35"/>
        <v>-60</v>
      </c>
      <c r="O1057" s="84" t="str">
        <f ca="1">IF(Tabla1[[#This Row],[|]]&gt;=0,"VENCIDA",IF(Tabla1[[#This Row],[|]]&gt;=-14,"POR VENCER","OK"))</f>
        <v>OK</v>
      </c>
      <c r="P1057" s="157" t="s">
        <v>2827</v>
      </c>
      <c r="Q1057" s="90" t="s">
        <v>312</v>
      </c>
      <c r="R1057" s="88" t="s">
        <v>317</v>
      </c>
      <c r="S1057" s="61"/>
      <c r="T1057" s="61"/>
      <c r="U1057" s="61"/>
      <c r="V1057" s="61" t="s">
        <v>2973</v>
      </c>
      <c r="W1057" s="61" t="s">
        <v>2835</v>
      </c>
      <c r="X1057" s="61" t="s">
        <v>2836</v>
      </c>
    </row>
    <row r="1058" spans="1:24" s="59" customFormat="1" ht="32.25" customHeight="1" x14ac:dyDescent="0.2">
      <c r="A1058" s="202">
        <v>1098</v>
      </c>
      <c r="B1058" s="88" t="s">
        <v>279</v>
      </c>
      <c r="C1058" s="89">
        <v>1098</v>
      </c>
      <c r="D1058" s="88" t="str">
        <f t="shared" si="36"/>
        <v>SUPERMIX1098</v>
      </c>
      <c r="E1058" s="58" t="s">
        <v>3675</v>
      </c>
      <c r="F1058" s="58" t="s">
        <v>484</v>
      </c>
      <c r="G1058" s="61" t="s">
        <v>2825</v>
      </c>
      <c r="H1058" s="90">
        <v>41451792</v>
      </c>
      <c r="I1058" s="90" t="s">
        <v>3787</v>
      </c>
      <c r="J1058" s="90" t="s">
        <v>3641</v>
      </c>
      <c r="K1058" s="88" t="s">
        <v>3443</v>
      </c>
      <c r="L1058" s="91">
        <v>41346</v>
      </c>
      <c r="M1058" s="91">
        <v>45808</v>
      </c>
      <c r="N1058" s="61">
        <f t="shared" ca="1" si="35"/>
        <v>379</v>
      </c>
      <c r="O1058" s="84" t="str">
        <f ca="1">IF(Tabla1[[#This Row],[|]]&gt;=0,"VENCIDA",IF(Tabla1[[#This Row],[|]]&gt;=-14,"POR VENCER","OK"))</f>
        <v>VENCIDA</v>
      </c>
      <c r="P1058" s="157" t="s">
        <v>3173</v>
      </c>
      <c r="Q1058" s="90" t="s">
        <v>312</v>
      </c>
      <c r="R1058" s="88" t="s">
        <v>317</v>
      </c>
      <c r="S1058" s="61"/>
      <c r="T1058" s="61"/>
      <c r="U1058" s="61"/>
      <c r="V1058" s="61"/>
      <c r="W1058" s="61"/>
      <c r="X1058" s="61"/>
    </row>
    <row r="1059" spans="1:24" ht="32.25" customHeight="1" x14ac:dyDescent="0.2">
      <c r="A1059" s="42">
        <v>1099</v>
      </c>
      <c r="B1059" s="93" t="s">
        <v>279</v>
      </c>
      <c r="C1059" s="94">
        <v>1099</v>
      </c>
      <c r="D1059" s="93" t="str">
        <f t="shared" si="36"/>
        <v>SUPERMIX1099</v>
      </c>
      <c r="E1059" s="169" t="s">
        <v>1662</v>
      </c>
      <c r="F1059" s="169" t="s">
        <v>753</v>
      </c>
      <c r="G1059" s="100" t="s">
        <v>2825</v>
      </c>
      <c r="H1059" s="102">
        <v>40913003</v>
      </c>
      <c r="I1059" s="102" t="s">
        <v>3788</v>
      </c>
      <c r="J1059" s="102" t="s">
        <v>3642</v>
      </c>
      <c r="K1059" s="100" t="s">
        <v>3443</v>
      </c>
      <c r="L1059" s="103">
        <v>41170</v>
      </c>
      <c r="M1059" s="103">
        <v>46208</v>
      </c>
      <c r="N1059" s="100">
        <f t="shared" ca="1" si="35"/>
        <v>-21</v>
      </c>
      <c r="O1059" s="84" t="str">
        <f ca="1">IF(Tabla1[[#This Row],[|]]&gt;=0,"VENCIDA",IF(Tabla1[[#This Row],[|]]&gt;=-14,"POR VENCER","OK"))</f>
        <v>OK</v>
      </c>
      <c r="P1059" s="156" t="s">
        <v>3453</v>
      </c>
      <c r="Q1059" s="95" t="s">
        <v>312</v>
      </c>
      <c r="R1059" s="100" t="s">
        <v>17</v>
      </c>
      <c r="S1059" s="100"/>
      <c r="T1059" s="100"/>
      <c r="U1059" s="100"/>
      <c r="V1059" s="100"/>
      <c r="W1059" s="100"/>
      <c r="X1059" s="100"/>
    </row>
    <row r="1060" spans="1:24" ht="32.25" customHeight="1" x14ac:dyDescent="0.2">
      <c r="A1060" s="42">
        <v>1100</v>
      </c>
      <c r="B1060" s="93" t="s">
        <v>279</v>
      </c>
      <c r="C1060" s="94">
        <v>1100</v>
      </c>
      <c r="D1060" s="93" t="str">
        <f t="shared" si="36"/>
        <v>SUPERMIX1100</v>
      </c>
      <c r="E1060" s="169" t="s">
        <v>3643</v>
      </c>
      <c r="F1060" s="169" t="s">
        <v>3644</v>
      </c>
      <c r="G1060" s="100" t="s">
        <v>2825</v>
      </c>
      <c r="H1060" s="102">
        <v>47145827</v>
      </c>
      <c r="I1060" s="102" t="s">
        <v>3788</v>
      </c>
      <c r="J1060" s="100" t="s">
        <v>3645</v>
      </c>
      <c r="K1060" s="100" t="s">
        <v>3443</v>
      </c>
      <c r="L1060" s="103">
        <v>43776</v>
      </c>
      <c r="M1060" s="103">
        <v>46673</v>
      </c>
      <c r="N1060" s="100">
        <f t="shared" ca="1" si="35"/>
        <v>-486</v>
      </c>
      <c r="O1060" s="84" t="str">
        <f ca="1">IF(Tabla1[[#This Row],[|]]&gt;=0,"VENCIDA",IF(Tabla1[[#This Row],[|]]&gt;=-14,"POR VENCER","OK"))</f>
        <v>OK</v>
      </c>
      <c r="P1060" s="102" t="s">
        <v>3902</v>
      </c>
      <c r="Q1060" s="95" t="s">
        <v>312</v>
      </c>
      <c r="R1060" s="93" t="s">
        <v>317</v>
      </c>
      <c r="S1060" s="100"/>
      <c r="T1060" s="100"/>
      <c r="U1060" s="100"/>
      <c r="V1060" s="100" t="s">
        <v>1939</v>
      </c>
      <c r="W1060" s="100" t="s">
        <v>3515</v>
      </c>
      <c r="X1060" s="100" t="s">
        <v>624</v>
      </c>
    </row>
    <row r="1061" spans="1:24" s="59" customFormat="1" ht="32.25" customHeight="1" x14ac:dyDescent="0.2">
      <c r="A1061" s="202">
        <v>1101</v>
      </c>
      <c r="B1061" s="88" t="s">
        <v>279</v>
      </c>
      <c r="C1061" s="89">
        <v>1101</v>
      </c>
      <c r="D1061" s="88" t="str">
        <f t="shared" si="36"/>
        <v>SUPERMIX1101</v>
      </c>
      <c r="E1061" s="82" t="s">
        <v>3646</v>
      </c>
      <c r="F1061" s="82" t="s">
        <v>3647</v>
      </c>
      <c r="G1061" s="61" t="s">
        <v>2825</v>
      </c>
      <c r="H1061" s="60">
        <v>43815177</v>
      </c>
      <c r="I1061" s="60" t="s">
        <v>3787</v>
      </c>
      <c r="J1061" s="60" t="s">
        <v>3648</v>
      </c>
      <c r="K1061" s="61" t="s">
        <v>3443</v>
      </c>
      <c r="L1061" s="62">
        <v>43370</v>
      </c>
      <c r="M1061" s="62">
        <v>46552</v>
      </c>
      <c r="N1061" s="61">
        <f t="shared" ca="1" si="35"/>
        <v>-365</v>
      </c>
      <c r="O1061" s="84" t="str">
        <f ca="1">IF(Tabla1[[#This Row],[|]]&gt;=0,"VENCIDA",IF(Tabla1[[#This Row],[|]]&gt;=-14,"POR VENCER","OK"))</f>
        <v>OK</v>
      </c>
      <c r="P1061" s="157" t="s">
        <v>3576</v>
      </c>
      <c r="Q1061" s="90" t="s">
        <v>312</v>
      </c>
      <c r="R1061" s="88" t="s">
        <v>317</v>
      </c>
      <c r="S1061" s="61"/>
      <c r="T1061" s="61"/>
      <c r="U1061" s="61"/>
      <c r="V1061" s="61"/>
      <c r="W1061" s="61"/>
      <c r="X1061" s="61"/>
    </row>
    <row r="1062" spans="1:24" ht="32.25" customHeight="1" x14ac:dyDescent="0.2">
      <c r="A1062" s="42">
        <v>1102</v>
      </c>
      <c r="B1062" s="93" t="s">
        <v>279</v>
      </c>
      <c r="C1062" s="94">
        <v>1102</v>
      </c>
      <c r="D1062" s="93" t="str">
        <f t="shared" si="36"/>
        <v>SUPERMIX1102</v>
      </c>
      <c r="E1062" s="169" t="s">
        <v>3649</v>
      </c>
      <c r="F1062" s="169" t="s">
        <v>3650</v>
      </c>
      <c r="G1062" s="100" t="s">
        <v>2825</v>
      </c>
      <c r="H1062" s="102">
        <v>29296098</v>
      </c>
      <c r="I1062" s="102" t="s">
        <v>3788</v>
      </c>
      <c r="J1062" s="100" t="s">
        <v>3651</v>
      </c>
      <c r="K1062" s="100" t="s">
        <v>3142</v>
      </c>
      <c r="L1062" s="103">
        <v>30816</v>
      </c>
      <c r="M1062" s="103">
        <v>46630</v>
      </c>
      <c r="N1062" s="100">
        <f t="shared" ca="1" si="35"/>
        <v>-443</v>
      </c>
      <c r="O1062" s="84" t="str">
        <f ca="1">IF(Tabla1[[#This Row],[|]]&gt;=0,"VENCIDA",IF(Tabla1[[#This Row],[|]]&gt;=-14,"POR VENCER","OK"))</f>
        <v>OK</v>
      </c>
      <c r="P1062" s="102" t="s">
        <v>2827</v>
      </c>
      <c r="Q1062" s="95" t="s">
        <v>312</v>
      </c>
      <c r="R1062" s="100" t="s">
        <v>17</v>
      </c>
      <c r="S1062" s="100"/>
      <c r="T1062" s="100"/>
      <c r="U1062" s="100"/>
      <c r="V1062" s="100"/>
      <c r="W1062" s="100"/>
      <c r="X1062" s="100"/>
    </row>
    <row r="1063" spans="1:24" ht="32.25" customHeight="1" x14ac:dyDescent="0.2">
      <c r="A1063" s="42">
        <v>1103</v>
      </c>
      <c r="B1063" s="93" t="s">
        <v>279</v>
      </c>
      <c r="C1063" s="94">
        <v>1103</v>
      </c>
      <c r="D1063" s="93" t="str">
        <f t="shared" si="36"/>
        <v>SUPERMIX1103</v>
      </c>
      <c r="E1063" s="169" t="s">
        <v>3652</v>
      </c>
      <c r="F1063" s="169" t="s">
        <v>2329</v>
      </c>
      <c r="G1063" s="100" t="s">
        <v>2825</v>
      </c>
      <c r="H1063" s="102">
        <v>45001809</v>
      </c>
      <c r="I1063" s="102" t="s">
        <v>3788</v>
      </c>
      <c r="J1063" s="100" t="s">
        <v>3653</v>
      </c>
      <c r="K1063" s="100" t="s">
        <v>1954</v>
      </c>
      <c r="L1063" s="104">
        <v>45002</v>
      </c>
      <c r="M1063" s="103">
        <v>46829</v>
      </c>
      <c r="N1063" s="100">
        <f t="shared" ca="1" si="35"/>
        <v>-642</v>
      </c>
      <c r="O1063" s="84" t="str">
        <f ca="1">IF(Tabla1[[#This Row],[|]]&gt;=0,"VENCIDA",IF(Tabla1[[#This Row],[|]]&gt;=-14,"POR VENCER","OK"))</f>
        <v>OK</v>
      </c>
      <c r="P1063" s="102" t="s">
        <v>2827</v>
      </c>
      <c r="Q1063" s="95" t="s">
        <v>312</v>
      </c>
      <c r="R1063" s="100" t="s">
        <v>317</v>
      </c>
      <c r="S1063" s="100"/>
      <c r="T1063" s="100"/>
      <c r="U1063" s="100"/>
      <c r="V1063" s="100" t="s">
        <v>282</v>
      </c>
      <c r="W1063" s="100" t="s">
        <v>1112</v>
      </c>
      <c r="X1063" s="100" t="s">
        <v>3751</v>
      </c>
    </row>
    <row r="1064" spans="1:24" s="59" customFormat="1" ht="32.25" customHeight="1" x14ac:dyDescent="0.2">
      <c r="A1064" s="202">
        <v>1104</v>
      </c>
      <c r="B1064" s="88" t="s">
        <v>279</v>
      </c>
      <c r="C1064" s="89">
        <v>1104</v>
      </c>
      <c r="D1064" s="88" t="str">
        <f t="shared" si="36"/>
        <v>SUPERMIX1104</v>
      </c>
      <c r="E1064" s="82" t="s">
        <v>3654</v>
      </c>
      <c r="F1064" s="82" t="s">
        <v>3655</v>
      </c>
      <c r="G1064" s="61" t="s">
        <v>2825</v>
      </c>
      <c r="H1064" s="60">
        <v>48949818</v>
      </c>
      <c r="I1064" s="60" t="s">
        <v>3787</v>
      </c>
      <c r="J1064" s="61" t="s">
        <v>3656</v>
      </c>
      <c r="K1064" s="61" t="s">
        <v>3625</v>
      </c>
      <c r="L1064" s="62">
        <v>44586</v>
      </c>
      <c r="M1064" s="62">
        <v>46412</v>
      </c>
      <c r="N1064" s="61">
        <f t="shared" ca="1" si="35"/>
        <v>-225</v>
      </c>
      <c r="O1064" s="84" t="str">
        <f ca="1">IF(Tabla1[[#This Row],[|]]&gt;=0,"VENCIDA",IF(Tabla1[[#This Row],[|]]&gt;=-14,"POR VENCER","OK"))</f>
        <v>OK</v>
      </c>
      <c r="P1064" s="60" t="s">
        <v>2778</v>
      </c>
      <c r="Q1064" s="90" t="s">
        <v>312</v>
      </c>
      <c r="R1064" s="61" t="s">
        <v>317</v>
      </c>
      <c r="S1064" s="61"/>
      <c r="T1064" s="61"/>
      <c r="U1064" s="61"/>
      <c r="V1064" s="61"/>
      <c r="W1064" s="61"/>
      <c r="X1064" s="61"/>
    </row>
    <row r="1065" spans="1:24" ht="32.25" customHeight="1" x14ac:dyDescent="0.2">
      <c r="A1065" s="42">
        <v>1105</v>
      </c>
      <c r="B1065" s="93" t="s">
        <v>279</v>
      </c>
      <c r="C1065" s="94">
        <v>1105</v>
      </c>
      <c r="D1065" s="93" t="str">
        <f t="shared" si="36"/>
        <v>SUPERMIX1105</v>
      </c>
      <c r="E1065" s="169" t="s">
        <v>3657</v>
      </c>
      <c r="F1065" s="169" t="s">
        <v>3658</v>
      </c>
      <c r="G1065" s="100" t="s">
        <v>341</v>
      </c>
      <c r="H1065" s="100">
        <v>72126200</v>
      </c>
      <c r="I1065" s="100" t="s">
        <v>3788</v>
      </c>
      <c r="J1065" s="100" t="s">
        <v>3659</v>
      </c>
      <c r="K1065" s="100" t="s">
        <v>3142</v>
      </c>
      <c r="L1065" s="103">
        <v>41346</v>
      </c>
      <c r="M1065" s="103">
        <v>47922</v>
      </c>
      <c r="N1065" s="100">
        <f t="shared" ref="N1065:N1107" ca="1" si="37">TODAY()-M1065</f>
        <v>-1735</v>
      </c>
      <c r="O1065" s="84" t="str">
        <f ca="1">IF(Tabla1[[#This Row],[|]]&gt;=0,"VENCIDA",IF(Tabla1[[#This Row],[|]]&gt;=-14,"POR VENCER","OK"))</f>
        <v>OK</v>
      </c>
      <c r="P1065" s="102" t="s">
        <v>2827</v>
      </c>
      <c r="Q1065" s="95" t="s">
        <v>312</v>
      </c>
      <c r="R1065" s="100" t="s">
        <v>317</v>
      </c>
      <c r="S1065" s="100"/>
      <c r="T1065" s="100"/>
      <c r="U1065" s="100"/>
      <c r="V1065" s="100"/>
      <c r="W1065" s="100"/>
      <c r="X1065" s="100"/>
    </row>
    <row r="1066" spans="1:24" ht="32.25" customHeight="1" x14ac:dyDescent="0.2">
      <c r="A1066" s="42">
        <v>1106</v>
      </c>
      <c r="B1066" s="93" t="s">
        <v>279</v>
      </c>
      <c r="C1066" s="94">
        <v>1106</v>
      </c>
      <c r="D1066" s="93" t="str">
        <f t="shared" si="36"/>
        <v>SUPERMIX1106</v>
      </c>
      <c r="E1066" s="169" t="s">
        <v>3664</v>
      </c>
      <c r="F1066" s="169" t="s">
        <v>3665</v>
      </c>
      <c r="G1066" s="100" t="s">
        <v>2825</v>
      </c>
      <c r="H1066" s="102">
        <v>30862768</v>
      </c>
      <c r="I1066" s="102" t="s">
        <v>3788</v>
      </c>
      <c r="J1066" s="100" t="s">
        <v>3666</v>
      </c>
      <c r="K1066" s="100" t="s">
        <v>3142</v>
      </c>
      <c r="L1066" s="103">
        <v>40931</v>
      </c>
      <c r="M1066" s="103">
        <v>48183</v>
      </c>
      <c r="N1066" s="100">
        <f t="shared" ca="1" si="37"/>
        <v>-1996</v>
      </c>
      <c r="O1066" s="84" t="str">
        <f ca="1">IF(Tabla1[[#This Row],[|]]&gt;=0,"VENCIDA",IF(Tabla1[[#This Row],[|]]&gt;=-14,"POR VENCER","OK"))</f>
        <v>OK</v>
      </c>
      <c r="P1066" s="102" t="s">
        <v>2827</v>
      </c>
      <c r="Q1066" s="95" t="s">
        <v>312</v>
      </c>
      <c r="R1066" s="100" t="s">
        <v>317</v>
      </c>
      <c r="S1066" s="100"/>
      <c r="T1066" s="100"/>
      <c r="U1066" s="100"/>
      <c r="V1066" s="100" t="s">
        <v>1981</v>
      </c>
      <c r="W1066" s="100" t="s">
        <v>3345</v>
      </c>
      <c r="X1066" s="100" t="s">
        <v>2866</v>
      </c>
    </row>
    <row r="1067" spans="1:24" s="59" customFormat="1" ht="32.25" customHeight="1" x14ac:dyDescent="0.2">
      <c r="A1067" s="202">
        <v>1107</v>
      </c>
      <c r="B1067" s="88" t="s">
        <v>279</v>
      </c>
      <c r="C1067" s="89">
        <v>1107</v>
      </c>
      <c r="D1067" s="88" t="str">
        <f t="shared" si="36"/>
        <v>SUPERMIX1107</v>
      </c>
      <c r="E1067" s="82" t="s">
        <v>3667</v>
      </c>
      <c r="F1067" s="82" t="s">
        <v>3668</v>
      </c>
      <c r="G1067" s="61" t="s">
        <v>2825</v>
      </c>
      <c r="H1067" s="60">
        <v>41980387</v>
      </c>
      <c r="I1067" s="60" t="s">
        <v>3787</v>
      </c>
      <c r="J1067" s="60" t="s">
        <v>3669</v>
      </c>
      <c r="K1067" s="61" t="s">
        <v>3443</v>
      </c>
      <c r="L1067" s="62">
        <v>41025</v>
      </c>
      <c r="M1067" s="62">
        <v>46251</v>
      </c>
      <c r="N1067" s="61">
        <f t="shared" ca="1" si="37"/>
        <v>-64</v>
      </c>
      <c r="O1067" s="84" t="str">
        <f ca="1">IF(Tabla1[[#This Row],[|]]&gt;=0,"VENCIDA",IF(Tabla1[[#This Row],[|]]&gt;=-14,"POR VENCER","OK"))</f>
        <v>OK</v>
      </c>
      <c r="P1067" s="60" t="s">
        <v>2790</v>
      </c>
      <c r="Q1067" s="90" t="s">
        <v>312</v>
      </c>
      <c r="R1067" s="61" t="s">
        <v>317</v>
      </c>
      <c r="S1067" s="61"/>
      <c r="T1067" s="61"/>
      <c r="U1067" s="61"/>
      <c r="V1067" s="61"/>
      <c r="W1067" s="61"/>
      <c r="X1067" s="61"/>
    </row>
    <row r="1068" spans="1:24" ht="32.25" customHeight="1" x14ac:dyDescent="0.2">
      <c r="A1068" s="42">
        <v>1108</v>
      </c>
      <c r="B1068" s="93" t="s">
        <v>279</v>
      </c>
      <c r="C1068" s="94">
        <v>1108</v>
      </c>
      <c r="D1068" s="93" t="str">
        <f t="shared" si="36"/>
        <v>SUPERMIX1108</v>
      </c>
      <c r="E1068" s="169" t="s">
        <v>3670</v>
      </c>
      <c r="F1068" s="169" t="s">
        <v>3671</v>
      </c>
      <c r="G1068" s="100" t="s">
        <v>341</v>
      </c>
      <c r="H1068" s="102">
        <v>44425715</v>
      </c>
      <c r="I1068" s="102" t="s">
        <v>3788</v>
      </c>
      <c r="J1068" s="100" t="s">
        <v>3672</v>
      </c>
      <c r="K1068" s="100" t="s">
        <v>3625</v>
      </c>
      <c r="L1068" s="103">
        <v>43872</v>
      </c>
      <c r="M1068" s="103">
        <v>45699</v>
      </c>
      <c r="N1068" s="100">
        <f t="shared" ca="1" si="37"/>
        <v>488</v>
      </c>
      <c r="O1068" s="84" t="str">
        <f ca="1">IF(Tabla1[[#This Row],[|]]&gt;=0,"VENCIDA",IF(Tabla1[[#This Row],[|]]&gt;=-14,"POR VENCER","OK"))</f>
        <v>VENCIDA</v>
      </c>
      <c r="P1068" s="102" t="s">
        <v>3245</v>
      </c>
      <c r="Q1068" s="95" t="s">
        <v>312</v>
      </c>
      <c r="R1068" s="100" t="s">
        <v>317</v>
      </c>
      <c r="S1068" s="100"/>
      <c r="T1068" s="100"/>
      <c r="U1068" s="100"/>
      <c r="V1068" s="100" t="s">
        <v>2766</v>
      </c>
      <c r="W1068" s="100" t="s">
        <v>907</v>
      </c>
      <c r="X1068" s="100" t="s">
        <v>624</v>
      </c>
    </row>
    <row r="1069" spans="1:24" ht="32.25" customHeight="1" x14ac:dyDescent="0.2">
      <c r="A1069" s="37">
        <v>1109</v>
      </c>
      <c r="B1069" s="93" t="s">
        <v>279</v>
      </c>
      <c r="C1069" s="94">
        <v>1109</v>
      </c>
      <c r="D1069" s="93" t="str">
        <f t="shared" si="36"/>
        <v>SUPERMIX1109</v>
      </c>
      <c r="E1069" s="115" t="s">
        <v>1643</v>
      </c>
      <c r="F1069" s="169" t="s">
        <v>3676</v>
      </c>
      <c r="G1069" s="100" t="s">
        <v>2825</v>
      </c>
      <c r="H1069" s="102">
        <v>40222720</v>
      </c>
      <c r="I1069" s="102" t="s">
        <v>3788</v>
      </c>
      <c r="J1069" s="100" t="s">
        <v>3677</v>
      </c>
      <c r="K1069" s="100" t="s">
        <v>3443</v>
      </c>
      <c r="L1069" s="103">
        <v>37628</v>
      </c>
      <c r="M1069" s="103">
        <v>46791</v>
      </c>
      <c r="N1069" s="100">
        <f t="shared" ca="1" si="37"/>
        <v>-604</v>
      </c>
      <c r="O1069" s="84" t="str">
        <f ca="1">IF(Tabla1[[#This Row],[|]]&gt;=0,"VENCIDA",IF(Tabla1[[#This Row],[|]]&gt;=-14,"POR VENCER","OK"))</f>
        <v>OK</v>
      </c>
      <c r="P1069" s="102" t="s">
        <v>2790</v>
      </c>
      <c r="Q1069" s="95" t="s">
        <v>312</v>
      </c>
      <c r="R1069" s="100" t="s">
        <v>317</v>
      </c>
      <c r="S1069" s="100"/>
      <c r="T1069" s="100"/>
      <c r="U1069" s="100"/>
      <c r="V1069" s="100" t="s">
        <v>1939</v>
      </c>
      <c r="W1069" s="100" t="s">
        <v>3515</v>
      </c>
      <c r="X1069" s="100" t="s">
        <v>624</v>
      </c>
    </row>
    <row r="1070" spans="1:24" s="59" customFormat="1" ht="32.25" customHeight="1" x14ac:dyDescent="0.2">
      <c r="A1070" s="200">
        <v>1110</v>
      </c>
      <c r="B1070" s="88" t="s">
        <v>279</v>
      </c>
      <c r="C1070" s="89">
        <v>1110</v>
      </c>
      <c r="D1070" s="88" t="str">
        <f t="shared" si="36"/>
        <v>SUPERMIX1110</v>
      </c>
      <c r="E1070" s="82" t="s">
        <v>3678</v>
      </c>
      <c r="F1070" s="82" t="s">
        <v>3679</v>
      </c>
      <c r="G1070" s="61" t="s">
        <v>2825</v>
      </c>
      <c r="H1070" s="60">
        <v>41297761</v>
      </c>
      <c r="I1070" s="60" t="s">
        <v>3787</v>
      </c>
      <c r="J1070" s="61" t="s">
        <v>3680</v>
      </c>
      <c r="K1070" s="61" t="s">
        <v>3443</v>
      </c>
      <c r="L1070" s="62">
        <v>41547</v>
      </c>
      <c r="M1070" s="62">
        <v>46680</v>
      </c>
      <c r="N1070" s="61">
        <f t="shared" ca="1" si="37"/>
        <v>-493</v>
      </c>
      <c r="O1070" s="84" t="str">
        <f ca="1">IF(Tabla1[[#This Row],[|]]&gt;=0,"VENCIDA",IF(Tabla1[[#This Row],[|]]&gt;=-14,"POR VENCER","OK"))</f>
        <v>OK</v>
      </c>
      <c r="P1070" s="60" t="s">
        <v>2790</v>
      </c>
      <c r="Q1070" s="90" t="s">
        <v>312</v>
      </c>
      <c r="R1070" s="61" t="s">
        <v>317</v>
      </c>
      <c r="S1070" s="61"/>
      <c r="T1070" s="61"/>
      <c r="U1070" s="61"/>
      <c r="V1070" s="61" t="s">
        <v>1939</v>
      </c>
      <c r="W1070" s="61" t="s">
        <v>3515</v>
      </c>
      <c r="X1070" s="61" t="s">
        <v>624</v>
      </c>
    </row>
    <row r="1071" spans="1:24" s="59" customFormat="1" ht="32.25" customHeight="1" x14ac:dyDescent="0.2">
      <c r="A1071" s="200">
        <v>1111</v>
      </c>
      <c r="B1071" s="88" t="s">
        <v>279</v>
      </c>
      <c r="C1071" s="89">
        <v>1111</v>
      </c>
      <c r="D1071" s="88" t="str">
        <f t="shared" si="36"/>
        <v>SUPERMIX1111</v>
      </c>
      <c r="E1071" s="82" t="s">
        <v>3681</v>
      </c>
      <c r="F1071" s="82" t="s">
        <v>3682</v>
      </c>
      <c r="G1071" s="61" t="s">
        <v>2825</v>
      </c>
      <c r="H1071" s="60">
        <v>44890887</v>
      </c>
      <c r="I1071" s="60" t="s">
        <v>3787</v>
      </c>
      <c r="J1071" s="61" t="s">
        <v>3683</v>
      </c>
      <c r="K1071" s="61" t="s">
        <v>3443</v>
      </c>
      <c r="L1071" s="62">
        <v>42131</v>
      </c>
      <c r="M1071" s="62">
        <v>46139</v>
      </c>
      <c r="N1071" s="61">
        <f t="shared" ca="1" si="37"/>
        <v>48</v>
      </c>
      <c r="O1071" s="84" t="str">
        <f ca="1">IF(Tabla1[[#This Row],[|]]&gt;=0,"VENCIDA",IF(Tabla1[[#This Row],[|]]&gt;=-14,"POR VENCER","OK"))</f>
        <v>VENCIDA</v>
      </c>
      <c r="P1071" s="60" t="s">
        <v>2790</v>
      </c>
      <c r="Q1071" s="90" t="s">
        <v>312</v>
      </c>
      <c r="R1071" s="61" t="s">
        <v>317</v>
      </c>
      <c r="S1071" s="61"/>
      <c r="T1071" s="61"/>
      <c r="U1071" s="61"/>
      <c r="V1071" s="61" t="s">
        <v>1939</v>
      </c>
      <c r="W1071" s="61" t="s">
        <v>3515</v>
      </c>
      <c r="X1071" s="61" t="s">
        <v>624</v>
      </c>
    </row>
    <row r="1072" spans="1:24" ht="32.25" customHeight="1" x14ac:dyDescent="0.2">
      <c r="A1072" s="37">
        <v>1112</v>
      </c>
      <c r="B1072" s="93" t="s">
        <v>279</v>
      </c>
      <c r="C1072" s="94">
        <v>1112</v>
      </c>
      <c r="D1072" s="93" t="str">
        <f t="shared" si="36"/>
        <v>SUPERMIX1112</v>
      </c>
      <c r="E1072" s="169" t="s">
        <v>3695</v>
      </c>
      <c r="F1072" s="169" t="s">
        <v>3947</v>
      </c>
      <c r="G1072" s="100" t="s">
        <v>2825</v>
      </c>
      <c r="H1072" s="102">
        <v>46399359</v>
      </c>
      <c r="I1072" s="102" t="s">
        <v>3788</v>
      </c>
      <c r="J1072" s="100" t="s">
        <v>3696</v>
      </c>
      <c r="K1072" s="100" t="s">
        <v>1954</v>
      </c>
      <c r="L1072" s="103">
        <v>43465</v>
      </c>
      <c r="M1072" s="103">
        <v>46464</v>
      </c>
      <c r="N1072" s="100">
        <f t="shared" ca="1" si="37"/>
        <v>-277</v>
      </c>
      <c r="O1072" s="84" t="str">
        <f ca="1">IF(Tabla1[[#This Row],[|]]&gt;=0,"VENCIDA",IF(Tabla1[[#This Row],[|]]&gt;=-14,"POR VENCER","OK"))</f>
        <v>OK</v>
      </c>
      <c r="P1072" s="102" t="s">
        <v>2847</v>
      </c>
      <c r="Q1072" s="95" t="s">
        <v>312</v>
      </c>
      <c r="R1072" s="100" t="s">
        <v>317</v>
      </c>
      <c r="S1072" s="100"/>
      <c r="T1072" s="100"/>
      <c r="U1072" s="100"/>
      <c r="V1072" s="100" t="s">
        <v>282</v>
      </c>
      <c r="W1072" s="100" t="s">
        <v>1276</v>
      </c>
      <c r="X1072" s="204" t="s">
        <v>597</v>
      </c>
    </row>
    <row r="1073" spans="1:24" ht="32.25" customHeight="1" x14ac:dyDescent="0.2">
      <c r="A1073" s="37">
        <v>1113</v>
      </c>
      <c r="B1073" s="93" t="s">
        <v>279</v>
      </c>
      <c r="C1073" s="94">
        <v>1113</v>
      </c>
      <c r="D1073" s="93" t="str">
        <f t="shared" si="36"/>
        <v>SUPERMIX1113</v>
      </c>
      <c r="E1073" s="169" t="s">
        <v>3698</v>
      </c>
      <c r="F1073" s="169" t="s">
        <v>3699</v>
      </c>
      <c r="G1073" s="100" t="s">
        <v>2825</v>
      </c>
      <c r="H1073" s="102">
        <v>41892097</v>
      </c>
      <c r="I1073" s="102" t="s">
        <v>3788</v>
      </c>
      <c r="J1073" s="100" t="s">
        <v>3700</v>
      </c>
      <c r="K1073" s="100" t="s">
        <v>1954</v>
      </c>
      <c r="L1073" s="103">
        <v>42831</v>
      </c>
      <c r="M1073" s="103">
        <v>46794</v>
      </c>
      <c r="N1073" s="100">
        <f t="shared" ca="1" si="37"/>
        <v>-607</v>
      </c>
      <c r="O1073" s="84" t="str">
        <f ca="1">IF(Tabla1[[#This Row],[|]]&gt;=0,"VENCIDA",IF(Tabla1[[#This Row],[|]]&gt;=-14,"POR VENCER","OK"))</f>
        <v>OK</v>
      </c>
      <c r="P1073" s="102" t="s">
        <v>3903</v>
      </c>
      <c r="Q1073" s="95" t="s">
        <v>312</v>
      </c>
      <c r="R1073" s="100" t="s">
        <v>317</v>
      </c>
      <c r="S1073" s="100"/>
      <c r="T1073" s="100"/>
      <c r="U1073" s="100"/>
      <c r="V1073" s="100" t="s">
        <v>1939</v>
      </c>
      <c r="W1073" s="100" t="s">
        <v>3701</v>
      </c>
      <c r="X1073" s="100" t="s">
        <v>624</v>
      </c>
    </row>
    <row r="1074" spans="1:24" ht="32.25" customHeight="1" x14ac:dyDescent="0.2">
      <c r="A1074" s="37">
        <v>1114</v>
      </c>
      <c r="B1074" s="93" t="s">
        <v>279</v>
      </c>
      <c r="C1074" s="94">
        <v>1114</v>
      </c>
      <c r="D1074" s="93" t="str">
        <f t="shared" si="36"/>
        <v>SUPERMIX1114</v>
      </c>
      <c r="E1074" s="169" t="s">
        <v>3702</v>
      </c>
      <c r="F1074" s="169" t="s">
        <v>157</v>
      </c>
      <c r="G1074" s="100" t="s">
        <v>2825</v>
      </c>
      <c r="H1074" s="102">
        <v>41211371</v>
      </c>
      <c r="I1074" s="102" t="s">
        <v>3788</v>
      </c>
      <c r="J1074" s="100" t="s">
        <v>3703</v>
      </c>
      <c r="K1074" s="100" t="s">
        <v>1954</v>
      </c>
      <c r="L1074" s="103">
        <v>41393</v>
      </c>
      <c r="M1074" s="103">
        <v>46832</v>
      </c>
      <c r="N1074" s="100">
        <f t="shared" ca="1" si="37"/>
        <v>-645</v>
      </c>
      <c r="O1074" s="84" t="str">
        <f ca="1">IF(Tabla1[[#This Row],[|]]&gt;=0,"VENCIDA",IF(Tabla1[[#This Row],[|]]&gt;=-14,"POR VENCER","OK"))</f>
        <v>OK</v>
      </c>
      <c r="P1074" s="102" t="s">
        <v>3994</v>
      </c>
      <c r="Q1074" s="95" t="s">
        <v>312</v>
      </c>
      <c r="R1074" s="100" t="s">
        <v>317</v>
      </c>
      <c r="S1074" s="100"/>
      <c r="T1074" s="100"/>
      <c r="U1074" s="100"/>
      <c r="V1074" s="100" t="s">
        <v>282</v>
      </c>
      <c r="W1074" s="100" t="s">
        <v>2776</v>
      </c>
      <c r="X1074" s="100" t="s">
        <v>597</v>
      </c>
    </row>
    <row r="1075" spans="1:24" ht="32.25" customHeight="1" x14ac:dyDescent="0.2">
      <c r="A1075" s="37">
        <v>1115</v>
      </c>
      <c r="B1075" s="93" t="s">
        <v>279</v>
      </c>
      <c r="C1075" s="94">
        <v>1115</v>
      </c>
      <c r="D1075" s="93" t="str">
        <f t="shared" si="36"/>
        <v>SUPERMIX1115</v>
      </c>
      <c r="E1075" s="169" t="s">
        <v>3707</v>
      </c>
      <c r="F1075" s="169" t="s">
        <v>121</v>
      </c>
      <c r="G1075" s="100" t="s">
        <v>2825</v>
      </c>
      <c r="H1075" s="102">
        <v>46287249</v>
      </c>
      <c r="I1075" s="102" t="s">
        <v>3788</v>
      </c>
      <c r="J1075" s="100" t="s">
        <v>3708</v>
      </c>
      <c r="K1075" s="100" t="s">
        <v>1954</v>
      </c>
      <c r="L1075" s="103">
        <v>42887</v>
      </c>
      <c r="M1075" s="103">
        <v>45991</v>
      </c>
      <c r="N1075" s="100">
        <f t="shared" ca="1" si="37"/>
        <v>196</v>
      </c>
      <c r="O1075" s="84" t="str">
        <f ca="1">IF(Tabla1[[#This Row],[|]]&gt;=0,"VENCIDA",IF(Tabla1[[#This Row],[|]]&gt;=-14,"POR VENCER","OK"))</f>
        <v>VENCIDA</v>
      </c>
      <c r="P1075" s="102" t="s">
        <v>2790</v>
      </c>
      <c r="Q1075" s="95" t="s">
        <v>312</v>
      </c>
      <c r="R1075" s="100" t="s">
        <v>317</v>
      </c>
      <c r="S1075" s="100"/>
      <c r="T1075" s="100"/>
      <c r="U1075" s="100"/>
      <c r="V1075" s="100" t="s">
        <v>1939</v>
      </c>
      <c r="W1075" s="100" t="s">
        <v>1017</v>
      </c>
      <c r="X1075" s="100" t="s">
        <v>624</v>
      </c>
    </row>
    <row r="1076" spans="1:24" ht="32.25" customHeight="1" x14ac:dyDescent="0.2">
      <c r="A1076" s="37">
        <v>1116</v>
      </c>
      <c r="B1076" s="93" t="s">
        <v>279</v>
      </c>
      <c r="C1076" s="94">
        <v>1116</v>
      </c>
      <c r="D1076" s="93" t="str">
        <f t="shared" si="36"/>
        <v>SUPERMIX1116</v>
      </c>
      <c r="E1076" s="169" t="s">
        <v>3709</v>
      </c>
      <c r="F1076" s="169" t="s">
        <v>207</v>
      </c>
      <c r="G1076" s="100" t="s">
        <v>2825</v>
      </c>
      <c r="H1076" s="102">
        <v>45592561</v>
      </c>
      <c r="I1076" s="102" t="s">
        <v>3788</v>
      </c>
      <c r="J1076" s="100" t="s">
        <v>3710</v>
      </c>
      <c r="K1076" s="100" t="s">
        <v>1954</v>
      </c>
      <c r="L1076" s="103">
        <v>43845</v>
      </c>
      <c r="M1076" s="103">
        <v>47492</v>
      </c>
      <c r="N1076" s="100">
        <f t="shared" ca="1" si="37"/>
        <v>-1305</v>
      </c>
      <c r="O1076" s="84" t="str">
        <f ca="1">IF(Tabla1[[#This Row],[|]]&gt;=0,"VENCIDA",IF(Tabla1[[#This Row],[|]]&gt;=-14,"POR VENCER","OK"))</f>
        <v>OK</v>
      </c>
      <c r="P1076" s="102" t="s">
        <v>3736</v>
      </c>
      <c r="Q1076" s="95" t="s">
        <v>312</v>
      </c>
      <c r="R1076" s="100" t="s">
        <v>317</v>
      </c>
      <c r="S1076" s="100"/>
      <c r="T1076" s="100"/>
      <c r="U1076" s="100"/>
      <c r="V1076" s="100" t="s">
        <v>282</v>
      </c>
      <c r="W1076" s="100" t="s">
        <v>850</v>
      </c>
      <c r="X1076" s="204" t="s">
        <v>597</v>
      </c>
    </row>
    <row r="1077" spans="1:24" ht="32.25" customHeight="1" x14ac:dyDescent="0.2">
      <c r="A1077" s="200">
        <v>1117</v>
      </c>
      <c r="B1077" s="88" t="s">
        <v>279</v>
      </c>
      <c r="C1077" s="89">
        <v>1117</v>
      </c>
      <c r="D1077" s="88" t="str">
        <f t="shared" si="36"/>
        <v>SUPERMIX1117</v>
      </c>
      <c r="E1077" s="82" t="s">
        <v>3719</v>
      </c>
      <c r="F1077" s="82" t="s">
        <v>3720</v>
      </c>
      <c r="G1077" s="61" t="s">
        <v>2825</v>
      </c>
      <c r="H1077" s="60">
        <v>73031204</v>
      </c>
      <c r="I1077" s="60" t="s">
        <v>3787</v>
      </c>
      <c r="J1077" s="61" t="s">
        <v>3721</v>
      </c>
      <c r="K1077" s="61" t="s">
        <v>1954</v>
      </c>
      <c r="L1077" s="62">
        <v>44965</v>
      </c>
      <c r="M1077" s="62">
        <v>46061</v>
      </c>
      <c r="N1077" s="61">
        <f t="shared" ca="1" si="37"/>
        <v>126</v>
      </c>
      <c r="O1077" s="84" t="str">
        <f ca="1">IF(Tabla1[[#This Row],[|]]&gt;=0,"VENCIDA",IF(Tabla1[[#This Row],[|]]&gt;=-14,"POR VENCER","OK"))</f>
        <v>VENCIDA</v>
      </c>
      <c r="P1077" s="60" t="s">
        <v>2847</v>
      </c>
      <c r="Q1077" s="90" t="s">
        <v>312</v>
      </c>
      <c r="R1077" s="61" t="s">
        <v>3722</v>
      </c>
      <c r="S1077" s="61"/>
      <c r="T1077" s="61"/>
      <c r="U1077" s="61"/>
      <c r="V1077" s="61" t="s">
        <v>282</v>
      </c>
      <c r="W1077" s="61" t="s">
        <v>1017</v>
      </c>
      <c r="X1077" s="203" t="s">
        <v>597</v>
      </c>
    </row>
    <row r="1078" spans="1:24" ht="32.25" customHeight="1" x14ac:dyDescent="0.2">
      <c r="A1078" s="37">
        <v>1118</v>
      </c>
      <c r="B1078" s="93" t="s">
        <v>279</v>
      </c>
      <c r="C1078" s="94">
        <v>1118</v>
      </c>
      <c r="D1078" s="93" t="str">
        <f t="shared" si="36"/>
        <v>SUPERMIX1118</v>
      </c>
      <c r="E1078" s="169" t="s">
        <v>3725</v>
      </c>
      <c r="F1078" s="169" t="s">
        <v>3726</v>
      </c>
      <c r="G1078" s="100" t="s">
        <v>341</v>
      </c>
      <c r="H1078" s="102">
        <v>41086135</v>
      </c>
      <c r="I1078" s="102" t="s">
        <v>3788</v>
      </c>
      <c r="J1078" s="100" t="s">
        <v>3727</v>
      </c>
      <c r="K1078" s="100" t="s">
        <v>1961</v>
      </c>
      <c r="L1078" s="103">
        <v>44782</v>
      </c>
      <c r="M1078" s="103">
        <v>46608</v>
      </c>
      <c r="N1078" s="100">
        <f t="shared" ca="1" si="37"/>
        <v>-421</v>
      </c>
      <c r="O1078" s="84" t="str">
        <f ca="1">IF(Tabla1[[#This Row],[|]]&gt;=0,"VENCIDA",IF(Tabla1[[#This Row],[|]]&gt;=-14,"POR VENCER","OK"))</f>
        <v>OK</v>
      </c>
      <c r="P1078" s="102" t="s">
        <v>2827</v>
      </c>
      <c r="Q1078" s="95" t="s">
        <v>312</v>
      </c>
      <c r="R1078" s="100" t="s">
        <v>3728</v>
      </c>
      <c r="S1078" s="100"/>
      <c r="T1078" s="100"/>
      <c r="U1078" s="100"/>
      <c r="V1078" s="100" t="s">
        <v>334</v>
      </c>
      <c r="W1078" s="100" t="s">
        <v>2947</v>
      </c>
      <c r="X1078" s="100" t="s">
        <v>3732</v>
      </c>
    </row>
    <row r="1079" spans="1:24" s="59" customFormat="1" ht="32.25" customHeight="1" x14ac:dyDescent="0.2">
      <c r="A1079" s="200">
        <v>1119</v>
      </c>
      <c r="B1079" s="88" t="s">
        <v>279</v>
      </c>
      <c r="C1079" s="89">
        <v>1119</v>
      </c>
      <c r="D1079" s="88" t="str">
        <f t="shared" si="36"/>
        <v>SUPERMIX1119</v>
      </c>
      <c r="E1079" s="82" t="s">
        <v>3729</v>
      </c>
      <c r="F1079" s="82" t="s">
        <v>3730</v>
      </c>
      <c r="G1079" s="61" t="s">
        <v>2825</v>
      </c>
      <c r="H1079" s="60">
        <v>40736593</v>
      </c>
      <c r="I1079" s="60" t="s">
        <v>3787</v>
      </c>
      <c r="J1079" s="61" t="s">
        <v>3731</v>
      </c>
      <c r="K1079" s="61" t="s">
        <v>1961</v>
      </c>
      <c r="L1079" s="62">
        <v>44648</v>
      </c>
      <c r="M1079" s="62">
        <v>46474</v>
      </c>
      <c r="N1079" s="61">
        <f t="shared" ca="1" si="37"/>
        <v>-287</v>
      </c>
      <c r="O1079" s="84" t="str">
        <f ca="1">IF(Tabla1[[#This Row],[|]]&gt;=0,"VENCIDA",IF(Tabla1[[#This Row],[|]]&gt;=-14,"POR VENCER","OK"))</f>
        <v>OK</v>
      </c>
      <c r="P1079" s="60" t="s">
        <v>2827</v>
      </c>
      <c r="Q1079" s="90" t="s">
        <v>312</v>
      </c>
      <c r="R1079" s="61" t="s">
        <v>317</v>
      </c>
      <c r="S1079" s="61"/>
      <c r="T1079" s="61"/>
      <c r="U1079" s="61"/>
      <c r="V1079" s="61" t="s">
        <v>1981</v>
      </c>
      <c r="W1079" s="61" t="s">
        <v>3619</v>
      </c>
      <c r="X1079" s="61" t="s">
        <v>3168</v>
      </c>
    </row>
    <row r="1080" spans="1:24" ht="32.25" customHeight="1" x14ac:dyDescent="0.2">
      <c r="A1080" s="37">
        <v>1120</v>
      </c>
      <c r="B1080" s="93" t="s">
        <v>279</v>
      </c>
      <c r="C1080" s="94">
        <v>1120</v>
      </c>
      <c r="D1080" s="93" t="str">
        <f t="shared" si="36"/>
        <v>SUPERMIX1120</v>
      </c>
      <c r="E1080" s="169" t="s">
        <v>3735</v>
      </c>
      <c r="F1080" s="169" t="s">
        <v>3782</v>
      </c>
      <c r="G1080" s="100" t="s">
        <v>2825</v>
      </c>
      <c r="H1080" s="102">
        <v>72433165</v>
      </c>
      <c r="I1080" s="102" t="s">
        <v>3788</v>
      </c>
      <c r="J1080" s="100" t="s">
        <v>3734</v>
      </c>
      <c r="K1080" s="100" t="s">
        <v>1954</v>
      </c>
      <c r="L1080" s="103">
        <v>43279</v>
      </c>
      <c r="M1080" s="103">
        <v>47316</v>
      </c>
      <c r="N1080" s="100">
        <f t="shared" ca="1" si="37"/>
        <v>-1129</v>
      </c>
      <c r="O1080" s="84" t="str">
        <f ca="1">IF(Tabla1[[#This Row],[|]]&gt;=0,"VENCIDA",IF(Tabla1[[#This Row],[|]]&gt;=-14,"POR VENCER","OK"))</f>
        <v>OK</v>
      </c>
      <c r="P1080" s="102" t="s">
        <v>2847</v>
      </c>
      <c r="Q1080" s="95" t="s">
        <v>312</v>
      </c>
      <c r="R1080" s="100" t="s">
        <v>317</v>
      </c>
      <c r="S1080" s="100"/>
      <c r="T1080" s="100"/>
      <c r="U1080" s="100"/>
      <c r="V1080" s="100" t="s">
        <v>282</v>
      </c>
      <c r="W1080" s="100" t="s">
        <v>1276</v>
      </c>
      <c r="X1080" s="204" t="s">
        <v>597</v>
      </c>
    </row>
    <row r="1081" spans="1:24" ht="32.25" customHeight="1" x14ac:dyDescent="0.2">
      <c r="A1081" s="37">
        <v>1121</v>
      </c>
      <c r="B1081" s="93" t="s">
        <v>279</v>
      </c>
      <c r="C1081" s="94">
        <v>1121</v>
      </c>
      <c r="D1081" s="93" t="str">
        <f t="shared" si="36"/>
        <v>SUPERMIX1121</v>
      </c>
      <c r="E1081" s="169" t="s">
        <v>3737</v>
      </c>
      <c r="F1081" s="169" t="s">
        <v>22</v>
      </c>
      <c r="G1081" s="100" t="s">
        <v>2825</v>
      </c>
      <c r="H1081" s="102">
        <v>72652301</v>
      </c>
      <c r="I1081" s="102" t="s">
        <v>3788</v>
      </c>
      <c r="J1081" s="100" t="s">
        <v>3738</v>
      </c>
      <c r="K1081" s="100" t="s">
        <v>1954</v>
      </c>
      <c r="L1081" s="103">
        <v>44436</v>
      </c>
      <c r="M1081" s="103">
        <v>46262</v>
      </c>
      <c r="N1081" s="100">
        <f t="shared" ca="1" si="37"/>
        <v>-75</v>
      </c>
      <c r="O1081" s="84" t="str">
        <f ca="1">IF(Tabla1[[#This Row],[|]]&gt;=0,"VENCIDA",IF(Tabla1[[#This Row],[|]]&gt;=-14,"POR VENCER","OK"))</f>
        <v>OK</v>
      </c>
      <c r="P1081" s="102" t="s">
        <v>2847</v>
      </c>
      <c r="Q1081" s="95" t="s">
        <v>312</v>
      </c>
      <c r="R1081" s="100" t="s">
        <v>317</v>
      </c>
      <c r="S1081" s="100"/>
      <c r="T1081" s="100"/>
      <c r="U1081" s="100"/>
      <c r="V1081" s="100" t="s">
        <v>282</v>
      </c>
      <c r="W1081" s="100" t="s">
        <v>1276</v>
      </c>
      <c r="X1081" s="204" t="s">
        <v>597</v>
      </c>
    </row>
    <row r="1082" spans="1:24" ht="32.25" customHeight="1" x14ac:dyDescent="0.2">
      <c r="A1082" s="37">
        <v>1122</v>
      </c>
      <c r="B1082" s="93" t="s">
        <v>279</v>
      </c>
      <c r="C1082" s="94">
        <v>1122</v>
      </c>
      <c r="D1082" s="93" t="str">
        <f t="shared" si="36"/>
        <v>SUPERMIX1122</v>
      </c>
      <c r="E1082" s="169" t="s">
        <v>3739</v>
      </c>
      <c r="F1082" s="169" t="s">
        <v>1162</v>
      </c>
      <c r="G1082" s="100" t="s">
        <v>2825</v>
      </c>
      <c r="H1082" s="102">
        <v>46870598</v>
      </c>
      <c r="I1082" s="102" t="s">
        <v>3788</v>
      </c>
      <c r="J1082" s="100" t="s">
        <v>3740</v>
      </c>
      <c r="K1082" s="100" t="s">
        <v>1954</v>
      </c>
      <c r="L1082" s="103">
        <v>43566</v>
      </c>
      <c r="M1082" s="103">
        <v>45825</v>
      </c>
      <c r="N1082" s="100">
        <f t="shared" ca="1" si="37"/>
        <v>362</v>
      </c>
      <c r="O1082" s="84" t="str">
        <f ca="1">IF(Tabla1[[#This Row],[|]]&gt;=0,"VENCIDA",IF(Tabla1[[#This Row],[|]]&gt;=-14,"POR VENCER","OK"))</f>
        <v>VENCIDA</v>
      </c>
      <c r="P1082" s="102" t="s">
        <v>2847</v>
      </c>
      <c r="Q1082" s="95" t="s">
        <v>312</v>
      </c>
      <c r="R1082" s="100" t="s">
        <v>317</v>
      </c>
      <c r="S1082" s="100"/>
      <c r="T1082" s="100"/>
      <c r="U1082" s="100"/>
      <c r="V1082" s="100" t="s">
        <v>282</v>
      </c>
      <c r="W1082" s="100" t="s">
        <v>1112</v>
      </c>
      <c r="X1082" s="204" t="s">
        <v>597</v>
      </c>
    </row>
    <row r="1083" spans="1:24" ht="32.25" customHeight="1" x14ac:dyDescent="0.2">
      <c r="A1083" s="37">
        <v>1123</v>
      </c>
      <c r="B1083" s="93" t="s">
        <v>279</v>
      </c>
      <c r="C1083" s="94">
        <v>1123</v>
      </c>
      <c r="D1083" s="93" t="str">
        <f t="shared" si="36"/>
        <v>SUPERMIX1123</v>
      </c>
      <c r="E1083" s="169" t="s">
        <v>3741</v>
      </c>
      <c r="F1083" s="169" t="s">
        <v>3742</v>
      </c>
      <c r="G1083" s="100" t="s">
        <v>2825</v>
      </c>
      <c r="H1083" s="102">
        <v>45096474</v>
      </c>
      <c r="I1083" s="102" t="s">
        <v>3788</v>
      </c>
      <c r="J1083" s="100" t="s">
        <v>3743</v>
      </c>
      <c r="K1083" s="100" t="s">
        <v>1954</v>
      </c>
      <c r="L1083" s="103">
        <v>42243</v>
      </c>
      <c r="M1083" s="103">
        <v>46685</v>
      </c>
      <c r="N1083" s="100">
        <f t="shared" ca="1" si="37"/>
        <v>-498</v>
      </c>
      <c r="O1083" s="84" t="str">
        <f ca="1">IF(Tabla1[[#This Row],[|]]&gt;=0,"VENCIDA",IF(Tabla1[[#This Row],[|]]&gt;=-14,"POR VENCER","OK"))</f>
        <v>OK</v>
      </c>
      <c r="P1083" s="102" t="s">
        <v>2847</v>
      </c>
      <c r="Q1083" s="95" t="s">
        <v>312</v>
      </c>
      <c r="R1083" s="100" t="s">
        <v>317</v>
      </c>
      <c r="S1083" s="100"/>
      <c r="T1083" s="100"/>
      <c r="U1083" s="100"/>
      <c r="V1083" s="100" t="s">
        <v>282</v>
      </c>
      <c r="W1083" s="100" t="s">
        <v>1112</v>
      </c>
      <c r="X1083" s="204" t="s">
        <v>597</v>
      </c>
    </row>
    <row r="1084" spans="1:24" s="59" customFormat="1" ht="32.25" customHeight="1" x14ac:dyDescent="0.2">
      <c r="A1084" s="200">
        <v>1124</v>
      </c>
      <c r="B1084" s="88" t="s">
        <v>279</v>
      </c>
      <c r="C1084" s="89">
        <v>1124</v>
      </c>
      <c r="D1084" s="88" t="str">
        <f t="shared" si="36"/>
        <v>SUPERMIX1124</v>
      </c>
      <c r="E1084" s="82" t="s">
        <v>3744</v>
      </c>
      <c r="F1084" s="82" t="s">
        <v>3745</v>
      </c>
      <c r="G1084" s="61" t="s">
        <v>2825</v>
      </c>
      <c r="H1084" s="60">
        <v>70411160</v>
      </c>
      <c r="I1084" s="60" t="s">
        <v>3787</v>
      </c>
      <c r="J1084" s="61" t="s">
        <v>3746</v>
      </c>
      <c r="K1084" s="61" t="s">
        <v>1954</v>
      </c>
      <c r="L1084" s="62">
        <v>44312</v>
      </c>
      <c r="M1084" s="62">
        <v>46138</v>
      </c>
      <c r="N1084" s="61">
        <f t="shared" ca="1" si="37"/>
        <v>49</v>
      </c>
      <c r="O1084" s="84" t="str">
        <f ca="1">IF(Tabla1[[#This Row],[|]]&gt;=0,"VENCIDA",IF(Tabla1[[#This Row],[|]]&gt;=-14,"POR VENCER","OK"))</f>
        <v>VENCIDA</v>
      </c>
      <c r="P1084" s="60" t="s">
        <v>2847</v>
      </c>
      <c r="Q1084" s="90" t="s">
        <v>312</v>
      </c>
      <c r="R1084" s="61" t="s">
        <v>17</v>
      </c>
      <c r="S1084" s="61"/>
      <c r="T1084" s="61"/>
      <c r="U1084" s="61"/>
      <c r="V1084" s="61" t="s">
        <v>282</v>
      </c>
      <c r="W1084" s="61" t="s">
        <v>1112</v>
      </c>
      <c r="X1084" s="61" t="s">
        <v>597</v>
      </c>
    </row>
    <row r="1085" spans="1:24" ht="32.25" customHeight="1" x14ac:dyDescent="0.2">
      <c r="A1085" s="37">
        <v>1125</v>
      </c>
      <c r="B1085" s="93" t="s">
        <v>279</v>
      </c>
      <c r="C1085" s="94">
        <v>1125</v>
      </c>
      <c r="D1085" s="93" t="str">
        <f t="shared" si="36"/>
        <v>SUPERMIX1125</v>
      </c>
      <c r="E1085" s="169" t="s">
        <v>3748</v>
      </c>
      <c r="F1085" s="169" t="s">
        <v>140</v>
      </c>
      <c r="G1085" s="100" t="s">
        <v>2825</v>
      </c>
      <c r="H1085" s="102">
        <v>43570966</v>
      </c>
      <c r="I1085" s="102" t="s">
        <v>3788</v>
      </c>
      <c r="J1085" s="100" t="s">
        <v>3749</v>
      </c>
      <c r="K1085" s="100" t="s">
        <v>1954</v>
      </c>
      <c r="L1085" s="103">
        <v>41669</v>
      </c>
      <c r="M1085" s="103">
        <v>46870</v>
      </c>
      <c r="N1085" s="100">
        <f t="shared" ca="1" si="37"/>
        <v>-683</v>
      </c>
      <c r="O1085" s="84" t="str">
        <f ca="1">IF(Tabla1[[#This Row],[|]]&gt;=0,"VENCIDA",IF(Tabla1[[#This Row],[|]]&gt;=-14,"POR VENCER","OK"))</f>
        <v>OK</v>
      </c>
      <c r="P1085" s="102" t="s">
        <v>2778</v>
      </c>
      <c r="Q1085" s="95" t="s">
        <v>312</v>
      </c>
      <c r="R1085" s="100" t="s">
        <v>317</v>
      </c>
      <c r="S1085" s="100"/>
      <c r="T1085" s="100"/>
      <c r="U1085" s="100"/>
      <c r="V1085" s="100" t="s">
        <v>282</v>
      </c>
      <c r="W1085" s="100" t="s">
        <v>1112</v>
      </c>
      <c r="X1085" s="100" t="s">
        <v>640</v>
      </c>
    </row>
    <row r="1086" spans="1:24" s="59" customFormat="1" ht="32.25" customHeight="1" x14ac:dyDescent="0.2">
      <c r="A1086" s="200">
        <v>1126</v>
      </c>
      <c r="B1086" s="88" t="s">
        <v>279</v>
      </c>
      <c r="C1086" s="89">
        <v>1126</v>
      </c>
      <c r="D1086" s="88" t="str">
        <f t="shared" si="36"/>
        <v>SUPERMIX1126</v>
      </c>
      <c r="E1086" s="82" t="s">
        <v>3752</v>
      </c>
      <c r="F1086" s="82" t="s">
        <v>609</v>
      </c>
      <c r="G1086" s="61" t="s">
        <v>2825</v>
      </c>
      <c r="H1086" s="133" t="s">
        <v>3754</v>
      </c>
      <c r="I1086" s="133" t="s">
        <v>3787</v>
      </c>
      <c r="J1086" s="61" t="s">
        <v>3753</v>
      </c>
      <c r="K1086" s="61" t="s">
        <v>1954</v>
      </c>
      <c r="L1086" s="62">
        <v>39190</v>
      </c>
      <c r="M1086" s="62">
        <v>46252</v>
      </c>
      <c r="N1086" s="61">
        <f t="shared" ca="1" si="37"/>
        <v>-65</v>
      </c>
      <c r="O1086" s="84" t="str">
        <f ca="1">IF(Tabla1[[#This Row],[|]]&gt;=0,"VENCIDA",IF(Tabla1[[#This Row],[|]]&gt;=-14,"POR VENCER","OK"))</f>
        <v>OK</v>
      </c>
      <c r="P1086" s="60" t="s">
        <v>2827</v>
      </c>
      <c r="Q1086" s="90" t="s">
        <v>312</v>
      </c>
      <c r="R1086" s="61" t="s">
        <v>317</v>
      </c>
      <c r="S1086" s="61"/>
      <c r="T1086" s="61"/>
      <c r="U1086" s="61"/>
      <c r="V1086" s="61" t="s">
        <v>3185</v>
      </c>
      <c r="W1086" s="61" t="s">
        <v>3619</v>
      </c>
      <c r="X1086" s="61" t="s">
        <v>3168</v>
      </c>
    </row>
    <row r="1087" spans="1:24" ht="32.25" customHeight="1" x14ac:dyDescent="0.2">
      <c r="A1087" s="37">
        <v>1127</v>
      </c>
      <c r="B1087" s="93" t="s">
        <v>279</v>
      </c>
      <c r="C1087" s="94">
        <v>1127</v>
      </c>
      <c r="D1087" s="100" t="str">
        <f t="shared" si="36"/>
        <v>SUPERMIX1127</v>
      </c>
      <c r="E1087" s="169" t="s">
        <v>3756</v>
      </c>
      <c r="F1087" s="169" t="s">
        <v>176</v>
      </c>
      <c r="G1087" s="100" t="s">
        <v>2825</v>
      </c>
      <c r="H1087" s="102">
        <v>29736629</v>
      </c>
      <c r="I1087" s="102" t="s">
        <v>3788</v>
      </c>
      <c r="J1087" s="100" t="s">
        <v>3757</v>
      </c>
      <c r="K1087" s="100" t="s">
        <v>1954</v>
      </c>
      <c r="L1087" s="103">
        <v>38453</v>
      </c>
      <c r="M1087" s="103">
        <v>46230</v>
      </c>
      <c r="N1087" s="100">
        <f t="shared" ca="1" si="37"/>
        <v>-43</v>
      </c>
      <c r="O1087" s="84" t="str">
        <f ca="1">IF(Tabla1[[#This Row],[|]]&gt;=0,"VENCIDA",IF(Tabla1[[#This Row],[|]]&gt;=-14,"POR VENCER","OK"))</f>
        <v>OK</v>
      </c>
      <c r="P1087" s="102" t="s">
        <v>2790</v>
      </c>
      <c r="Q1087" s="95" t="s">
        <v>312</v>
      </c>
      <c r="R1087" s="100" t="s">
        <v>317</v>
      </c>
      <c r="S1087" s="100"/>
      <c r="T1087" s="100"/>
      <c r="U1087" s="100"/>
      <c r="V1087" s="100" t="s">
        <v>1939</v>
      </c>
      <c r="W1087" s="100" t="s">
        <v>3515</v>
      </c>
      <c r="X1087" s="100" t="s">
        <v>624</v>
      </c>
    </row>
    <row r="1088" spans="1:24" ht="32.25" customHeight="1" x14ac:dyDescent="0.2">
      <c r="A1088" s="37">
        <v>1128</v>
      </c>
      <c r="B1088" s="93" t="s">
        <v>279</v>
      </c>
      <c r="C1088" s="94">
        <v>1128</v>
      </c>
      <c r="D1088" s="100" t="str">
        <f t="shared" si="36"/>
        <v>SUPERMIX1128</v>
      </c>
      <c r="E1088" s="169" t="s">
        <v>3758</v>
      </c>
      <c r="F1088" s="169" t="s">
        <v>3759</v>
      </c>
      <c r="G1088" s="100" t="s">
        <v>2825</v>
      </c>
      <c r="H1088" s="102">
        <v>42785521</v>
      </c>
      <c r="I1088" s="102" t="s">
        <v>3788</v>
      </c>
      <c r="J1088" s="100" t="s">
        <v>3760</v>
      </c>
      <c r="K1088" s="100" t="s">
        <v>1954</v>
      </c>
      <c r="L1088" s="103">
        <v>39861</v>
      </c>
      <c r="M1088" s="103">
        <v>46265</v>
      </c>
      <c r="N1088" s="100">
        <f t="shared" ca="1" si="37"/>
        <v>-78</v>
      </c>
      <c r="O1088" s="84" t="str">
        <f ca="1">IF(Tabla1[[#This Row],[|]]&gt;=0,"VENCIDA",IF(Tabla1[[#This Row],[|]]&gt;=-14,"POR VENCER","OK"))</f>
        <v>OK</v>
      </c>
      <c r="P1088" s="102" t="s">
        <v>2790</v>
      </c>
      <c r="Q1088" s="95" t="s">
        <v>312</v>
      </c>
      <c r="R1088" s="100" t="s">
        <v>317</v>
      </c>
      <c r="S1088" s="100"/>
      <c r="T1088" s="100"/>
      <c r="U1088" s="100"/>
      <c r="V1088" s="100" t="s">
        <v>1939</v>
      </c>
      <c r="W1088" s="100" t="s">
        <v>3515</v>
      </c>
      <c r="X1088" s="100" t="s">
        <v>624</v>
      </c>
    </row>
    <row r="1089" spans="1:24" ht="32.25" customHeight="1" x14ac:dyDescent="0.2">
      <c r="A1089" s="37">
        <v>1129</v>
      </c>
      <c r="B1089" s="93" t="s">
        <v>279</v>
      </c>
      <c r="C1089" s="94">
        <v>1129</v>
      </c>
      <c r="D1089" s="100" t="str">
        <f t="shared" si="36"/>
        <v>SUPERMIX1129</v>
      </c>
      <c r="E1089" s="169" t="s">
        <v>3761</v>
      </c>
      <c r="F1089" s="169" t="s">
        <v>3762</v>
      </c>
      <c r="G1089" s="100" t="s">
        <v>2825</v>
      </c>
      <c r="H1089" s="102">
        <v>44295496</v>
      </c>
      <c r="I1089" s="102" t="s">
        <v>3788</v>
      </c>
      <c r="J1089" s="100" t="s">
        <v>3763</v>
      </c>
      <c r="K1089" s="100" t="s">
        <v>1954</v>
      </c>
      <c r="L1089" s="103">
        <v>40714</v>
      </c>
      <c r="M1089" s="103">
        <v>46097</v>
      </c>
      <c r="N1089" s="100">
        <f t="shared" ca="1" si="37"/>
        <v>90</v>
      </c>
      <c r="O1089" s="84" t="str">
        <f ca="1">IF(Tabla1[[#This Row],[|]]&gt;=0,"VENCIDA",IF(Tabla1[[#This Row],[|]]&gt;=-14,"POR VENCER","OK"))</f>
        <v>VENCIDA</v>
      </c>
      <c r="P1089" s="102" t="s">
        <v>2790</v>
      </c>
      <c r="Q1089" s="95" t="s">
        <v>312</v>
      </c>
      <c r="R1089" s="100" t="s">
        <v>17</v>
      </c>
      <c r="S1089" s="100"/>
      <c r="T1089" s="100"/>
      <c r="U1089" s="100"/>
      <c r="V1089" s="100" t="s">
        <v>1939</v>
      </c>
      <c r="W1089" s="100" t="s">
        <v>3515</v>
      </c>
      <c r="X1089" s="100" t="s">
        <v>624</v>
      </c>
    </row>
    <row r="1090" spans="1:24" ht="32.25" customHeight="1" x14ac:dyDescent="0.2">
      <c r="A1090" s="37">
        <v>1130</v>
      </c>
      <c r="B1090" s="93" t="s">
        <v>279</v>
      </c>
      <c r="C1090" s="94">
        <v>1130</v>
      </c>
      <c r="D1090" s="100" t="str">
        <f t="shared" si="36"/>
        <v>SUPERMIX1130</v>
      </c>
      <c r="E1090" s="169" t="s">
        <v>3764</v>
      </c>
      <c r="F1090" s="169" t="s">
        <v>3765</v>
      </c>
      <c r="G1090" s="100" t="s">
        <v>2825</v>
      </c>
      <c r="H1090" s="102">
        <v>40601925</v>
      </c>
      <c r="I1090" s="102" t="s">
        <v>3788</v>
      </c>
      <c r="J1090" s="100" t="s">
        <v>3766</v>
      </c>
      <c r="K1090" s="100" t="s">
        <v>1954</v>
      </c>
      <c r="L1090" s="103">
        <v>42383</v>
      </c>
      <c r="M1090" s="103">
        <v>45865</v>
      </c>
      <c r="N1090" s="100">
        <f t="shared" ca="1" si="37"/>
        <v>322</v>
      </c>
      <c r="O1090" s="84" t="str">
        <f ca="1">IF(Tabla1[[#This Row],[|]]&gt;=0,"VENCIDA",IF(Tabla1[[#This Row],[|]]&gt;=-14,"POR VENCER","OK"))</f>
        <v>VENCIDA</v>
      </c>
      <c r="P1090" s="102" t="s">
        <v>2790</v>
      </c>
      <c r="Q1090" s="95" t="s">
        <v>312</v>
      </c>
      <c r="R1090" s="100" t="s">
        <v>317</v>
      </c>
      <c r="S1090" s="100"/>
      <c r="T1090" s="100"/>
      <c r="U1090" s="100"/>
      <c r="V1090" s="100" t="s">
        <v>1939</v>
      </c>
      <c r="W1090" s="100" t="s">
        <v>3515</v>
      </c>
      <c r="X1090" s="100" t="s">
        <v>624</v>
      </c>
    </row>
    <row r="1091" spans="1:24" ht="32.25" customHeight="1" x14ac:dyDescent="0.2">
      <c r="A1091" s="200">
        <v>1131</v>
      </c>
      <c r="B1091" s="88" t="s">
        <v>279</v>
      </c>
      <c r="C1091" s="89">
        <v>1131</v>
      </c>
      <c r="D1091" s="61" t="str">
        <f t="shared" si="36"/>
        <v>SUPERMIX1131</v>
      </c>
      <c r="E1091" s="82" t="s">
        <v>3767</v>
      </c>
      <c r="F1091" s="82" t="s">
        <v>3768</v>
      </c>
      <c r="G1091" s="61" t="s">
        <v>3273</v>
      </c>
      <c r="H1091" s="60" t="s">
        <v>3769</v>
      </c>
      <c r="I1091" s="60" t="s">
        <v>3787</v>
      </c>
      <c r="J1091" s="61">
        <v>96345453</v>
      </c>
      <c r="K1091" s="61" t="s">
        <v>3770</v>
      </c>
      <c r="L1091" s="62">
        <v>45181</v>
      </c>
      <c r="M1091" s="62">
        <v>45355</v>
      </c>
      <c r="N1091" s="61">
        <f t="shared" ca="1" si="37"/>
        <v>832</v>
      </c>
      <c r="O1091" s="84" t="str">
        <f ca="1">IF(Tabla1[[#This Row],[|]]&gt;=0,"VENCIDA",IF(Tabla1[[#This Row],[|]]&gt;=-14,"POR VENCER","OK"))</f>
        <v>VENCIDA</v>
      </c>
      <c r="P1091" s="60" t="s">
        <v>2827</v>
      </c>
      <c r="Q1091" s="90" t="s">
        <v>312</v>
      </c>
      <c r="R1091" s="61" t="s">
        <v>17</v>
      </c>
      <c r="S1091" s="61"/>
      <c r="T1091" s="61"/>
      <c r="U1091" s="61"/>
      <c r="V1091" s="61" t="s">
        <v>924</v>
      </c>
      <c r="W1091" s="61" t="s">
        <v>3771</v>
      </c>
      <c r="X1091" s="61" t="s">
        <v>3772</v>
      </c>
    </row>
    <row r="1092" spans="1:24" ht="32.25" customHeight="1" x14ac:dyDescent="0.2">
      <c r="A1092" s="37">
        <v>1132</v>
      </c>
      <c r="B1092" s="93" t="s">
        <v>279</v>
      </c>
      <c r="C1092" s="94">
        <v>1132</v>
      </c>
      <c r="D1092" s="100" t="str">
        <f t="shared" si="36"/>
        <v>SUPERMIX1132</v>
      </c>
      <c r="E1092" s="169" t="s">
        <v>3776</v>
      </c>
      <c r="F1092" s="169" t="s">
        <v>3777</v>
      </c>
      <c r="G1092" s="100" t="s">
        <v>2825</v>
      </c>
      <c r="H1092" s="102">
        <v>40804642</v>
      </c>
      <c r="I1092" s="102" t="s">
        <v>3788</v>
      </c>
      <c r="J1092" s="100" t="s">
        <v>3778</v>
      </c>
      <c r="K1092" s="100" t="s">
        <v>3142</v>
      </c>
      <c r="L1092" s="103">
        <v>39506</v>
      </c>
      <c r="M1092" s="103">
        <v>47126</v>
      </c>
      <c r="N1092" s="100">
        <f t="shared" ca="1" si="37"/>
        <v>-939</v>
      </c>
      <c r="O1092" s="84" t="str">
        <f ca="1">IF(Tabla1[[#This Row],[|]]&gt;=0,"VENCIDA",IF(Tabla1[[#This Row],[|]]&gt;=-14,"POR VENCER","OK"))</f>
        <v>OK</v>
      </c>
      <c r="P1092" s="102" t="s">
        <v>2827</v>
      </c>
      <c r="Q1092" s="95" t="s">
        <v>312</v>
      </c>
      <c r="R1092" s="100" t="s">
        <v>17</v>
      </c>
      <c r="S1092" s="100"/>
      <c r="T1092" s="100"/>
      <c r="U1092" s="100"/>
      <c r="V1092" s="100" t="s">
        <v>3779</v>
      </c>
      <c r="W1092" s="100" t="s">
        <v>3771</v>
      </c>
      <c r="X1092" s="100" t="s">
        <v>3780</v>
      </c>
    </row>
    <row r="1093" spans="1:24" ht="25.5" x14ac:dyDescent="0.2">
      <c r="A1093" s="189">
        <v>1133</v>
      </c>
      <c r="B1093" s="162" t="s">
        <v>279</v>
      </c>
      <c r="C1093" s="158">
        <v>1133</v>
      </c>
      <c r="D1093" s="160" t="str">
        <f t="shared" si="36"/>
        <v>SUPERMIX1133</v>
      </c>
      <c r="E1093" s="164" t="s">
        <v>3798</v>
      </c>
      <c r="F1093" s="164" t="s">
        <v>3799</v>
      </c>
      <c r="G1093" s="160" t="s">
        <v>2825</v>
      </c>
      <c r="H1093" s="159">
        <v>73932647</v>
      </c>
      <c r="I1093" s="159" t="s">
        <v>3788</v>
      </c>
      <c r="J1093" s="160" t="s">
        <v>3800</v>
      </c>
      <c r="K1093" s="160" t="s">
        <v>3142</v>
      </c>
      <c r="L1093" s="161">
        <v>44736</v>
      </c>
      <c r="M1093" s="161">
        <v>48389</v>
      </c>
      <c r="N1093" s="160">
        <f t="shared" ca="1" si="37"/>
        <v>-2202</v>
      </c>
      <c r="O1093" s="162" t="str">
        <f t="shared" ref="O1093:O1105" ca="1" si="38">IF(N1093&lt;-5,"OK","VENCIDA")</f>
        <v>OK</v>
      </c>
      <c r="P1093" s="159" t="s">
        <v>2827</v>
      </c>
      <c r="Q1093" s="163" t="s">
        <v>312</v>
      </c>
      <c r="R1093" s="100" t="s">
        <v>317</v>
      </c>
      <c r="S1093" s="160"/>
      <c r="T1093" s="160"/>
      <c r="U1093" s="160"/>
      <c r="V1093" s="160" t="s">
        <v>334</v>
      </c>
      <c r="W1093" s="160" t="s">
        <v>2947</v>
      </c>
      <c r="X1093" s="160" t="s">
        <v>3801</v>
      </c>
    </row>
    <row r="1094" spans="1:24" ht="25.5" x14ac:dyDescent="0.2">
      <c r="A1094" s="189">
        <v>1134</v>
      </c>
      <c r="B1094" s="162" t="s">
        <v>279</v>
      </c>
      <c r="C1094" s="158">
        <v>1134</v>
      </c>
      <c r="D1094" s="160" t="str">
        <f t="shared" si="36"/>
        <v>SUPERMIX1134</v>
      </c>
      <c r="E1094" s="164" t="s">
        <v>3802</v>
      </c>
      <c r="F1094" s="164" t="s">
        <v>1162</v>
      </c>
      <c r="G1094" s="160" t="s">
        <v>2825</v>
      </c>
      <c r="H1094" s="159">
        <v>41574840</v>
      </c>
      <c r="I1094" s="159" t="s">
        <v>3788</v>
      </c>
      <c r="J1094" s="160" t="s">
        <v>3803</v>
      </c>
      <c r="K1094" s="160" t="s">
        <v>1954</v>
      </c>
      <c r="L1094" s="161">
        <v>40604</v>
      </c>
      <c r="M1094" s="161">
        <v>46694</v>
      </c>
      <c r="N1094" s="160">
        <f t="shared" ca="1" si="37"/>
        <v>-507</v>
      </c>
      <c r="O1094" s="162" t="str">
        <f t="shared" ca="1" si="38"/>
        <v>OK</v>
      </c>
      <c r="P1094" s="159" t="s">
        <v>3615</v>
      </c>
      <c r="Q1094" s="163" t="s">
        <v>312</v>
      </c>
      <c r="R1094" s="100" t="s">
        <v>17</v>
      </c>
      <c r="S1094" s="160"/>
      <c r="T1094" s="160"/>
      <c r="U1094" s="160"/>
      <c r="V1094" s="160" t="s">
        <v>282</v>
      </c>
      <c r="W1094" s="160" t="s">
        <v>3804</v>
      </c>
      <c r="X1094" s="160" t="s">
        <v>3805</v>
      </c>
    </row>
    <row r="1095" spans="1:24" ht="25.5" x14ac:dyDescent="0.2">
      <c r="A1095" s="214">
        <v>1135</v>
      </c>
      <c r="B1095" s="162" t="s">
        <v>279</v>
      </c>
      <c r="C1095" s="158">
        <v>1135</v>
      </c>
      <c r="D1095" s="160" t="s">
        <v>3954</v>
      </c>
      <c r="E1095" s="164" t="s">
        <v>3809</v>
      </c>
      <c r="F1095" s="164" t="s">
        <v>3810</v>
      </c>
      <c r="G1095" s="160" t="s">
        <v>2825</v>
      </c>
      <c r="H1095" s="159">
        <v>77384800</v>
      </c>
      <c r="I1095" s="159" t="s">
        <v>3788</v>
      </c>
      <c r="J1095" s="160" t="s">
        <v>3811</v>
      </c>
      <c r="K1095" s="160" t="s">
        <v>343</v>
      </c>
      <c r="L1095" s="161">
        <v>42566</v>
      </c>
      <c r="M1095" s="161">
        <v>46643</v>
      </c>
      <c r="N1095" s="160">
        <f t="shared" ca="1" si="37"/>
        <v>-456</v>
      </c>
      <c r="O1095" s="162" t="str">
        <f t="shared" ca="1" si="38"/>
        <v>OK</v>
      </c>
      <c r="P1095" s="159" t="s">
        <v>3715</v>
      </c>
      <c r="Q1095" s="163" t="s">
        <v>312</v>
      </c>
      <c r="R1095" s="100" t="s">
        <v>17</v>
      </c>
      <c r="S1095" s="160"/>
      <c r="T1095" s="160"/>
      <c r="U1095" s="160"/>
      <c r="V1095" s="160" t="s">
        <v>3812</v>
      </c>
      <c r="W1095" s="160" t="s">
        <v>3813</v>
      </c>
      <c r="X1095" s="160" t="s">
        <v>3814</v>
      </c>
    </row>
    <row r="1096" spans="1:24" ht="25.5" x14ac:dyDescent="0.2">
      <c r="A1096" s="214">
        <v>1136</v>
      </c>
      <c r="B1096" s="162" t="s">
        <v>279</v>
      </c>
      <c r="C1096" s="158">
        <v>1136</v>
      </c>
      <c r="D1096" s="160" t="str">
        <f t="shared" ref="D1096:D1105" si="39">CONCATENATE(B1096,C1096)</f>
        <v>SUPERMIX1136</v>
      </c>
      <c r="E1096" s="164" t="s">
        <v>3815</v>
      </c>
      <c r="F1096" s="164" t="s">
        <v>3361</v>
      </c>
      <c r="G1096" s="160" t="s">
        <v>2825</v>
      </c>
      <c r="H1096" s="159">
        <v>70272826</v>
      </c>
      <c r="I1096" s="159" t="s">
        <v>3788</v>
      </c>
      <c r="J1096" s="160" t="s">
        <v>3816</v>
      </c>
      <c r="K1096" s="160" t="s">
        <v>3142</v>
      </c>
      <c r="L1096" s="161">
        <v>43894</v>
      </c>
      <c r="M1096" s="161">
        <v>47546</v>
      </c>
      <c r="N1096" s="160">
        <f t="shared" ca="1" si="37"/>
        <v>-1359</v>
      </c>
      <c r="O1096" s="162" t="str">
        <f t="shared" ca="1" si="38"/>
        <v>OK</v>
      </c>
      <c r="P1096" s="159" t="s">
        <v>2827</v>
      </c>
      <c r="Q1096" s="163" t="s">
        <v>312</v>
      </c>
      <c r="R1096" s="160" t="s">
        <v>317</v>
      </c>
      <c r="S1096" s="160"/>
      <c r="T1096" s="160"/>
      <c r="U1096" s="160"/>
      <c r="V1096" s="160" t="s">
        <v>282</v>
      </c>
      <c r="W1096" s="160" t="s">
        <v>1017</v>
      </c>
      <c r="X1096" s="160" t="s">
        <v>3015</v>
      </c>
    </row>
    <row r="1097" spans="1:24" ht="25.5" x14ac:dyDescent="0.2">
      <c r="A1097" s="214">
        <v>1137</v>
      </c>
      <c r="B1097" s="162" t="s">
        <v>279</v>
      </c>
      <c r="C1097" s="158">
        <v>1137</v>
      </c>
      <c r="D1097" s="160" t="str">
        <f t="shared" si="39"/>
        <v>SUPERMIX1137</v>
      </c>
      <c r="E1097" s="164" t="s">
        <v>3817</v>
      </c>
      <c r="F1097" s="164" t="s">
        <v>31</v>
      </c>
      <c r="G1097" s="160" t="s">
        <v>2825</v>
      </c>
      <c r="H1097" s="159">
        <v>44907279</v>
      </c>
      <c r="I1097" s="159" t="s">
        <v>3788</v>
      </c>
      <c r="J1097" s="160" t="s">
        <v>3818</v>
      </c>
      <c r="K1097" s="160" t="s">
        <v>281</v>
      </c>
      <c r="L1097" s="161">
        <v>43273</v>
      </c>
      <c r="M1097" s="161">
        <v>46210</v>
      </c>
      <c r="N1097" s="160">
        <f t="shared" ca="1" si="37"/>
        <v>-23</v>
      </c>
      <c r="O1097" s="162" t="str">
        <f t="shared" ca="1" si="38"/>
        <v>OK</v>
      </c>
      <c r="P1097" s="159" t="s">
        <v>2790</v>
      </c>
      <c r="Q1097" s="163" t="s">
        <v>312</v>
      </c>
      <c r="R1097" s="160" t="s">
        <v>17</v>
      </c>
      <c r="S1097" s="160"/>
      <c r="T1097" s="160"/>
      <c r="U1097" s="160"/>
      <c r="V1097" s="160" t="s">
        <v>1939</v>
      </c>
      <c r="W1097" s="160" t="s">
        <v>3515</v>
      </c>
      <c r="X1097" s="160" t="s">
        <v>3819</v>
      </c>
    </row>
    <row r="1098" spans="1:24" ht="25.5" x14ac:dyDescent="0.2">
      <c r="A1098" s="214">
        <v>1138</v>
      </c>
      <c r="B1098" s="162" t="s">
        <v>279</v>
      </c>
      <c r="C1098" s="158">
        <v>1138</v>
      </c>
      <c r="D1098" s="160" t="str">
        <f t="shared" si="39"/>
        <v>SUPERMIX1138</v>
      </c>
      <c r="E1098" s="164" t="s">
        <v>3820</v>
      </c>
      <c r="F1098" s="164" t="s">
        <v>609</v>
      </c>
      <c r="G1098" s="160" t="s">
        <v>2825</v>
      </c>
      <c r="H1098" s="159">
        <v>70132865</v>
      </c>
      <c r="I1098" s="159" t="s">
        <v>3788</v>
      </c>
      <c r="J1098" s="160" t="s">
        <v>3821</v>
      </c>
      <c r="K1098" s="160" t="s">
        <v>3142</v>
      </c>
      <c r="L1098" s="161">
        <v>43692</v>
      </c>
      <c r="M1098" s="161">
        <v>47345</v>
      </c>
      <c r="N1098" s="160">
        <f t="shared" ca="1" si="37"/>
        <v>-1158</v>
      </c>
      <c r="O1098" s="162" t="str">
        <f t="shared" ca="1" si="38"/>
        <v>OK</v>
      </c>
      <c r="P1098" s="159" t="s">
        <v>2827</v>
      </c>
      <c r="Q1098" s="163" t="s">
        <v>312</v>
      </c>
      <c r="R1098" s="160" t="s">
        <v>17</v>
      </c>
      <c r="S1098" s="160"/>
      <c r="T1098" s="160"/>
      <c r="U1098" s="160"/>
      <c r="V1098" s="160" t="s">
        <v>282</v>
      </c>
      <c r="W1098" s="160" t="s">
        <v>2776</v>
      </c>
      <c r="X1098" s="160" t="s">
        <v>2870</v>
      </c>
    </row>
    <row r="1099" spans="1:24" ht="25.5" x14ac:dyDescent="0.2">
      <c r="A1099" s="214">
        <v>1139</v>
      </c>
      <c r="B1099" s="162" t="s">
        <v>279</v>
      </c>
      <c r="C1099" s="158">
        <v>1139</v>
      </c>
      <c r="D1099" s="160" t="str">
        <f t="shared" si="39"/>
        <v>SUPERMIX1139</v>
      </c>
      <c r="E1099" s="164" t="s">
        <v>3823</v>
      </c>
      <c r="F1099" s="164" t="s">
        <v>3824</v>
      </c>
      <c r="G1099" s="160" t="s">
        <v>2825</v>
      </c>
      <c r="H1099" s="159">
        <v>41638553</v>
      </c>
      <c r="I1099" s="159" t="s">
        <v>3788</v>
      </c>
      <c r="J1099" s="160" t="s">
        <v>3825</v>
      </c>
      <c r="K1099" s="160" t="s">
        <v>281</v>
      </c>
      <c r="L1099" s="161">
        <v>41740</v>
      </c>
      <c r="M1099" s="161">
        <v>45693</v>
      </c>
      <c r="N1099" s="160">
        <f t="shared" ca="1" si="37"/>
        <v>494</v>
      </c>
      <c r="O1099" s="162" t="str">
        <f t="shared" ca="1" si="38"/>
        <v>VENCIDA</v>
      </c>
      <c r="P1099" s="159" t="s">
        <v>2790</v>
      </c>
      <c r="Q1099" s="163" t="s">
        <v>312</v>
      </c>
      <c r="R1099" s="160" t="s">
        <v>317</v>
      </c>
      <c r="S1099" s="160"/>
      <c r="T1099" s="160"/>
      <c r="U1099" s="160"/>
      <c r="V1099" s="160" t="s">
        <v>1939</v>
      </c>
      <c r="W1099" s="160" t="s">
        <v>3515</v>
      </c>
      <c r="X1099" s="160" t="s">
        <v>624</v>
      </c>
    </row>
    <row r="1100" spans="1:24" ht="25.5" x14ac:dyDescent="0.2">
      <c r="A1100" s="214">
        <v>1140</v>
      </c>
      <c r="B1100" s="162" t="s">
        <v>279</v>
      </c>
      <c r="C1100" s="158">
        <v>1140</v>
      </c>
      <c r="D1100" s="160" t="str">
        <f t="shared" si="39"/>
        <v>SUPERMIX1140</v>
      </c>
      <c r="E1100" s="164" t="s">
        <v>3826</v>
      </c>
      <c r="F1100" s="164" t="s">
        <v>3827</v>
      </c>
      <c r="G1100" s="160" t="s">
        <v>2825</v>
      </c>
      <c r="H1100" s="159">
        <v>44727426</v>
      </c>
      <c r="I1100" s="159" t="s">
        <v>3788</v>
      </c>
      <c r="J1100" s="160" t="s">
        <v>3828</v>
      </c>
      <c r="K1100" s="160" t="s">
        <v>281</v>
      </c>
      <c r="L1100" s="161">
        <v>43254</v>
      </c>
      <c r="M1100" s="161">
        <v>46159</v>
      </c>
      <c r="N1100" s="160">
        <f t="shared" ca="1" si="37"/>
        <v>28</v>
      </c>
      <c r="O1100" s="162" t="str">
        <f t="shared" ca="1" si="38"/>
        <v>VENCIDA</v>
      </c>
      <c r="P1100" s="159" t="s">
        <v>3829</v>
      </c>
      <c r="Q1100" s="163" t="s">
        <v>312</v>
      </c>
      <c r="R1100" s="160" t="s">
        <v>317</v>
      </c>
      <c r="S1100" s="160"/>
      <c r="T1100" s="160"/>
      <c r="U1100" s="160"/>
      <c r="V1100" s="160" t="s">
        <v>282</v>
      </c>
      <c r="W1100" s="160" t="s">
        <v>2776</v>
      </c>
      <c r="X1100" s="160" t="s">
        <v>3616</v>
      </c>
    </row>
    <row r="1101" spans="1:24" ht="25.5" x14ac:dyDescent="0.2">
      <c r="A1101" s="227">
        <v>1141</v>
      </c>
      <c r="B1101" s="88" t="s">
        <v>279</v>
      </c>
      <c r="C1101" s="226">
        <v>1141</v>
      </c>
      <c r="D1101" s="61" t="str">
        <f t="shared" si="39"/>
        <v>SUPERMIX1141</v>
      </c>
      <c r="E1101" s="82" t="s">
        <v>3830</v>
      </c>
      <c r="F1101" s="82" t="s">
        <v>3831</v>
      </c>
      <c r="G1101" s="61" t="s">
        <v>2825</v>
      </c>
      <c r="H1101" s="60">
        <v>2816297</v>
      </c>
      <c r="I1101" s="60" t="s">
        <v>3787</v>
      </c>
      <c r="J1101" s="61" t="s">
        <v>3832</v>
      </c>
      <c r="K1101" s="61" t="s">
        <v>3142</v>
      </c>
      <c r="L1101" s="62">
        <v>35151</v>
      </c>
      <c r="M1101" s="62">
        <v>45923</v>
      </c>
      <c r="N1101" s="61">
        <f t="shared" ca="1" si="37"/>
        <v>264</v>
      </c>
      <c r="O1101" s="88" t="str">
        <f t="shared" ca="1" si="38"/>
        <v>VENCIDA</v>
      </c>
      <c r="P1101" s="60" t="s">
        <v>2827</v>
      </c>
      <c r="Q1101" s="90" t="s">
        <v>312</v>
      </c>
      <c r="R1101" s="61" t="s">
        <v>317</v>
      </c>
      <c r="S1101" s="61"/>
      <c r="T1101" s="61"/>
      <c r="U1101" s="61"/>
      <c r="V1101" s="61" t="s">
        <v>836</v>
      </c>
      <c r="W1101" s="61" t="s">
        <v>3771</v>
      </c>
      <c r="X1101" s="61" t="s">
        <v>3833</v>
      </c>
    </row>
    <row r="1102" spans="1:24" ht="25.5" x14ac:dyDescent="0.2">
      <c r="A1102" s="189">
        <v>1142</v>
      </c>
      <c r="B1102" s="162" t="s">
        <v>279</v>
      </c>
      <c r="C1102" s="158">
        <v>1142</v>
      </c>
      <c r="D1102" s="160" t="str">
        <f t="shared" si="39"/>
        <v>SUPERMIX1142</v>
      </c>
      <c r="E1102" s="164" t="s">
        <v>3834</v>
      </c>
      <c r="F1102" s="164" t="s">
        <v>1888</v>
      </c>
      <c r="G1102" s="160" t="s">
        <v>2825</v>
      </c>
      <c r="H1102" s="159">
        <v>42783710</v>
      </c>
      <c r="I1102" s="159" t="s">
        <v>3788</v>
      </c>
      <c r="J1102" s="160" t="s">
        <v>3835</v>
      </c>
      <c r="K1102" s="160" t="s">
        <v>281</v>
      </c>
      <c r="L1102" s="161">
        <v>41586</v>
      </c>
      <c r="M1102" s="161">
        <v>45936</v>
      </c>
      <c r="N1102" s="160">
        <f t="shared" ca="1" si="37"/>
        <v>251</v>
      </c>
      <c r="O1102" s="162" t="str">
        <f t="shared" ca="1" si="38"/>
        <v>VENCIDA</v>
      </c>
      <c r="P1102" s="159" t="s">
        <v>2827</v>
      </c>
      <c r="Q1102" s="163" t="s">
        <v>312</v>
      </c>
      <c r="R1102" s="160" t="s">
        <v>317</v>
      </c>
      <c r="S1102" s="160"/>
      <c r="T1102" s="160"/>
      <c r="U1102" s="160"/>
      <c r="V1102" s="160" t="s">
        <v>282</v>
      </c>
      <c r="W1102" s="160" t="s">
        <v>2776</v>
      </c>
      <c r="X1102" s="160" t="s">
        <v>3751</v>
      </c>
    </row>
    <row r="1103" spans="1:24" ht="25.5" x14ac:dyDescent="0.2">
      <c r="A1103" s="214">
        <v>1143</v>
      </c>
      <c r="B1103" s="162" t="s">
        <v>279</v>
      </c>
      <c r="C1103" s="158">
        <v>1143</v>
      </c>
      <c r="D1103" s="160" t="str">
        <f t="shared" si="39"/>
        <v>SUPERMIX1143</v>
      </c>
      <c r="E1103" s="164" t="s">
        <v>3837</v>
      </c>
      <c r="F1103" s="164" t="s">
        <v>3838</v>
      </c>
      <c r="G1103" s="160" t="s">
        <v>2825</v>
      </c>
      <c r="H1103" s="159">
        <v>29628570</v>
      </c>
      <c r="I1103" s="159" t="s">
        <v>3788</v>
      </c>
      <c r="J1103" s="160" t="s">
        <v>3840</v>
      </c>
      <c r="K1103" s="160" t="s">
        <v>343</v>
      </c>
      <c r="L1103" s="161">
        <v>42775</v>
      </c>
      <c r="M1103" s="161">
        <v>45805</v>
      </c>
      <c r="N1103" s="160">
        <f t="shared" ca="1" si="37"/>
        <v>382</v>
      </c>
      <c r="O1103" s="162" t="str">
        <f t="shared" ca="1" si="38"/>
        <v>VENCIDA</v>
      </c>
      <c r="P1103" s="159" t="s">
        <v>2827</v>
      </c>
      <c r="Q1103" s="163" t="s">
        <v>312</v>
      </c>
      <c r="R1103" s="160" t="s">
        <v>317</v>
      </c>
      <c r="S1103" s="160"/>
      <c r="T1103" s="160"/>
      <c r="U1103" s="160"/>
      <c r="V1103" s="160" t="s">
        <v>3839</v>
      </c>
      <c r="W1103" s="160" t="s">
        <v>3619</v>
      </c>
      <c r="X1103" s="160" t="s">
        <v>3168</v>
      </c>
    </row>
    <row r="1104" spans="1:24" ht="25.5" x14ac:dyDescent="0.2">
      <c r="A1104" s="214">
        <v>1144</v>
      </c>
      <c r="B1104" s="162" t="s">
        <v>279</v>
      </c>
      <c r="C1104" s="158">
        <v>1144</v>
      </c>
      <c r="D1104" s="160" t="str">
        <f t="shared" si="39"/>
        <v>SUPERMIX1144</v>
      </c>
      <c r="E1104" s="164" t="s">
        <v>3842</v>
      </c>
      <c r="F1104" s="164" t="s">
        <v>3843</v>
      </c>
      <c r="G1104" s="160" t="s">
        <v>2825</v>
      </c>
      <c r="H1104" s="159">
        <v>73376822</v>
      </c>
      <c r="I1104" s="159" t="s">
        <v>3788</v>
      </c>
      <c r="J1104" s="160" t="s">
        <v>3844</v>
      </c>
      <c r="K1104" s="160" t="s">
        <v>3142</v>
      </c>
      <c r="L1104" s="161">
        <v>42398</v>
      </c>
      <c r="M1104" s="161">
        <v>48975</v>
      </c>
      <c r="N1104" s="160">
        <f t="shared" ca="1" si="37"/>
        <v>-2788</v>
      </c>
      <c r="O1104" s="162" t="str">
        <f t="shared" ca="1" si="38"/>
        <v>OK</v>
      </c>
      <c r="P1104" s="159" t="s">
        <v>2827</v>
      </c>
      <c r="Q1104" s="163" t="s">
        <v>312</v>
      </c>
      <c r="R1104" s="160" t="s">
        <v>17</v>
      </c>
      <c r="S1104" s="160"/>
      <c r="T1104" s="160"/>
      <c r="U1104" s="160"/>
      <c r="V1104" s="160" t="s">
        <v>334</v>
      </c>
      <c r="W1104" s="160" t="s">
        <v>2947</v>
      </c>
      <c r="X1104" s="160" t="s">
        <v>3845</v>
      </c>
    </row>
    <row r="1105" spans="1:24" ht="25.5" x14ac:dyDescent="0.2">
      <c r="A1105" s="214">
        <v>1145</v>
      </c>
      <c r="B1105" s="162" t="s">
        <v>279</v>
      </c>
      <c r="C1105" s="158">
        <v>1145</v>
      </c>
      <c r="D1105" s="160" t="str">
        <f t="shared" si="39"/>
        <v>SUPERMIX1145</v>
      </c>
      <c r="E1105" s="164" t="s">
        <v>3846</v>
      </c>
      <c r="F1105" s="164" t="s">
        <v>2803</v>
      </c>
      <c r="G1105" s="160" t="s">
        <v>2825</v>
      </c>
      <c r="H1105" s="159">
        <v>47629940</v>
      </c>
      <c r="I1105" s="159" t="s">
        <v>3788</v>
      </c>
      <c r="J1105" s="160" t="s">
        <v>3847</v>
      </c>
      <c r="K1105" s="160" t="s">
        <v>343</v>
      </c>
      <c r="L1105" s="161">
        <v>42144</v>
      </c>
      <c r="M1105" s="161">
        <v>46712</v>
      </c>
      <c r="N1105" s="160">
        <f t="shared" ca="1" si="37"/>
        <v>-525</v>
      </c>
      <c r="O1105" s="162" t="str">
        <f t="shared" ca="1" si="38"/>
        <v>OK</v>
      </c>
      <c r="P1105" s="159" t="s">
        <v>3193</v>
      </c>
      <c r="Q1105" s="163" t="s">
        <v>312</v>
      </c>
      <c r="R1105" s="160" t="s">
        <v>317</v>
      </c>
      <c r="S1105" s="160"/>
      <c r="T1105" s="160"/>
      <c r="U1105" s="160"/>
      <c r="V1105" s="160" t="s">
        <v>334</v>
      </c>
      <c r="W1105" s="160" t="s">
        <v>2947</v>
      </c>
      <c r="X1105" s="160" t="s">
        <v>3191</v>
      </c>
    </row>
    <row r="1106" spans="1:24" ht="25.5" x14ac:dyDescent="0.2">
      <c r="A1106" s="189">
        <v>1146</v>
      </c>
      <c r="B1106" s="162" t="s">
        <v>279</v>
      </c>
      <c r="C1106" s="158">
        <v>1146</v>
      </c>
      <c r="D1106" s="160" t="str">
        <f t="shared" ref="D1106:D1111" si="40">CONCATENATE(B1106,C1106)</f>
        <v>SUPERMIX1146</v>
      </c>
      <c r="E1106" s="164" t="s">
        <v>3848</v>
      </c>
      <c r="F1106" s="164" t="s">
        <v>2428</v>
      </c>
      <c r="G1106" s="160" t="s">
        <v>2825</v>
      </c>
      <c r="H1106" s="159">
        <v>44423869</v>
      </c>
      <c r="I1106" s="159" t="s">
        <v>3788</v>
      </c>
      <c r="J1106" s="160" t="s">
        <v>2429</v>
      </c>
      <c r="K1106" s="160" t="s">
        <v>281</v>
      </c>
      <c r="L1106" s="161">
        <v>42017</v>
      </c>
      <c r="M1106" s="161">
        <v>46338</v>
      </c>
      <c r="N1106" s="160">
        <f t="shared" ca="1" si="37"/>
        <v>-151</v>
      </c>
      <c r="O1106" s="162" t="str">
        <f t="shared" ref="O1106:O1111" ca="1" si="41">IF(N1106&lt;-5,"OK","VENCIDA")</f>
        <v>OK</v>
      </c>
      <c r="P1106" s="159" t="s">
        <v>2790</v>
      </c>
      <c r="Q1106" s="163" t="s">
        <v>312</v>
      </c>
      <c r="R1106" s="160" t="s">
        <v>317</v>
      </c>
      <c r="S1106" s="160"/>
      <c r="T1106" s="160"/>
      <c r="U1106" s="160"/>
      <c r="V1106" s="160" t="s">
        <v>1939</v>
      </c>
      <c r="W1106" s="160" t="s">
        <v>3515</v>
      </c>
      <c r="X1106" s="160" t="s">
        <v>624</v>
      </c>
    </row>
    <row r="1107" spans="1:24" ht="25.5" x14ac:dyDescent="0.2">
      <c r="A1107" s="189">
        <v>1147</v>
      </c>
      <c r="B1107" s="162" t="s">
        <v>279</v>
      </c>
      <c r="C1107" s="158">
        <v>1147</v>
      </c>
      <c r="D1107" s="160" t="str">
        <f t="shared" si="40"/>
        <v>SUPERMIX1147</v>
      </c>
      <c r="E1107" s="164" t="s">
        <v>3849</v>
      </c>
      <c r="F1107" s="164" t="s">
        <v>3850</v>
      </c>
      <c r="G1107" s="160" t="s">
        <v>310</v>
      </c>
      <c r="H1107" s="159">
        <v>42066439</v>
      </c>
      <c r="I1107" s="159" t="s">
        <v>3788</v>
      </c>
      <c r="J1107" s="160" t="s">
        <v>3851</v>
      </c>
      <c r="K1107" s="160" t="s">
        <v>343</v>
      </c>
      <c r="L1107" s="161">
        <v>41718</v>
      </c>
      <c r="M1107" s="161">
        <v>47122</v>
      </c>
      <c r="N1107" s="160">
        <f t="shared" ca="1" si="37"/>
        <v>-935</v>
      </c>
      <c r="O1107" s="162" t="str">
        <f t="shared" ca="1" si="41"/>
        <v>OK</v>
      </c>
      <c r="P1107" s="159" t="s">
        <v>2827</v>
      </c>
      <c r="Q1107" s="163" t="s">
        <v>312</v>
      </c>
      <c r="R1107" s="160" t="s">
        <v>17</v>
      </c>
      <c r="S1107" s="160"/>
      <c r="T1107" s="160"/>
      <c r="U1107" s="160"/>
      <c r="V1107" s="160" t="s">
        <v>334</v>
      </c>
      <c r="W1107" s="160" t="s">
        <v>2947</v>
      </c>
      <c r="X1107" s="160" t="s">
        <v>3064</v>
      </c>
    </row>
    <row r="1108" spans="1:24" ht="25.5" x14ac:dyDescent="0.2">
      <c r="A1108" s="189">
        <v>1148</v>
      </c>
      <c r="B1108" s="162" t="s">
        <v>279</v>
      </c>
      <c r="C1108" s="158">
        <v>1148</v>
      </c>
      <c r="D1108" s="160" t="str">
        <f t="shared" si="40"/>
        <v>SUPERMIX1148</v>
      </c>
      <c r="E1108" s="164" t="s">
        <v>3852</v>
      </c>
      <c r="F1108" s="164" t="s">
        <v>23</v>
      </c>
      <c r="G1108" s="160" t="s">
        <v>2825</v>
      </c>
      <c r="H1108" s="159">
        <v>46057366</v>
      </c>
      <c r="I1108" s="159" t="s">
        <v>3788</v>
      </c>
      <c r="J1108" s="160" t="s">
        <v>3125</v>
      </c>
      <c r="K1108" s="160" t="s">
        <v>343</v>
      </c>
      <c r="L1108" s="161">
        <v>41624</v>
      </c>
      <c r="M1108" s="161">
        <v>45692</v>
      </c>
      <c r="N1108" s="160">
        <f t="shared" ref="N1108:N1113" ca="1" si="42">TODAY()-M1108</f>
        <v>495</v>
      </c>
      <c r="O1108" s="162" t="str">
        <f t="shared" ca="1" si="41"/>
        <v>VENCIDA</v>
      </c>
      <c r="P1108" s="159" t="s">
        <v>3853</v>
      </c>
      <c r="Q1108" s="163" t="s">
        <v>312</v>
      </c>
      <c r="R1108" s="160" t="s">
        <v>17</v>
      </c>
      <c r="S1108" s="160"/>
      <c r="T1108" s="160"/>
      <c r="U1108" s="160"/>
      <c r="V1108" s="160" t="s">
        <v>1939</v>
      </c>
      <c r="W1108" s="160" t="s">
        <v>3515</v>
      </c>
      <c r="X1108" s="160" t="s">
        <v>760</v>
      </c>
    </row>
    <row r="1109" spans="1:24" ht="25.5" x14ac:dyDescent="0.2">
      <c r="A1109" s="189">
        <v>1149</v>
      </c>
      <c r="B1109" s="162" t="s">
        <v>279</v>
      </c>
      <c r="C1109" s="158">
        <v>1149</v>
      </c>
      <c r="D1109" s="160" t="str">
        <f t="shared" si="40"/>
        <v>SUPERMIX1149</v>
      </c>
      <c r="E1109" s="164" t="s">
        <v>3854</v>
      </c>
      <c r="F1109" s="164" t="s">
        <v>609</v>
      </c>
      <c r="G1109" s="160" t="s">
        <v>2825</v>
      </c>
      <c r="H1109" s="159">
        <v>40590802</v>
      </c>
      <c r="I1109" s="159" t="s">
        <v>3788</v>
      </c>
      <c r="J1109" s="160" t="s">
        <v>3855</v>
      </c>
      <c r="K1109" s="160" t="s">
        <v>281</v>
      </c>
      <c r="L1109" s="161">
        <v>42446</v>
      </c>
      <c r="M1109" s="161">
        <v>46671</v>
      </c>
      <c r="N1109" s="160">
        <f t="shared" ca="1" si="42"/>
        <v>-484</v>
      </c>
      <c r="O1109" s="162" t="str">
        <f t="shared" ca="1" si="41"/>
        <v>OK</v>
      </c>
      <c r="P1109" s="159" t="s">
        <v>2790</v>
      </c>
      <c r="Q1109" s="163" t="s">
        <v>312</v>
      </c>
      <c r="R1109" s="160" t="s">
        <v>17</v>
      </c>
      <c r="S1109" s="160"/>
      <c r="T1109" s="160"/>
      <c r="U1109" s="160"/>
      <c r="V1109" s="160" t="s">
        <v>1939</v>
      </c>
      <c r="W1109" s="160" t="s">
        <v>3515</v>
      </c>
      <c r="X1109" s="160" t="s">
        <v>624</v>
      </c>
    </row>
    <row r="1110" spans="1:24" ht="25.5" x14ac:dyDescent="0.2">
      <c r="A1110" s="189">
        <v>1150</v>
      </c>
      <c r="B1110" s="162" t="s">
        <v>279</v>
      </c>
      <c r="C1110" s="158">
        <v>1150</v>
      </c>
      <c r="D1110" s="160" t="str">
        <f t="shared" si="40"/>
        <v>SUPERMIX1150</v>
      </c>
      <c r="E1110" s="164" t="s">
        <v>3856</v>
      </c>
      <c r="F1110" s="164" t="s">
        <v>3527</v>
      </c>
      <c r="G1110" s="160" t="s">
        <v>2825</v>
      </c>
      <c r="H1110" s="159">
        <v>42988103</v>
      </c>
      <c r="I1110" s="159" t="s">
        <v>3788</v>
      </c>
      <c r="J1110" s="160" t="s">
        <v>3857</v>
      </c>
      <c r="K1110" s="160" t="s">
        <v>281</v>
      </c>
      <c r="L1110" s="161">
        <v>41950</v>
      </c>
      <c r="M1110" s="161">
        <v>45986</v>
      </c>
      <c r="N1110" s="160">
        <f t="shared" ca="1" si="42"/>
        <v>201</v>
      </c>
      <c r="O1110" s="162" t="str">
        <f t="shared" ca="1" si="41"/>
        <v>VENCIDA</v>
      </c>
      <c r="P1110" s="159" t="s">
        <v>2778</v>
      </c>
      <c r="Q1110" s="163" t="s">
        <v>312</v>
      </c>
      <c r="R1110" s="160" t="s">
        <v>17</v>
      </c>
      <c r="S1110" s="160"/>
      <c r="T1110" s="160"/>
      <c r="U1110" s="160"/>
      <c r="V1110" s="160" t="s">
        <v>329</v>
      </c>
      <c r="W1110" s="160" t="s">
        <v>511</v>
      </c>
      <c r="X1110" s="160" t="s">
        <v>3858</v>
      </c>
    </row>
    <row r="1111" spans="1:24" ht="25.5" x14ac:dyDescent="0.2">
      <c r="A1111" s="189">
        <v>1151</v>
      </c>
      <c r="B1111" s="162" t="s">
        <v>279</v>
      </c>
      <c r="C1111" s="158">
        <v>1151</v>
      </c>
      <c r="D1111" s="160" t="str">
        <f t="shared" si="40"/>
        <v>SUPERMIX1151</v>
      </c>
      <c r="E1111" s="164" t="s">
        <v>3859</v>
      </c>
      <c r="F1111" s="164" t="s">
        <v>3860</v>
      </c>
      <c r="G1111" s="160" t="s">
        <v>2825</v>
      </c>
      <c r="H1111" s="159">
        <v>62757501</v>
      </c>
      <c r="I1111" s="159" t="s">
        <v>3788</v>
      </c>
      <c r="J1111" s="160" t="s">
        <v>3861</v>
      </c>
      <c r="K1111" s="160" t="s">
        <v>343</v>
      </c>
      <c r="L1111" s="161">
        <v>44757</v>
      </c>
      <c r="M1111" s="161">
        <v>46583</v>
      </c>
      <c r="N1111" s="160">
        <f t="shared" ca="1" si="42"/>
        <v>-396</v>
      </c>
      <c r="O1111" s="162" t="str">
        <f t="shared" ca="1" si="41"/>
        <v>OK</v>
      </c>
      <c r="P1111" s="159" t="s">
        <v>4080</v>
      </c>
      <c r="Q1111" s="163" t="s">
        <v>312</v>
      </c>
      <c r="R1111" s="160" t="s">
        <v>317</v>
      </c>
      <c r="S1111" s="160"/>
      <c r="T1111" s="160"/>
      <c r="U1111" s="160"/>
      <c r="V1111" s="160" t="s">
        <v>329</v>
      </c>
      <c r="W1111" s="160" t="s">
        <v>511</v>
      </c>
      <c r="X1111" s="160" t="s">
        <v>3862</v>
      </c>
    </row>
    <row r="1112" spans="1:24" ht="25.5" x14ac:dyDescent="0.2">
      <c r="A1112" s="200">
        <v>1152</v>
      </c>
      <c r="B1112" s="88" t="s">
        <v>279</v>
      </c>
      <c r="C1112" s="226">
        <v>1152</v>
      </c>
      <c r="D1112" s="61" t="str">
        <f t="shared" ref="D1112:D1117" si="43">CONCATENATE(B1112,C1112)</f>
        <v>SUPERMIX1152</v>
      </c>
      <c r="E1112" s="82" t="s">
        <v>3863</v>
      </c>
      <c r="F1112" s="82" t="s">
        <v>551</v>
      </c>
      <c r="G1112" s="61" t="s">
        <v>2825</v>
      </c>
      <c r="H1112" s="60">
        <v>41804320</v>
      </c>
      <c r="I1112" s="60" t="s">
        <v>3787</v>
      </c>
      <c r="J1112" s="61" t="s">
        <v>3864</v>
      </c>
      <c r="K1112" s="61" t="s">
        <v>3142</v>
      </c>
      <c r="L1112" s="62">
        <v>45280</v>
      </c>
      <c r="M1112" s="62">
        <v>47107</v>
      </c>
      <c r="N1112" s="61">
        <f t="shared" ca="1" si="42"/>
        <v>-920</v>
      </c>
      <c r="O1112" s="88" t="str">
        <f ca="1">IF(N1112&lt;-5,"OK","VENCIDA")</f>
        <v>OK</v>
      </c>
      <c r="P1112" s="60" t="s">
        <v>2827</v>
      </c>
      <c r="Q1112" s="90" t="s">
        <v>312</v>
      </c>
      <c r="R1112" s="61" t="s">
        <v>17</v>
      </c>
      <c r="S1112" s="61"/>
      <c r="T1112" s="61"/>
      <c r="U1112" s="61"/>
      <c r="V1112" s="61" t="s">
        <v>3865</v>
      </c>
      <c r="W1112" s="61" t="s">
        <v>2947</v>
      </c>
      <c r="X1112" s="61" t="s">
        <v>2894</v>
      </c>
    </row>
    <row r="1113" spans="1:24" ht="25.5" x14ac:dyDescent="0.2">
      <c r="A1113" s="200">
        <v>1153</v>
      </c>
      <c r="B1113" s="88" t="s">
        <v>279</v>
      </c>
      <c r="C1113" s="226">
        <v>1153</v>
      </c>
      <c r="D1113" s="61" t="str">
        <f t="shared" si="43"/>
        <v>SUPERMIX1153</v>
      </c>
      <c r="E1113" s="82" t="s">
        <v>3866</v>
      </c>
      <c r="F1113" s="82" t="s">
        <v>3867</v>
      </c>
      <c r="G1113" s="61" t="s">
        <v>2825</v>
      </c>
      <c r="H1113" s="60">
        <v>43585627</v>
      </c>
      <c r="I1113" s="60" t="s">
        <v>3787</v>
      </c>
      <c r="J1113" s="61" t="s">
        <v>3868</v>
      </c>
      <c r="K1113" s="61" t="s">
        <v>343</v>
      </c>
      <c r="L1113" s="62">
        <v>40344</v>
      </c>
      <c r="M1113" s="62">
        <v>45714</v>
      </c>
      <c r="N1113" s="61">
        <f t="shared" ca="1" si="42"/>
        <v>473</v>
      </c>
      <c r="O1113" s="88" t="str">
        <f ca="1">IF(N1113&lt;-5,"OK","VENCIDA")</f>
        <v>VENCIDA</v>
      </c>
      <c r="P1113" s="60" t="s">
        <v>2827</v>
      </c>
      <c r="Q1113" s="90" t="s">
        <v>312</v>
      </c>
      <c r="R1113" s="61" t="s">
        <v>17</v>
      </c>
      <c r="S1113" s="61"/>
      <c r="T1113" s="61"/>
      <c r="U1113" s="61"/>
      <c r="V1113" s="61" t="s">
        <v>329</v>
      </c>
      <c r="W1113" s="61" t="s">
        <v>511</v>
      </c>
      <c r="X1113" s="61" t="s">
        <v>3869</v>
      </c>
    </row>
    <row r="1114" spans="1:24" ht="25.5" x14ac:dyDescent="0.2">
      <c r="A1114" s="189">
        <v>1154</v>
      </c>
      <c r="B1114" s="162" t="s">
        <v>279</v>
      </c>
      <c r="C1114" s="158">
        <v>1154</v>
      </c>
      <c r="D1114" s="160" t="str">
        <f t="shared" si="43"/>
        <v>SUPERMIX1154</v>
      </c>
      <c r="E1114" s="164" t="s">
        <v>3871</v>
      </c>
      <c r="F1114" s="164" t="s">
        <v>3872</v>
      </c>
      <c r="G1114" s="160" t="s">
        <v>2825</v>
      </c>
      <c r="H1114" s="159">
        <v>41798247</v>
      </c>
      <c r="I1114" s="159" t="s">
        <v>3788</v>
      </c>
      <c r="J1114" s="160" t="s">
        <v>3874</v>
      </c>
      <c r="K1114" s="160" t="s">
        <v>3142</v>
      </c>
      <c r="L1114" s="161">
        <v>44435</v>
      </c>
      <c r="M1114" s="161">
        <v>48087</v>
      </c>
      <c r="N1114" s="160">
        <f t="shared" ref="N1114:N1119" ca="1" si="44">TODAY()-M1114</f>
        <v>-1900</v>
      </c>
      <c r="O1114" s="162" t="s">
        <v>3870</v>
      </c>
      <c r="P1114" s="159" t="s">
        <v>2827</v>
      </c>
      <c r="Q1114" s="163" t="s">
        <v>312</v>
      </c>
      <c r="R1114" s="160" t="s">
        <v>317</v>
      </c>
      <c r="S1114" s="160"/>
      <c r="T1114" s="160"/>
      <c r="U1114" s="160"/>
      <c r="V1114" s="160" t="s">
        <v>831</v>
      </c>
      <c r="W1114" s="160" t="s">
        <v>3873</v>
      </c>
      <c r="X1114" s="160" t="s">
        <v>2836</v>
      </c>
    </row>
    <row r="1115" spans="1:24" ht="25.5" x14ac:dyDescent="0.2">
      <c r="A1115" s="214">
        <v>1155</v>
      </c>
      <c r="B1115" s="162" t="s">
        <v>279</v>
      </c>
      <c r="C1115" s="158">
        <v>1155</v>
      </c>
      <c r="D1115" s="160" t="str">
        <f t="shared" si="43"/>
        <v>SUPERMIX1155</v>
      </c>
      <c r="E1115" s="164" t="s">
        <v>3876</v>
      </c>
      <c r="F1115" s="164" t="s">
        <v>3877</v>
      </c>
      <c r="G1115" s="160" t="s">
        <v>2825</v>
      </c>
      <c r="H1115" s="159">
        <v>42458865</v>
      </c>
      <c r="I1115" s="159" t="s">
        <v>3788</v>
      </c>
      <c r="J1115" s="160" t="s">
        <v>3878</v>
      </c>
      <c r="K1115" s="160" t="s">
        <v>343</v>
      </c>
      <c r="L1115" s="161">
        <v>41359</v>
      </c>
      <c r="M1115" s="161">
        <v>45971</v>
      </c>
      <c r="N1115" s="160">
        <f t="shared" ca="1" si="44"/>
        <v>216</v>
      </c>
      <c r="O1115" s="162" t="str">
        <f t="shared" ref="O1115:O1120" ca="1" si="45">IF(N1115&lt;-5,"OK","VENCIDA")</f>
        <v>VENCIDA</v>
      </c>
      <c r="P1115" s="159" t="s">
        <v>2778</v>
      </c>
      <c r="Q1115" s="163" t="s">
        <v>312</v>
      </c>
      <c r="R1115" s="160" t="s">
        <v>317</v>
      </c>
      <c r="S1115" s="160"/>
      <c r="T1115" s="160"/>
      <c r="U1115" s="160"/>
      <c r="V1115" s="160" t="s">
        <v>831</v>
      </c>
      <c r="W1115" s="160" t="s">
        <v>850</v>
      </c>
      <c r="X1115" s="160" t="s">
        <v>2836</v>
      </c>
    </row>
    <row r="1116" spans="1:24" ht="25.5" x14ac:dyDescent="0.2">
      <c r="A1116" s="214">
        <v>1156</v>
      </c>
      <c r="B1116" s="162" t="s">
        <v>279</v>
      </c>
      <c r="C1116" s="158">
        <v>1156</v>
      </c>
      <c r="D1116" s="160" t="str">
        <f t="shared" si="43"/>
        <v>SUPERMIX1156</v>
      </c>
      <c r="E1116" s="164" t="s">
        <v>3879</v>
      </c>
      <c r="F1116" s="164" t="s">
        <v>3880</v>
      </c>
      <c r="G1116" s="160" t="s">
        <v>2825</v>
      </c>
      <c r="H1116" s="159">
        <v>45981193</v>
      </c>
      <c r="I1116" s="159" t="s">
        <v>3788</v>
      </c>
      <c r="J1116" s="160" t="s">
        <v>3881</v>
      </c>
      <c r="K1116" s="160" t="s">
        <v>343</v>
      </c>
      <c r="L1116" s="161">
        <v>41353</v>
      </c>
      <c r="M1116" s="161">
        <v>46503</v>
      </c>
      <c r="N1116" s="160">
        <f t="shared" ca="1" si="44"/>
        <v>-316</v>
      </c>
      <c r="O1116" s="162" t="str">
        <f t="shared" ca="1" si="45"/>
        <v>OK</v>
      </c>
      <c r="P1116" s="159" t="s">
        <v>2778</v>
      </c>
      <c r="Q1116" s="163" t="s">
        <v>312</v>
      </c>
      <c r="R1116" s="160" t="s">
        <v>17</v>
      </c>
      <c r="S1116" s="160"/>
      <c r="T1116" s="160"/>
      <c r="U1116" s="160"/>
      <c r="V1116" s="160" t="s">
        <v>1939</v>
      </c>
      <c r="W1116" s="160" t="s">
        <v>3515</v>
      </c>
      <c r="X1116" s="160" t="s">
        <v>640</v>
      </c>
    </row>
    <row r="1117" spans="1:24" ht="25.5" x14ac:dyDescent="0.2">
      <c r="A1117" s="214">
        <v>1157</v>
      </c>
      <c r="B1117" s="162" t="s">
        <v>279</v>
      </c>
      <c r="C1117" s="158">
        <v>1157</v>
      </c>
      <c r="D1117" s="160" t="str">
        <f t="shared" si="43"/>
        <v>SUPERMIX1157</v>
      </c>
      <c r="E1117" s="164" t="s">
        <v>3882</v>
      </c>
      <c r="F1117" s="164" t="s">
        <v>3883</v>
      </c>
      <c r="G1117" s="160" t="s">
        <v>2825</v>
      </c>
      <c r="H1117" s="159">
        <v>73210735</v>
      </c>
      <c r="I1117" s="159" t="s">
        <v>3788</v>
      </c>
      <c r="J1117" s="160" t="s">
        <v>3884</v>
      </c>
      <c r="K1117" s="160" t="s">
        <v>3142</v>
      </c>
      <c r="L1117" s="161">
        <v>44547</v>
      </c>
      <c r="M1117" s="161">
        <v>48199</v>
      </c>
      <c r="N1117" s="160">
        <f t="shared" ca="1" si="44"/>
        <v>-2012</v>
      </c>
      <c r="O1117" s="162" t="str">
        <f t="shared" ca="1" si="45"/>
        <v>OK</v>
      </c>
      <c r="P1117" s="159" t="s">
        <v>2827</v>
      </c>
      <c r="Q1117" s="163" t="s">
        <v>312</v>
      </c>
      <c r="R1117" s="160" t="s">
        <v>17</v>
      </c>
      <c r="S1117" s="160"/>
      <c r="T1117" s="160"/>
      <c r="U1117" s="160"/>
      <c r="V1117" s="160" t="s">
        <v>282</v>
      </c>
      <c r="W1117" s="160" t="s">
        <v>850</v>
      </c>
      <c r="X1117" s="160" t="s">
        <v>2913</v>
      </c>
    </row>
    <row r="1118" spans="1:24" ht="25.5" x14ac:dyDescent="0.2">
      <c r="A1118" s="214">
        <v>1158</v>
      </c>
      <c r="B1118" s="162" t="s">
        <v>279</v>
      </c>
      <c r="C1118" s="158">
        <v>1158</v>
      </c>
      <c r="D1118" s="160" t="str">
        <f t="shared" ref="D1118:D1123" si="46">CONCATENATE(B1118,C1118)</f>
        <v>SUPERMIX1158</v>
      </c>
      <c r="E1118" s="164" t="s">
        <v>3887</v>
      </c>
      <c r="F1118" s="164" t="s">
        <v>661</v>
      </c>
      <c r="G1118" s="160" t="s">
        <v>2825</v>
      </c>
      <c r="H1118" s="159">
        <v>47586874</v>
      </c>
      <c r="I1118" s="159" t="s">
        <v>3788</v>
      </c>
      <c r="J1118" s="160" t="s">
        <v>3888</v>
      </c>
      <c r="K1118" s="160" t="s">
        <v>3142</v>
      </c>
      <c r="L1118" s="161">
        <v>44774</v>
      </c>
      <c r="M1118" s="161">
        <v>47696</v>
      </c>
      <c r="N1118" s="160">
        <f t="shared" ca="1" si="44"/>
        <v>-1509</v>
      </c>
      <c r="O1118" s="162" t="str">
        <f t="shared" ca="1" si="45"/>
        <v>OK</v>
      </c>
      <c r="P1118" s="159" t="s">
        <v>2827</v>
      </c>
      <c r="Q1118" s="163" t="s">
        <v>312</v>
      </c>
      <c r="R1118" s="160" t="s">
        <v>17</v>
      </c>
      <c r="S1118" s="160"/>
      <c r="T1118" s="160"/>
      <c r="U1118" s="160"/>
      <c r="V1118" s="160" t="s">
        <v>282</v>
      </c>
      <c r="W1118" s="160" t="s">
        <v>850</v>
      </c>
      <c r="X1118" s="160" t="s">
        <v>3292</v>
      </c>
    </row>
    <row r="1119" spans="1:24" ht="25.5" x14ac:dyDescent="0.2">
      <c r="A1119" s="189">
        <v>1159</v>
      </c>
      <c r="B1119" s="162" t="s">
        <v>279</v>
      </c>
      <c r="C1119" s="158">
        <v>1159</v>
      </c>
      <c r="D1119" s="160" t="str">
        <f t="shared" si="46"/>
        <v>SUPERMIX1159</v>
      </c>
      <c r="E1119" s="164" t="s">
        <v>3889</v>
      </c>
      <c r="F1119" s="164" t="s">
        <v>3890</v>
      </c>
      <c r="G1119" s="160" t="s">
        <v>2825</v>
      </c>
      <c r="H1119" s="159">
        <v>43122447</v>
      </c>
      <c r="I1119" s="159" t="s">
        <v>3788</v>
      </c>
      <c r="J1119" s="160" t="s">
        <v>3891</v>
      </c>
      <c r="K1119" s="160" t="s">
        <v>281</v>
      </c>
      <c r="L1119" s="161">
        <v>42527</v>
      </c>
      <c r="M1119" s="161">
        <v>46670</v>
      </c>
      <c r="N1119" s="160">
        <f t="shared" ca="1" si="44"/>
        <v>-483</v>
      </c>
      <c r="O1119" s="162" t="str">
        <f t="shared" ca="1" si="45"/>
        <v>OK</v>
      </c>
      <c r="P1119" s="159" t="s">
        <v>3892</v>
      </c>
      <c r="Q1119" s="163" t="s">
        <v>312</v>
      </c>
      <c r="R1119" s="160" t="s">
        <v>17</v>
      </c>
      <c r="S1119" s="160"/>
      <c r="T1119" s="160"/>
      <c r="U1119" s="160"/>
      <c r="V1119" s="160" t="s">
        <v>282</v>
      </c>
      <c r="W1119" s="160" t="s">
        <v>850</v>
      </c>
      <c r="X1119" s="160" t="s">
        <v>3893</v>
      </c>
    </row>
    <row r="1120" spans="1:24" ht="25.5" x14ac:dyDescent="0.2">
      <c r="A1120" s="189">
        <v>1160</v>
      </c>
      <c r="B1120" s="162" t="s">
        <v>279</v>
      </c>
      <c r="C1120" s="158">
        <v>1160</v>
      </c>
      <c r="D1120" s="160" t="str">
        <f t="shared" si="46"/>
        <v>SUPERMIX1160</v>
      </c>
      <c r="E1120" s="164" t="s">
        <v>3894</v>
      </c>
      <c r="F1120" s="164" t="s">
        <v>3895</v>
      </c>
      <c r="G1120" s="160" t="s">
        <v>2825</v>
      </c>
      <c r="H1120" s="159">
        <v>48765854</v>
      </c>
      <c r="I1120" s="159" t="s">
        <v>3788</v>
      </c>
      <c r="J1120" s="160" t="s">
        <v>3896</v>
      </c>
      <c r="K1120" s="160" t="s">
        <v>281</v>
      </c>
      <c r="L1120" s="161">
        <v>44369</v>
      </c>
      <c r="M1120" s="161">
        <v>46195</v>
      </c>
      <c r="N1120" s="160">
        <f t="shared" ref="N1120:N1127" ca="1" si="47">TODAY()-M1120</f>
        <v>-8</v>
      </c>
      <c r="O1120" s="162" t="str">
        <f t="shared" ca="1" si="45"/>
        <v>OK</v>
      </c>
      <c r="P1120" s="159" t="s">
        <v>2847</v>
      </c>
      <c r="Q1120" s="163" t="s">
        <v>312</v>
      </c>
      <c r="R1120" s="160" t="s">
        <v>317</v>
      </c>
      <c r="S1120" s="160"/>
      <c r="T1120" s="160"/>
      <c r="U1120" s="160"/>
      <c r="V1120" s="160" t="s">
        <v>282</v>
      </c>
      <c r="W1120" s="160" t="s">
        <v>850</v>
      </c>
      <c r="X1120" s="160" t="s">
        <v>597</v>
      </c>
    </row>
    <row r="1121" spans="1:24" ht="25.5" x14ac:dyDescent="0.2">
      <c r="A1121" s="215">
        <v>1161</v>
      </c>
      <c r="B1121" s="162" t="s">
        <v>279</v>
      </c>
      <c r="C1121" s="158">
        <v>1161</v>
      </c>
      <c r="D1121" s="160" t="str">
        <f t="shared" si="46"/>
        <v>SUPERMIX1161</v>
      </c>
      <c r="E1121" s="164" t="s">
        <v>3897</v>
      </c>
      <c r="F1121" s="164" t="s">
        <v>3898</v>
      </c>
      <c r="G1121" s="160" t="s">
        <v>2825</v>
      </c>
      <c r="H1121" s="159">
        <v>42397072</v>
      </c>
      <c r="I1121" s="159" t="s">
        <v>3788</v>
      </c>
      <c r="J1121" s="160" t="s">
        <v>3899</v>
      </c>
      <c r="K1121" s="160" t="s">
        <v>3142</v>
      </c>
      <c r="L1121" s="161">
        <v>40708</v>
      </c>
      <c r="M1121" s="161">
        <v>46566</v>
      </c>
      <c r="N1121" s="160">
        <f t="shared" ca="1" si="47"/>
        <v>-379</v>
      </c>
      <c r="O1121" s="162" t="str">
        <f t="shared" ref="O1121:O1127" ca="1" si="48">IF(N1121&lt;-5,"OK","VENCIDA")</f>
        <v>OK</v>
      </c>
      <c r="P1121" s="159" t="s">
        <v>2827</v>
      </c>
      <c r="Q1121" s="163" t="s">
        <v>312</v>
      </c>
      <c r="R1121" s="160" t="s">
        <v>317</v>
      </c>
      <c r="S1121" s="160"/>
      <c r="T1121" s="160"/>
      <c r="U1121" s="160"/>
      <c r="V1121" s="160" t="s">
        <v>282</v>
      </c>
      <c r="W1121" s="160" t="s">
        <v>2776</v>
      </c>
      <c r="X1121" s="160" t="s">
        <v>2913</v>
      </c>
    </row>
    <row r="1122" spans="1:24" ht="25.5" x14ac:dyDescent="0.2">
      <c r="A1122" s="189">
        <v>1162</v>
      </c>
      <c r="B1122" s="162" t="s">
        <v>279</v>
      </c>
      <c r="C1122" s="158">
        <v>1162</v>
      </c>
      <c r="D1122" s="160" t="str">
        <f t="shared" si="46"/>
        <v>SUPERMIX1162</v>
      </c>
      <c r="E1122" s="164" t="s">
        <v>3900</v>
      </c>
      <c r="F1122" s="164" t="s">
        <v>629</v>
      </c>
      <c r="G1122" s="160" t="s">
        <v>2825</v>
      </c>
      <c r="H1122" s="159">
        <v>71461030</v>
      </c>
      <c r="I1122" s="159" t="s">
        <v>3788</v>
      </c>
      <c r="J1122" s="160" t="s">
        <v>3901</v>
      </c>
      <c r="K1122" s="160" t="s">
        <v>3142</v>
      </c>
      <c r="L1122" s="161">
        <v>45230</v>
      </c>
      <c r="M1122" s="161">
        <v>48152</v>
      </c>
      <c r="N1122" s="160">
        <f t="shared" ca="1" si="47"/>
        <v>-1965</v>
      </c>
      <c r="O1122" s="162" t="str">
        <f t="shared" ca="1" si="48"/>
        <v>OK</v>
      </c>
      <c r="P1122" s="159" t="s">
        <v>2827</v>
      </c>
      <c r="Q1122" s="163" t="s">
        <v>312</v>
      </c>
      <c r="R1122" s="160" t="s">
        <v>17</v>
      </c>
      <c r="S1122" s="160"/>
      <c r="T1122" s="160"/>
      <c r="U1122" s="160"/>
      <c r="V1122" s="160" t="s">
        <v>836</v>
      </c>
      <c r="W1122" s="160" t="s">
        <v>977</v>
      </c>
      <c r="X1122" s="160" t="s">
        <v>2996</v>
      </c>
    </row>
    <row r="1123" spans="1:24" ht="25.5" x14ac:dyDescent="0.2">
      <c r="A1123" s="189">
        <v>1163</v>
      </c>
      <c r="B1123" s="162" t="s">
        <v>279</v>
      </c>
      <c r="C1123" s="158">
        <v>1163</v>
      </c>
      <c r="D1123" s="160" t="str">
        <f t="shared" si="46"/>
        <v>SUPERMIX1163</v>
      </c>
      <c r="E1123" s="164" t="s">
        <v>3904</v>
      </c>
      <c r="F1123" s="164" t="s">
        <v>2610</v>
      </c>
      <c r="G1123" s="160" t="s">
        <v>2825</v>
      </c>
      <c r="H1123" s="159">
        <v>71560446</v>
      </c>
      <c r="I1123" s="159" t="s">
        <v>3788</v>
      </c>
      <c r="J1123" s="160" t="s">
        <v>3906</v>
      </c>
      <c r="K1123" s="160" t="s">
        <v>343</v>
      </c>
      <c r="L1123" s="161">
        <v>44760</v>
      </c>
      <c r="M1123" s="161">
        <v>46586</v>
      </c>
      <c r="N1123" s="160">
        <f t="shared" ca="1" si="47"/>
        <v>-399</v>
      </c>
      <c r="O1123" s="162" t="str">
        <f t="shared" ca="1" si="48"/>
        <v>OK</v>
      </c>
      <c r="P1123" s="159" t="s">
        <v>2827</v>
      </c>
      <c r="Q1123" s="163" t="s">
        <v>312</v>
      </c>
      <c r="R1123" s="160" t="s">
        <v>17</v>
      </c>
      <c r="S1123" s="160"/>
      <c r="T1123" s="160"/>
      <c r="U1123" s="160"/>
      <c r="V1123" s="160" t="s">
        <v>1981</v>
      </c>
      <c r="W1123" s="160" t="s">
        <v>3619</v>
      </c>
      <c r="X1123" s="160" t="s">
        <v>2866</v>
      </c>
    </row>
    <row r="1124" spans="1:24" ht="25.5" x14ac:dyDescent="0.2">
      <c r="A1124" s="189">
        <v>1164</v>
      </c>
      <c r="B1124" s="162" t="s">
        <v>279</v>
      </c>
      <c r="C1124" s="158">
        <v>1164</v>
      </c>
      <c r="D1124" s="160" t="str">
        <f t="shared" ref="D1124:D1129" si="49">CONCATENATE(B1124,C1124)</f>
        <v>SUPERMIX1164</v>
      </c>
      <c r="E1124" s="164" t="s">
        <v>461</v>
      </c>
      <c r="F1124" s="164" t="s">
        <v>176</v>
      </c>
      <c r="G1124" s="160" t="s">
        <v>2825</v>
      </c>
      <c r="H1124" s="159">
        <v>46574340</v>
      </c>
      <c r="I1124" s="159" t="s">
        <v>3788</v>
      </c>
      <c r="J1124" s="160" t="s">
        <v>3905</v>
      </c>
      <c r="K1124" s="160" t="s">
        <v>281</v>
      </c>
      <c r="L1124" s="161">
        <v>45140</v>
      </c>
      <c r="M1124" s="161">
        <v>46967</v>
      </c>
      <c r="N1124" s="160">
        <f t="shared" ca="1" si="47"/>
        <v>-780</v>
      </c>
      <c r="O1124" s="162" t="str">
        <f t="shared" ca="1" si="48"/>
        <v>OK</v>
      </c>
      <c r="P1124" s="159" t="s">
        <v>2917</v>
      </c>
      <c r="Q1124" s="163" t="s">
        <v>312</v>
      </c>
      <c r="R1124" s="160" t="s">
        <v>17</v>
      </c>
      <c r="S1124" s="160"/>
      <c r="T1124" s="160"/>
      <c r="U1124" s="160"/>
      <c r="V1124" s="160" t="s">
        <v>282</v>
      </c>
      <c r="W1124" s="160" t="s">
        <v>1017</v>
      </c>
      <c r="X1124" s="160" t="s">
        <v>597</v>
      </c>
    </row>
    <row r="1125" spans="1:24" ht="25.5" x14ac:dyDescent="0.2">
      <c r="A1125" s="189">
        <v>1165</v>
      </c>
      <c r="B1125" s="162" t="s">
        <v>279</v>
      </c>
      <c r="C1125" s="158">
        <v>1165</v>
      </c>
      <c r="D1125" s="160" t="str">
        <f t="shared" si="49"/>
        <v>SUPERMIX1165</v>
      </c>
      <c r="E1125" s="164" t="s">
        <v>3907</v>
      </c>
      <c r="F1125" s="164" t="s">
        <v>3908</v>
      </c>
      <c r="G1125" s="160" t="s">
        <v>2825</v>
      </c>
      <c r="H1125" s="159">
        <v>73212630</v>
      </c>
      <c r="I1125" s="159" t="s">
        <v>3788</v>
      </c>
      <c r="J1125" s="160" t="s">
        <v>3909</v>
      </c>
      <c r="K1125" s="160" t="s">
        <v>281</v>
      </c>
      <c r="L1125" s="161">
        <v>44792</v>
      </c>
      <c r="M1125" s="161">
        <v>46618</v>
      </c>
      <c r="N1125" s="160">
        <f t="shared" ca="1" si="47"/>
        <v>-431</v>
      </c>
      <c r="O1125" s="162" t="str">
        <f t="shared" ca="1" si="48"/>
        <v>OK</v>
      </c>
      <c r="P1125" s="159" t="s">
        <v>2790</v>
      </c>
      <c r="Q1125" s="163" t="s">
        <v>312</v>
      </c>
      <c r="R1125" s="160" t="s">
        <v>17</v>
      </c>
      <c r="S1125" s="160"/>
      <c r="T1125" s="160"/>
      <c r="U1125" s="160"/>
      <c r="V1125" s="160" t="s">
        <v>1939</v>
      </c>
      <c r="W1125" s="160" t="s">
        <v>3515</v>
      </c>
      <c r="X1125" s="160" t="s">
        <v>624</v>
      </c>
    </row>
    <row r="1126" spans="1:24" ht="25.5" x14ac:dyDescent="0.2">
      <c r="A1126" s="189">
        <v>1166</v>
      </c>
      <c r="B1126" s="162" t="s">
        <v>279</v>
      </c>
      <c r="C1126" s="158">
        <v>1166</v>
      </c>
      <c r="D1126" s="160" t="str">
        <f t="shared" si="49"/>
        <v>SUPERMIX1166</v>
      </c>
      <c r="E1126" s="164" t="s">
        <v>3910</v>
      </c>
      <c r="F1126" s="164" t="s">
        <v>1650</v>
      </c>
      <c r="G1126" s="160" t="s">
        <v>2825</v>
      </c>
      <c r="H1126" s="159">
        <v>43254890</v>
      </c>
      <c r="I1126" s="159" t="s">
        <v>3788</v>
      </c>
      <c r="J1126" s="160" t="s">
        <v>3911</v>
      </c>
      <c r="K1126" s="160" t="s">
        <v>281</v>
      </c>
      <c r="L1126" s="161">
        <v>41870</v>
      </c>
      <c r="M1126" s="161">
        <v>46196</v>
      </c>
      <c r="N1126" s="160">
        <f t="shared" ca="1" si="47"/>
        <v>-9</v>
      </c>
      <c r="O1126" s="162" t="str">
        <f t="shared" ca="1" si="48"/>
        <v>OK</v>
      </c>
      <c r="P1126" s="159" t="s">
        <v>2847</v>
      </c>
      <c r="Q1126" s="163" t="s">
        <v>312</v>
      </c>
      <c r="R1126" s="160" t="s">
        <v>317</v>
      </c>
      <c r="S1126" s="160"/>
      <c r="T1126" s="160"/>
      <c r="U1126" s="160"/>
      <c r="V1126" s="160" t="s">
        <v>282</v>
      </c>
      <c r="W1126" s="160" t="s">
        <v>850</v>
      </c>
      <c r="X1126" s="160" t="s">
        <v>597</v>
      </c>
    </row>
    <row r="1127" spans="1:24" ht="25.5" x14ac:dyDescent="0.2">
      <c r="A1127" s="189">
        <v>1167</v>
      </c>
      <c r="B1127" s="162" t="s">
        <v>279</v>
      </c>
      <c r="C1127" s="158">
        <v>1167</v>
      </c>
      <c r="D1127" s="160" t="str">
        <f t="shared" si="49"/>
        <v>SUPERMIX1167</v>
      </c>
      <c r="E1127" s="164" t="s">
        <v>3912</v>
      </c>
      <c r="F1127" s="164" t="s">
        <v>20</v>
      </c>
      <c r="G1127" s="160" t="s">
        <v>2825</v>
      </c>
      <c r="H1127" s="159">
        <v>29534747</v>
      </c>
      <c r="I1127" s="159" t="s">
        <v>3788</v>
      </c>
      <c r="J1127" s="160" t="s">
        <v>3913</v>
      </c>
      <c r="K1127" s="160" t="s">
        <v>281</v>
      </c>
      <c r="L1127" s="161">
        <v>42123</v>
      </c>
      <c r="M1127" s="161">
        <v>46127</v>
      </c>
      <c r="N1127" s="160">
        <f t="shared" ca="1" si="47"/>
        <v>60</v>
      </c>
      <c r="O1127" s="162" t="str">
        <f t="shared" ca="1" si="48"/>
        <v>VENCIDA</v>
      </c>
      <c r="P1127" s="159" t="s">
        <v>3453</v>
      </c>
      <c r="Q1127" s="163" t="s">
        <v>312</v>
      </c>
      <c r="R1127" s="160" t="s">
        <v>17</v>
      </c>
      <c r="S1127" s="160"/>
      <c r="T1127" s="160"/>
      <c r="U1127" s="160"/>
      <c r="V1127" s="160" t="s">
        <v>282</v>
      </c>
      <c r="W1127" s="160" t="s">
        <v>2776</v>
      </c>
      <c r="X1127" s="160" t="s">
        <v>3232</v>
      </c>
    </row>
    <row r="1128" spans="1:24" ht="25.5" x14ac:dyDescent="0.2">
      <c r="A1128" s="189">
        <v>1168</v>
      </c>
      <c r="B1128" s="162" t="s">
        <v>279</v>
      </c>
      <c r="C1128" s="158">
        <v>1168</v>
      </c>
      <c r="D1128" s="160" t="str">
        <f t="shared" si="49"/>
        <v>SUPERMIX1168</v>
      </c>
      <c r="E1128" s="164" t="s">
        <v>3914</v>
      </c>
      <c r="F1128" s="164" t="s">
        <v>3915</v>
      </c>
      <c r="G1128" s="160" t="s">
        <v>2825</v>
      </c>
      <c r="H1128" s="159">
        <v>40174205</v>
      </c>
      <c r="I1128" s="159" t="s">
        <v>3788</v>
      </c>
      <c r="J1128" s="160" t="s">
        <v>3916</v>
      </c>
      <c r="K1128" s="160" t="s">
        <v>281</v>
      </c>
      <c r="L1128" s="161">
        <v>41107</v>
      </c>
      <c r="M1128" s="161">
        <v>46658</v>
      </c>
      <c r="N1128" s="160">
        <f t="shared" ref="N1128:N1134" ca="1" si="50">TODAY()-M1128</f>
        <v>-471</v>
      </c>
      <c r="O1128" s="162" t="str">
        <f t="shared" ref="O1128:O1134" ca="1" si="51">IF(N1128&lt;-5,"OK","VENCIDA")</f>
        <v>OK</v>
      </c>
      <c r="P1128" s="159" t="s">
        <v>2847</v>
      </c>
      <c r="Q1128" s="163" t="s">
        <v>312</v>
      </c>
      <c r="R1128" s="160" t="s">
        <v>317</v>
      </c>
      <c r="S1128" s="160"/>
      <c r="T1128" s="160"/>
      <c r="U1128" s="160"/>
      <c r="V1128" s="160" t="s">
        <v>282</v>
      </c>
      <c r="W1128" s="160" t="s">
        <v>2776</v>
      </c>
      <c r="X1128" s="160" t="s">
        <v>597</v>
      </c>
    </row>
    <row r="1129" spans="1:24" ht="25.5" x14ac:dyDescent="0.2">
      <c r="A1129" s="189">
        <v>1169</v>
      </c>
      <c r="B1129" s="162" t="s">
        <v>279</v>
      </c>
      <c r="C1129" s="158">
        <v>1169</v>
      </c>
      <c r="D1129" s="160" t="str">
        <f t="shared" si="49"/>
        <v>SUPERMIX1169</v>
      </c>
      <c r="E1129" s="164" t="s">
        <v>3917</v>
      </c>
      <c r="F1129" s="164" t="s">
        <v>3918</v>
      </c>
      <c r="G1129" s="160" t="s">
        <v>356</v>
      </c>
      <c r="H1129" s="159">
        <v>43061853</v>
      </c>
      <c r="I1129" s="159" t="s">
        <v>3788</v>
      </c>
      <c r="J1129" s="160" t="s">
        <v>3919</v>
      </c>
      <c r="K1129" s="160" t="s">
        <v>343</v>
      </c>
      <c r="L1129" s="161">
        <v>43727</v>
      </c>
      <c r="M1129" s="161">
        <v>47007</v>
      </c>
      <c r="N1129" s="160">
        <f t="shared" ca="1" si="50"/>
        <v>-820</v>
      </c>
      <c r="O1129" s="162" t="str">
        <f t="shared" ca="1" si="51"/>
        <v>OK</v>
      </c>
      <c r="P1129" s="159" t="s">
        <v>2827</v>
      </c>
      <c r="Q1129" s="163" t="s">
        <v>312</v>
      </c>
      <c r="R1129" s="160" t="s">
        <v>317</v>
      </c>
      <c r="S1129" s="160"/>
      <c r="T1129" s="160"/>
      <c r="U1129" s="160"/>
      <c r="V1129" s="160" t="s">
        <v>282</v>
      </c>
      <c r="W1129" s="160" t="s">
        <v>2776</v>
      </c>
      <c r="X1129" s="160" t="s">
        <v>3751</v>
      </c>
    </row>
    <row r="1130" spans="1:24" ht="25.5" x14ac:dyDescent="0.2">
      <c r="A1130" s="189">
        <v>1170</v>
      </c>
      <c r="B1130" s="162" t="s">
        <v>279</v>
      </c>
      <c r="C1130" s="158">
        <v>1170</v>
      </c>
      <c r="D1130" s="160" t="str">
        <f t="shared" ref="D1130:D1136" si="52">CONCATENATE(B1130,C1130)</f>
        <v>SUPERMIX1170</v>
      </c>
      <c r="E1130" s="164" t="s">
        <v>222</v>
      </c>
      <c r="F1130" s="164" t="s">
        <v>176</v>
      </c>
      <c r="G1130" s="160" t="s">
        <v>2825</v>
      </c>
      <c r="H1130" s="159">
        <v>29474368</v>
      </c>
      <c r="I1130" s="159" t="s">
        <v>3788</v>
      </c>
      <c r="J1130" s="160" t="s">
        <v>3920</v>
      </c>
      <c r="K1130" s="160" t="s">
        <v>281</v>
      </c>
      <c r="L1130" s="161">
        <v>38902</v>
      </c>
      <c r="M1130" s="161">
        <v>46289</v>
      </c>
      <c r="N1130" s="160">
        <f t="shared" ca="1" si="50"/>
        <v>-102</v>
      </c>
      <c r="O1130" s="162" t="str">
        <f t="shared" ca="1" si="51"/>
        <v>OK</v>
      </c>
      <c r="P1130" s="159" t="s">
        <v>2790</v>
      </c>
      <c r="Q1130" s="163" t="s">
        <v>312</v>
      </c>
      <c r="R1130" s="160" t="s">
        <v>317</v>
      </c>
      <c r="S1130" s="160"/>
      <c r="T1130" s="160"/>
      <c r="U1130" s="160"/>
      <c r="V1130" s="160" t="s">
        <v>1939</v>
      </c>
      <c r="W1130" s="160" t="s">
        <v>3515</v>
      </c>
      <c r="X1130" s="160" t="s">
        <v>624</v>
      </c>
    </row>
    <row r="1131" spans="1:24" ht="25.5" x14ac:dyDescent="0.2">
      <c r="A1131" s="190">
        <v>1171</v>
      </c>
      <c r="B1131" s="162" t="s">
        <v>279</v>
      </c>
      <c r="C1131" s="158">
        <v>1171</v>
      </c>
      <c r="D1131" s="160" t="str">
        <f t="shared" si="52"/>
        <v>SUPERMIX1171</v>
      </c>
      <c r="E1131" s="164" t="s">
        <v>3921</v>
      </c>
      <c r="F1131" s="164" t="s">
        <v>3922</v>
      </c>
      <c r="G1131" s="160" t="s">
        <v>2825</v>
      </c>
      <c r="H1131" s="159">
        <v>77231384</v>
      </c>
      <c r="I1131" s="159" t="s">
        <v>3788</v>
      </c>
      <c r="J1131" s="160" t="s">
        <v>3923</v>
      </c>
      <c r="K1131" s="160" t="s">
        <v>343</v>
      </c>
      <c r="L1131" s="161">
        <v>44482</v>
      </c>
      <c r="M1131" s="161">
        <v>46308</v>
      </c>
      <c r="N1131" s="160">
        <f t="shared" ca="1" si="50"/>
        <v>-121</v>
      </c>
      <c r="O1131" s="162" t="str">
        <f t="shared" ca="1" si="51"/>
        <v>OK</v>
      </c>
      <c r="P1131" s="159" t="s">
        <v>2778</v>
      </c>
      <c r="Q1131" s="163" t="s">
        <v>312</v>
      </c>
      <c r="R1131" s="160" t="s">
        <v>317</v>
      </c>
      <c r="S1131" s="160"/>
      <c r="T1131" s="160"/>
      <c r="U1131" s="160"/>
      <c r="V1131" s="160" t="s">
        <v>1939</v>
      </c>
      <c r="W1131" s="160" t="s">
        <v>3515</v>
      </c>
      <c r="X1131" s="160" t="s">
        <v>640</v>
      </c>
    </row>
    <row r="1132" spans="1:24" ht="25.5" x14ac:dyDescent="0.2">
      <c r="A1132" s="189">
        <v>1172</v>
      </c>
      <c r="B1132" s="162" t="s">
        <v>279</v>
      </c>
      <c r="C1132" s="158">
        <v>1172</v>
      </c>
      <c r="D1132" s="160" t="str">
        <f t="shared" si="52"/>
        <v>SUPERMIX1172</v>
      </c>
      <c r="E1132" s="164" t="s">
        <v>3924</v>
      </c>
      <c r="F1132" s="164" t="s">
        <v>3925</v>
      </c>
      <c r="G1132" s="160" t="s">
        <v>2825</v>
      </c>
      <c r="H1132" s="159">
        <v>48311404</v>
      </c>
      <c r="I1132" s="159" t="s">
        <v>3788</v>
      </c>
      <c r="J1132" s="160" t="s">
        <v>3926</v>
      </c>
      <c r="K1132" s="160" t="s">
        <v>281</v>
      </c>
      <c r="L1132" s="161">
        <v>43703</v>
      </c>
      <c r="M1132" s="161">
        <v>46673</v>
      </c>
      <c r="N1132" s="160">
        <f t="shared" ca="1" si="50"/>
        <v>-486</v>
      </c>
      <c r="O1132" s="162" t="str">
        <f t="shared" ca="1" si="51"/>
        <v>OK</v>
      </c>
      <c r="P1132" s="159" t="s">
        <v>2827</v>
      </c>
      <c r="Q1132" s="163" t="s">
        <v>312</v>
      </c>
      <c r="R1132" s="160" t="s">
        <v>317</v>
      </c>
      <c r="S1132" s="160"/>
      <c r="T1132" s="160"/>
      <c r="U1132" s="160"/>
      <c r="V1132" s="160" t="s">
        <v>282</v>
      </c>
      <c r="W1132" s="160" t="s">
        <v>1017</v>
      </c>
      <c r="X1132" s="160" t="s">
        <v>3751</v>
      </c>
    </row>
    <row r="1133" spans="1:24" ht="25.5" x14ac:dyDescent="0.2">
      <c r="A1133" s="189">
        <v>1173</v>
      </c>
      <c r="B1133" s="162" t="s">
        <v>279</v>
      </c>
      <c r="C1133" s="158">
        <v>1173</v>
      </c>
      <c r="D1133" s="160" t="str">
        <f t="shared" si="52"/>
        <v>SUPERMIX1173</v>
      </c>
      <c r="E1133" s="164" t="s">
        <v>3927</v>
      </c>
      <c r="F1133" s="164" t="s">
        <v>30</v>
      </c>
      <c r="G1133" s="160" t="s">
        <v>2825</v>
      </c>
      <c r="H1133" s="159">
        <v>42809199</v>
      </c>
      <c r="I1133" s="159" t="s">
        <v>3788</v>
      </c>
      <c r="J1133" s="160" t="s">
        <v>3928</v>
      </c>
      <c r="K1133" s="160" t="s">
        <v>281</v>
      </c>
      <c r="L1133" s="161">
        <v>44548</v>
      </c>
      <c r="M1133" s="161">
        <v>46374</v>
      </c>
      <c r="N1133" s="160">
        <f t="shared" ca="1" si="50"/>
        <v>-187</v>
      </c>
      <c r="O1133" s="162" t="str">
        <f t="shared" ca="1" si="51"/>
        <v>OK</v>
      </c>
      <c r="P1133" s="159" t="s">
        <v>2847</v>
      </c>
      <c r="Q1133" s="163" t="s">
        <v>312</v>
      </c>
      <c r="R1133" s="160" t="s">
        <v>317</v>
      </c>
      <c r="S1133" s="160"/>
      <c r="T1133" s="160"/>
      <c r="U1133" s="160"/>
      <c r="V1133" s="160" t="s">
        <v>282</v>
      </c>
      <c r="W1133" s="160" t="s">
        <v>850</v>
      </c>
      <c r="X1133" s="160" t="s">
        <v>597</v>
      </c>
    </row>
    <row r="1134" spans="1:24" ht="25.5" x14ac:dyDescent="0.2">
      <c r="A1134" s="189">
        <v>1174</v>
      </c>
      <c r="B1134" s="162" t="s">
        <v>279</v>
      </c>
      <c r="C1134" s="158">
        <v>1174</v>
      </c>
      <c r="D1134" s="160" t="str">
        <f t="shared" si="52"/>
        <v>SUPERMIX1174</v>
      </c>
      <c r="E1134" s="164" t="s">
        <v>3929</v>
      </c>
      <c r="F1134" s="164" t="s">
        <v>3930</v>
      </c>
      <c r="G1134" s="160" t="s">
        <v>2825</v>
      </c>
      <c r="H1134" s="159">
        <v>71704506</v>
      </c>
      <c r="I1134" s="159" t="s">
        <v>3788</v>
      </c>
      <c r="J1134" s="160" t="s">
        <v>3931</v>
      </c>
      <c r="K1134" s="160" t="s">
        <v>281</v>
      </c>
      <c r="L1134" s="161">
        <v>44470</v>
      </c>
      <c r="M1134" s="161">
        <v>46296</v>
      </c>
      <c r="N1134" s="160">
        <f t="shared" ca="1" si="50"/>
        <v>-109</v>
      </c>
      <c r="O1134" s="162" t="str">
        <f t="shared" ca="1" si="51"/>
        <v>OK</v>
      </c>
      <c r="P1134" s="159" t="s">
        <v>2847</v>
      </c>
      <c r="Q1134" s="163" t="s">
        <v>312</v>
      </c>
      <c r="R1134" s="160" t="s">
        <v>317</v>
      </c>
      <c r="S1134" s="160"/>
      <c r="T1134" s="160"/>
      <c r="U1134" s="160"/>
      <c r="V1134" s="160" t="s">
        <v>282</v>
      </c>
      <c r="W1134" s="160" t="s">
        <v>850</v>
      </c>
      <c r="X1134" s="160" t="s">
        <v>597</v>
      </c>
    </row>
    <row r="1135" spans="1:24" ht="25.5" x14ac:dyDescent="0.2">
      <c r="A1135" s="191">
        <v>1175</v>
      </c>
      <c r="B1135" s="162" t="s">
        <v>279</v>
      </c>
      <c r="C1135" s="158">
        <v>1175</v>
      </c>
      <c r="D1135" s="160" t="str">
        <f t="shared" si="52"/>
        <v>SUPERMIX1175</v>
      </c>
      <c r="E1135" s="164" t="s">
        <v>3932</v>
      </c>
      <c r="F1135" s="164" t="s">
        <v>3933</v>
      </c>
      <c r="G1135" s="160" t="s">
        <v>2825</v>
      </c>
      <c r="H1135" s="159">
        <v>80338992</v>
      </c>
      <c r="I1135" s="159" t="s">
        <v>3788</v>
      </c>
      <c r="J1135" s="160" t="s">
        <v>3934</v>
      </c>
      <c r="K1135" s="160" t="s">
        <v>281</v>
      </c>
      <c r="L1135" s="161">
        <v>41373</v>
      </c>
      <c r="M1135" s="161">
        <v>45724</v>
      </c>
      <c r="N1135" s="160">
        <f t="shared" ref="N1135:N1140" ca="1" si="53">TODAY()-M1135</f>
        <v>463</v>
      </c>
      <c r="O1135" s="162" t="str">
        <f t="shared" ref="O1135:O1140" ca="1" si="54">IF(N1135&lt;-5,"OK","VENCIDA")</f>
        <v>VENCIDA</v>
      </c>
      <c r="P1135" s="159" t="s">
        <v>2847</v>
      </c>
      <c r="Q1135" s="163" t="s">
        <v>312</v>
      </c>
      <c r="R1135" s="160" t="s">
        <v>317</v>
      </c>
      <c r="S1135" s="160"/>
      <c r="T1135" s="160"/>
      <c r="U1135" s="160"/>
      <c r="V1135" s="160" t="s">
        <v>282</v>
      </c>
      <c r="W1135" s="160" t="s">
        <v>2776</v>
      </c>
      <c r="X1135" s="160" t="s">
        <v>597</v>
      </c>
    </row>
    <row r="1136" spans="1:24" ht="25.5" x14ac:dyDescent="0.2">
      <c r="A1136" s="191">
        <v>1176</v>
      </c>
      <c r="B1136" s="162" t="s">
        <v>279</v>
      </c>
      <c r="C1136" s="158">
        <v>1176</v>
      </c>
      <c r="D1136" s="160" t="str">
        <f t="shared" si="52"/>
        <v>SUPERMIX1176</v>
      </c>
      <c r="E1136" s="164" t="s">
        <v>3935</v>
      </c>
      <c r="F1136" s="164" t="s">
        <v>3936</v>
      </c>
      <c r="G1136" s="160" t="s">
        <v>2825</v>
      </c>
      <c r="H1136" s="159">
        <v>40864378</v>
      </c>
      <c r="I1136" s="159" t="s">
        <v>3788</v>
      </c>
      <c r="J1136" s="160" t="s">
        <v>3937</v>
      </c>
      <c r="K1136" s="160" t="s">
        <v>281</v>
      </c>
      <c r="L1136" s="161">
        <v>42502</v>
      </c>
      <c r="M1136" s="161">
        <v>46707</v>
      </c>
      <c r="N1136" s="160">
        <f t="shared" ca="1" si="53"/>
        <v>-520</v>
      </c>
      <c r="O1136" s="162" t="str">
        <f t="shared" ca="1" si="54"/>
        <v>OK</v>
      </c>
      <c r="P1136" s="159" t="s">
        <v>2790</v>
      </c>
      <c r="Q1136" s="163" t="s">
        <v>312</v>
      </c>
      <c r="R1136" s="160" t="s">
        <v>17</v>
      </c>
      <c r="S1136" s="160"/>
      <c r="T1136" s="160"/>
      <c r="U1136" s="160"/>
      <c r="V1136" s="160" t="s">
        <v>1939</v>
      </c>
      <c r="W1136" s="160" t="s">
        <v>3515</v>
      </c>
      <c r="X1136" s="160" t="s">
        <v>624</v>
      </c>
    </row>
    <row r="1137" spans="1:24" ht="25.5" x14ac:dyDescent="0.2">
      <c r="A1137" s="189">
        <v>1177</v>
      </c>
      <c r="B1137" s="162" t="s">
        <v>279</v>
      </c>
      <c r="C1137" s="158">
        <v>1177</v>
      </c>
      <c r="D1137" s="160" t="str">
        <f t="shared" ref="D1137:D1142" si="55">CONCATENATE(B1137,C1137)</f>
        <v>SUPERMIX1177</v>
      </c>
      <c r="E1137" s="164" t="s">
        <v>3938</v>
      </c>
      <c r="F1137" s="164" t="s">
        <v>3939</v>
      </c>
      <c r="G1137" s="160" t="s">
        <v>2825</v>
      </c>
      <c r="H1137" s="159">
        <v>46154935</v>
      </c>
      <c r="I1137" s="159" t="s">
        <v>3788</v>
      </c>
      <c r="J1137" s="160" t="s">
        <v>3940</v>
      </c>
      <c r="K1137" s="160" t="s">
        <v>293</v>
      </c>
      <c r="L1137" s="161">
        <v>42243</v>
      </c>
      <c r="M1137" s="161">
        <v>46757</v>
      </c>
      <c r="N1137" s="160">
        <f t="shared" ca="1" si="53"/>
        <v>-570</v>
      </c>
      <c r="O1137" s="162" t="str">
        <f t="shared" ca="1" si="54"/>
        <v>OK</v>
      </c>
      <c r="P1137" s="159" t="s">
        <v>2847</v>
      </c>
      <c r="Q1137" s="163" t="s">
        <v>312</v>
      </c>
      <c r="R1137" s="160" t="s">
        <v>317</v>
      </c>
      <c r="S1137" s="160"/>
      <c r="T1137" s="160"/>
      <c r="U1137" s="160"/>
      <c r="V1137" s="160" t="s">
        <v>282</v>
      </c>
      <c r="W1137" s="160" t="s">
        <v>1017</v>
      </c>
      <c r="X1137" s="160" t="s">
        <v>597</v>
      </c>
    </row>
    <row r="1138" spans="1:24" ht="25.5" x14ac:dyDescent="0.2">
      <c r="A1138" s="189">
        <v>1178</v>
      </c>
      <c r="B1138" s="162" t="s">
        <v>279</v>
      </c>
      <c r="C1138" s="158">
        <v>1178</v>
      </c>
      <c r="D1138" s="160" t="str">
        <f t="shared" si="55"/>
        <v>SUPERMIX1178</v>
      </c>
      <c r="E1138" s="164" t="s">
        <v>3941</v>
      </c>
      <c r="F1138" s="164" t="s">
        <v>3942</v>
      </c>
      <c r="G1138" s="160" t="s">
        <v>2825</v>
      </c>
      <c r="H1138" s="159">
        <v>71833228</v>
      </c>
      <c r="I1138" s="159" t="s">
        <v>3788</v>
      </c>
      <c r="J1138" s="160" t="s">
        <v>3943</v>
      </c>
      <c r="K1138" s="160" t="s">
        <v>343</v>
      </c>
      <c r="L1138" s="161">
        <v>44975</v>
      </c>
      <c r="M1138" s="161">
        <v>47044</v>
      </c>
      <c r="N1138" s="160">
        <f t="shared" ca="1" si="53"/>
        <v>-857</v>
      </c>
      <c r="O1138" s="162" t="str">
        <f t="shared" ca="1" si="54"/>
        <v>OK</v>
      </c>
      <c r="P1138" s="159" t="s">
        <v>2827</v>
      </c>
      <c r="Q1138" s="163" t="s">
        <v>312</v>
      </c>
      <c r="R1138" s="160" t="s">
        <v>317</v>
      </c>
      <c r="S1138" s="160"/>
      <c r="T1138" s="160"/>
      <c r="U1138" s="160"/>
      <c r="V1138" s="160" t="s">
        <v>2973</v>
      </c>
      <c r="W1138" s="160" t="s">
        <v>3944</v>
      </c>
      <c r="X1138" s="160" t="s">
        <v>3945</v>
      </c>
    </row>
    <row r="1139" spans="1:24" ht="25.5" x14ac:dyDescent="0.2">
      <c r="A1139" s="189">
        <v>1179</v>
      </c>
      <c r="B1139" s="162" t="s">
        <v>279</v>
      </c>
      <c r="C1139" s="158">
        <v>1179</v>
      </c>
      <c r="D1139" s="160" t="str">
        <f t="shared" si="55"/>
        <v>SUPERMIX1179</v>
      </c>
      <c r="E1139" s="164" t="s">
        <v>3948</v>
      </c>
      <c r="F1139" s="164" t="s">
        <v>642</v>
      </c>
      <c r="G1139" s="160" t="s">
        <v>2825</v>
      </c>
      <c r="H1139" s="159">
        <v>46130458</v>
      </c>
      <c r="I1139" s="159" t="s">
        <v>3788</v>
      </c>
      <c r="J1139" s="160" t="s">
        <v>3949</v>
      </c>
      <c r="K1139" s="160" t="s">
        <v>281</v>
      </c>
      <c r="L1139" s="161">
        <v>44326</v>
      </c>
      <c r="M1139" s="161">
        <v>46152</v>
      </c>
      <c r="N1139" s="160">
        <f t="shared" ca="1" si="53"/>
        <v>35</v>
      </c>
      <c r="O1139" s="162" t="str">
        <f t="shared" ca="1" si="54"/>
        <v>VENCIDA</v>
      </c>
      <c r="P1139" s="159" t="s">
        <v>4145</v>
      </c>
      <c r="Q1139" s="163" t="s">
        <v>312</v>
      </c>
      <c r="R1139" s="160" t="s">
        <v>317</v>
      </c>
      <c r="S1139" s="160"/>
      <c r="T1139" s="160"/>
      <c r="U1139" s="160"/>
      <c r="V1139" s="160" t="s">
        <v>282</v>
      </c>
      <c r="W1139" s="160" t="s">
        <v>1017</v>
      </c>
      <c r="X1139" s="160" t="s">
        <v>3950</v>
      </c>
    </row>
    <row r="1140" spans="1:24" ht="25.5" x14ac:dyDescent="0.2">
      <c r="A1140" s="189">
        <v>1180</v>
      </c>
      <c r="B1140" s="162" t="s">
        <v>279</v>
      </c>
      <c r="C1140" s="158">
        <v>1180</v>
      </c>
      <c r="D1140" s="160" t="str">
        <f t="shared" si="55"/>
        <v>SUPERMIX1180</v>
      </c>
      <c r="E1140" s="164" t="s">
        <v>3951</v>
      </c>
      <c r="F1140" s="164" t="s">
        <v>3952</v>
      </c>
      <c r="G1140" s="160" t="s">
        <v>2825</v>
      </c>
      <c r="H1140" s="159">
        <v>71807507</v>
      </c>
      <c r="I1140" s="159" t="s">
        <v>3788</v>
      </c>
      <c r="J1140" s="160" t="s">
        <v>3953</v>
      </c>
      <c r="K1140" s="160" t="s">
        <v>343</v>
      </c>
      <c r="L1140" s="161">
        <v>45457</v>
      </c>
      <c r="M1140" s="161">
        <v>47283</v>
      </c>
      <c r="N1140" s="160">
        <f t="shared" ca="1" si="53"/>
        <v>-1096</v>
      </c>
      <c r="O1140" s="162" t="str">
        <f t="shared" ca="1" si="54"/>
        <v>OK</v>
      </c>
      <c r="P1140" s="159" t="s">
        <v>2778</v>
      </c>
      <c r="Q1140" s="163" t="s">
        <v>312</v>
      </c>
      <c r="R1140" s="160" t="s">
        <v>317</v>
      </c>
      <c r="S1140" s="160"/>
      <c r="T1140" s="160"/>
      <c r="U1140" s="160"/>
      <c r="V1140" s="160" t="s">
        <v>282</v>
      </c>
      <c r="W1140" s="160" t="s">
        <v>1017</v>
      </c>
      <c r="X1140" s="160" t="s">
        <v>640</v>
      </c>
    </row>
    <row r="1141" spans="1:24" ht="25.5" x14ac:dyDescent="0.2">
      <c r="A1141" s="189">
        <v>1181</v>
      </c>
      <c r="B1141" s="162" t="s">
        <v>279</v>
      </c>
      <c r="C1141" s="158">
        <v>1181</v>
      </c>
      <c r="D1141" s="160" t="str">
        <f t="shared" si="55"/>
        <v>SUPERMIX1181</v>
      </c>
      <c r="E1141" s="164" t="s">
        <v>3955</v>
      </c>
      <c r="F1141" s="164" t="s">
        <v>3956</v>
      </c>
      <c r="G1141" s="160" t="s">
        <v>2825</v>
      </c>
      <c r="H1141" s="159">
        <v>44775056</v>
      </c>
      <c r="I1141" s="159" t="s">
        <v>3788</v>
      </c>
      <c r="J1141" s="160" t="s">
        <v>3957</v>
      </c>
      <c r="K1141" s="160" t="s">
        <v>281</v>
      </c>
      <c r="L1141" s="161">
        <v>42222</v>
      </c>
      <c r="M1141" s="161">
        <v>46250</v>
      </c>
      <c r="N1141" s="160">
        <f t="shared" ref="N1141:N1146" ca="1" si="56">TODAY()-M1141</f>
        <v>-63</v>
      </c>
      <c r="O1141" s="162" t="str">
        <f t="shared" ref="O1141:O1146" ca="1" si="57">IF(N1141&lt;-5,"OK","VENCIDA")</f>
        <v>OK</v>
      </c>
      <c r="P1141" s="159" t="s">
        <v>2847</v>
      </c>
      <c r="Q1141" s="163" t="s">
        <v>312</v>
      </c>
      <c r="R1141" s="160" t="s">
        <v>317</v>
      </c>
      <c r="S1141" s="160"/>
      <c r="T1141" s="160"/>
      <c r="U1141" s="160"/>
      <c r="V1141" s="160" t="s">
        <v>282</v>
      </c>
      <c r="W1141" s="160" t="s">
        <v>1017</v>
      </c>
      <c r="X1141" s="160" t="s">
        <v>597</v>
      </c>
    </row>
    <row r="1142" spans="1:24" ht="25.5" x14ac:dyDescent="0.2">
      <c r="A1142" s="192">
        <v>1182</v>
      </c>
      <c r="B1142" s="162" t="s">
        <v>279</v>
      </c>
      <c r="C1142" s="158">
        <v>1182</v>
      </c>
      <c r="D1142" s="160" t="str">
        <f t="shared" si="55"/>
        <v>SUPERMIX1182</v>
      </c>
      <c r="E1142" s="164" t="s">
        <v>3960</v>
      </c>
      <c r="F1142" s="164" t="s">
        <v>3961</v>
      </c>
      <c r="G1142" s="160" t="s">
        <v>2825</v>
      </c>
      <c r="H1142" s="159">
        <v>72943011</v>
      </c>
      <c r="I1142" s="159" t="s">
        <v>3788</v>
      </c>
      <c r="J1142" s="160" t="s">
        <v>3962</v>
      </c>
      <c r="K1142" s="160" t="s">
        <v>343</v>
      </c>
      <c r="L1142" s="161">
        <v>44825</v>
      </c>
      <c r="M1142" s="161">
        <v>46651</v>
      </c>
      <c r="N1142" s="160">
        <f t="shared" ca="1" si="56"/>
        <v>-464</v>
      </c>
      <c r="O1142" s="162" t="str">
        <f t="shared" ca="1" si="57"/>
        <v>OK</v>
      </c>
      <c r="P1142" s="159" t="s">
        <v>2778</v>
      </c>
      <c r="Q1142" s="163" t="s">
        <v>312</v>
      </c>
      <c r="R1142" s="160" t="s">
        <v>317</v>
      </c>
      <c r="S1142" s="160"/>
      <c r="T1142" s="160"/>
      <c r="U1142" s="160"/>
      <c r="V1142" s="160" t="s">
        <v>1939</v>
      </c>
      <c r="W1142" s="160" t="s">
        <v>3515</v>
      </c>
      <c r="X1142" s="160" t="s">
        <v>640</v>
      </c>
    </row>
    <row r="1143" spans="1:24" ht="25.5" x14ac:dyDescent="0.2">
      <c r="A1143" s="189">
        <v>1183</v>
      </c>
      <c r="B1143" s="162" t="s">
        <v>279</v>
      </c>
      <c r="C1143" s="158">
        <v>1183</v>
      </c>
      <c r="D1143" s="160" t="str">
        <f t="shared" ref="D1143:D1148" si="58">CONCATENATE(B1143,C1143)</f>
        <v>SUPERMIX1183</v>
      </c>
      <c r="E1143" s="164" t="s">
        <v>3963</v>
      </c>
      <c r="F1143" s="164" t="s">
        <v>3964</v>
      </c>
      <c r="G1143" s="160" t="s">
        <v>2825</v>
      </c>
      <c r="H1143" s="159">
        <v>46122727</v>
      </c>
      <c r="I1143" s="159" t="s">
        <v>3788</v>
      </c>
      <c r="J1143" s="160" t="s">
        <v>3965</v>
      </c>
      <c r="K1143" s="160" t="s">
        <v>293</v>
      </c>
      <c r="L1143" s="161">
        <v>41695</v>
      </c>
      <c r="M1143" s="161">
        <v>46695</v>
      </c>
      <c r="N1143" s="160">
        <f t="shared" ca="1" si="56"/>
        <v>-508</v>
      </c>
      <c r="O1143" s="162" t="str">
        <f t="shared" ca="1" si="57"/>
        <v>OK</v>
      </c>
      <c r="P1143" s="159" t="s">
        <v>2778</v>
      </c>
      <c r="Q1143" s="163" t="s">
        <v>312</v>
      </c>
      <c r="R1143" s="160" t="s">
        <v>317</v>
      </c>
      <c r="S1143" s="160"/>
      <c r="T1143" s="160"/>
      <c r="U1143" s="160"/>
      <c r="V1143" s="160" t="s">
        <v>1939</v>
      </c>
      <c r="W1143" s="160" t="s">
        <v>3515</v>
      </c>
      <c r="X1143" s="160" t="s">
        <v>640</v>
      </c>
    </row>
    <row r="1144" spans="1:24" ht="25.5" x14ac:dyDescent="0.2">
      <c r="A1144" s="189">
        <v>1184</v>
      </c>
      <c r="B1144" s="162" t="s">
        <v>279</v>
      </c>
      <c r="C1144" s="158">
        <v>1184</v>
      </c>
      <c r="D1144" s="160" t="str">
        <f t="shared" si="58"/>
        <v>SUPERMIX1184</v>
      </c>
      <c r="E1144" s="164" t="s">
        <v>3968</v>
      </c>
      <c r="F1144" s="164" t="s">
        <v>2532</v>
      </c>
      <c r="G1144" s="160" t="s">
        <v>310</v>
      </c>
      <c r="H1144" s="159">
        <v>43178609</v>
      </c>
      <c r="I1144" s="159" t="s">
        <v>3788</v>
      </c>
      <c r="J1144" s="160" t="s">
        <v>2533</v>
      </c>
      <c r="K1144" s="160" t="s">
        <v>3142</v>
      </c>
      <c r="L1144" s="161">
        <v>40760</v>
      </c>
      <c r="M1144" s="161">
        <v>47336</v>
      </c>
      <c r="N1144" s="160">
        <f t="shared" ca="1" si="56"/>
        <v>-1149</v>
      </c>
      <c r="O1144" s="162" t="str">
        <f t="shared" ca="1" si="57"/>
        <v>OK</v>
      </c>
      <c r="P1144" s="159" t="s">
        <v>2827</v>
      </c>
      <c r="Q1144" s="163" t="s">
        <v>312</v>
      </c>
      <c r="R1144" s="160" t="s">
        <v>317</v>
      </c>
      <c r="S1144" s="160"/>
      <c r="T1144" s="160"/>
      <c r="U1144" s="160"/>
      <c r="V1144" s="160" t="s">
        <v>1102</v>
      </c>
      <c r="W1144" s="160" t="s">
        <v>3619</v>
      </c>
      <c r="X1144" s="160" t="s">
        <v>2866</v>
      </c>
    </row>
    <row r="1145" spans="1:24" ht="25.5" x14ac:dyDescent="0.2">
      <c r="A1145" s="189">
        <v>1185</v>
      </c>
      <c r="B1145" s="162" t="s">
        <v>279</v>
      </c>
      <c r="C1145" s="158">
        <v>1185</v>
      </c>
      <c r="D1145" s="160" t="str">
        <f t="shared" si="58"/>
        <v>SUPERMIX1185</v>
      </c>
      <c r="E1145" s="164" t="s">
        <v>3969</v>
      </c>
      <c r="F1145" s="164" t="s">
        <v>3970</v>
      </c>
      <c r="G1145" s="160" t="s">
        <v>341</v>
      </c>
      <c r="H1145" s="159">
        <v>70525580</v>
      </c>
      <c r="I1145" s="159" t="s">
        <v>3788</v>
      </c>
      <c r="J1145" s="160" t="s">
        <v>3971</v>
      </c>
      <c r="K1145" s="160" t="s">
        <v>343</v>
      </c>
      <c r="L1145" s="161">
        <v>45261</v>
      </c>
      <c r="M1145" s="161">
        <v>47088</v>
      </c>
      <c r="N1145" s="160">
        <f t="shared" ca="1" si="56"/>
        <v>-901</v>
      </c>
      <c r="O1145" s="162" t="str">
        <f t="shared" ca="1" si="57"/>
        <v>OK</v>
      </c>
      <c r="P1145" s="159" t="s">
        <v>2827</v>
      </c>
      <c r="Q1145" s="163" t="s">
        <v>312</v>
      </c>
      <c r="R1145" s="160" t="s">
        <v>17</v>
      </c>
      <c r="S1145" s="160"/>
      <c r="T1145" s="160"/>
      <c r="U1145" s="160"/>
      <c r="V1145" s="160" t="s">
        <v>3839</v>
      </c>
      <c r="W1145" s="160" t="s">
        <v>3619</v>
      </c>
      <c r="X1145" s="160" t="s">
        <v>3168</v>
      </c>
    </row>
    <row r="1146" spans="1:24" ht="25.5" x14ac:dyDescent="0.2">
      <c r="A1146" s="193">
        <v>1186</v>
      </c>
      <c r="B1146" s="162" t="s">
        <v>279</v>
      </c>
      <c r="C1146" s="175">
        <v>1186</v>
      </c>
      <c r="D1146" s="177" t="str">
        <f t="shared" si="58"/>
        <v>SUPERMIX1186</v>
      </c>
      <c r="E1146" s="194" t="s">
        <v>3972</v>
      </c>
      <c r="F1146" s="194" t="s">
        <v>3974</v>
      </c>
      <c r="G1146" s="177" t="s">
        <v>2825</v>
      </c>
      <c r="H1146" s="176">
        <v>29609263</v>
      </c>
      <c r="I1146" s="176" t="s">
        <v>3788</v>
      </c>
      <c r="J1146" s="177" t="s">
        <v>3973</v>
      </c>
      <c r="K1146" s="177" t="s">
        <v>281</v>
      </c>
      <c r="L1146" s="178">
        <v>37176</v>
      </c>
      <c r="M1146" s="178">
        <v>45938</v>
      </c>
      <c r="N1146" s="177">
        <f t="shared" ca="1" si="56"/>
        <v>249</v>
      </c>
      <c r="O1146" s="174" t="str">
        <f t="shared" ca="1" si="57"/>
        <v>VENCIDA</v>
      </c>
      <c r="P1146" s="176" t="s">
        <v>2790</v>
      </c>
      <c r="Q1146" s="163" t="s">
        <v>312</v>
      </c>
      <c r="R1146" s="160" t="s">
        <v>17</v>
      </c>
      <c r="S1146" s="177"/>
      <c r="T1146" s="177"/>
      <c r="U1146" s="177"/>
      <c r="V1146" s="177" t="s">
        <v>1939</v>
      </c>
      <c r="W1146" s="177" t="s">
        <v>3515</v>
      </c>
      <c r="X1146" s="177" t="s">
        <v>624</v>
      </c>
    </row>
    <row r="1147" spans="1:24" ht="25.5" x14ac:dyDescent="0.2">
      <c r="A1147" s="189">
        <v>1187</v>
      </c>
      <c r="B1147" s="162" t="s">
        <v>279</v>
      </c>
      <c r="C1147" s="158">
        <v>1187</v>
      </c>
      <c r="D1147" s="160" t="str">
        <f t="shared" si="58"/>
        <v>SUPERMIX1187</v>
      </c>
      <c r="E1147" s="164" t="s">
        <v>3975</v>
      </c>
      <c r="F1147" s="164" t="s">
        <v>3976</v>
      </c>
      <c r="G1147" s="177" t="s">
        <v>2825</v>
      </c>
      <c r="H1147" s="159">
        <v>29411547</v>
      </c>
      <c r="I1147" s="159" t="s">
        <v>3788</v>
      </c>
      <c r="J1147" s="160" t="s">
        <v>3977</v>
      </c>
      <c r="K1147" s="160" t="s">
        <v>281</v>
      </c>
      <c r="L1147" s="161">
        <v>38986</v>
      </c>
      <c r="M1147" s="161">
        <v>46484</v>
      </c>
      <c r="N1147" s="160">
        <f ca="1">TODAY()-M1147</f>
        <v>-297</v>
      </c>
      <c r="O1147" s="162" t="str">
        <f t="shared" ref="O1147:O1152" ca="1" si="59">IF(N1147&lt;-5,"OK","VENCIDA")</f>
        <v>OK</v>
      </c>
      <c r="P1147" s="159" t="s">
        <v>4023</v>
      </c>
      <c r="Q1147" s="163" t="s">
        <v>312</v>
      </c>
      <c r="R1147" s="160" t="s">
        <v>317</v>
      </c>
      <c r="S1147" s="160"/>
      <c r="T1147" s="160"/>
      <c r="U1147" s="160"/>
      <c r="V1147" s="160" t="s">
        <v>282</v>
      </c>
      <c r="W1147" s="160" t="s">
        <v>1017</v>
      </c>
      <c r="X1147" s="160" t="s">
        <v>3978</v>
      </c>
    </row>
    <row r="1148" spans="1:24" ht="25.5" x14ac:dyDescent="0.2">
      <c r="A1148" s="189">
        <v>1188</v>
      </c>
      <c r="B1148" s="162" t="s">
        <v>279</v>
      </c>
      <c r="C1148" s="158">
        <v>1188</v>
      </c>
      <c r="D1148" s="160" t="str">
        <f t="shared" si="58"/>
        <v>SUPERMIX1188</v>
      </c>
      <c r="E1148" s="164" t="s">
        <v>3979</v>
      </c>
      <c r="F1148" s="164" t="s">
        <v>20</v>
      </c>
      <c r="G1148" s="177" t="s">
        <v>2825</v>
      </c>
      <c r="H1148" s="159">
        <v>72321835</v>
      </c>
      <c r="I1148" s="159" t="s">
        <v>3788</v>
      </c>
      <c r="J1148" s="160" t="s">
        <v>3980</v>
      </c>
      <c r="K1148" s="160" t="s">
        <v>3142</v>
      </c>
      <c r="L1148" s="161">
        <v>44587</v>
      </c>
      <c r="M1148" s="161">
        <v>48239</v>
      </c>
      <c r="N1148" s="160">
        <f ca="1">TODAY()-M1148</f>
        <v>-2052</v>
      </c>
      <c r="O1148" s="162" t="str">
        <f t="shared" ca="1" si="59"/>
        <v>OK</v>
      </c>
      <c r="P1148" s="159" t="s">
        <v>2827</v>
      </c>
      <c r="Q1148" s="163" t="s">
        <v>312</v>
      </c>
      <c r="R1148" s="160" t="s">
        <v>317</v>
      </c>
      <c r="S1148" s="160"/>
      <c r="T1148" s="160"/>
      <c r="U1148" s="160"/>
      <c r="V1148" s="160" t="s">
        <v>1939</v>
      </c>
      <c r="W1148" s="160" t="s">
        <v>3515</v>
      </c>
      <c r="X1148" s="160" t="s">
        <v>2923</v>
      </c>
    </row>
    <row r="1149" spans="1:24" ht="25.5" x14ac:dyDescent="0.2">
      <c r="A1149" s="189">
        <v>1189</v>
      </c>
      <c r="B1149" s="162" t="s">
        <v>279</v>
      </c>
      <c r="C1149" s="158">
        <v>1189</v>
      </c>
      <c r="D1149" s="160" t="str">
        <f t="shared" ref="D1149:D1156" si="60">CONCATENATE(B1149,C1149)</f>
        <v>SUPERMIX1189</v>
      </c>
      <c r="E1149" s="164" t="s">
        <v>3981</v>
      </c>
      <c r="F1149" s="164" t="s">
        <v>3982</v>
      </c>
      <c r="G1149" s="160" t="s">
        <v>3983</v>
      </c>
      <c r="H1149" s="159">
        <v>71249084</v>
      </c>
      <c r="I1149" s="159" t="s">
        <v>3788</v>
      </c>
      <c r="J1149" s="160" t="s">
        <v>3984</v>
      </c>
      <c r="K1149" s="160" t="s">
        <v>281</v>
      </c>
      <c r="L1149" s="161">
        <v>43397</v>
      </c>
      <c r="M1149" s="161">
        <v>46372</v>
      </c>
      <c r="N1149" s="160">
        <f ca="1">TODAY()-M1149</f>
        <v>-185</v>
      </c>
      <c r="O1149" s="162" t="str">
        <f t="shared" ca="1" si="59"/>
        <v>OK</v>
      </c>
      <c r="P1149" s="159" t="s">
        <v>2847</v>
      </c>
      <c r="Q1149" s="163" t="s">
        <v>312</v>
      </c>
      <c r="R1149" s="160" t="s">
        <v>317</v>
      </c>
      <c r="S1149" s="160"/>
      <c r="T1149" s="160"/>
      <c r="U1149" s="160"/>
      <c r="V1149" s="160" t="s">
        <v>282</v>
      </c>
      <c r="W1149" s="160" t="s">
        <v>1017</v>
      </c>
      <c r="X1149" s="160" t="s">
        <v>597</v>
      </c>
    </row>
    <row r="1150" spans="1:24" ht="25.5" x14ac:dyDescent="0.2">
      <c r="A1150" s="189">
        <v>1190</v>
      </c>
      <c r="B1150" s="162" t="s">
        <v>279</v>
      </c>
      <c r="C1150" s="158">
        <v>1190</v>
      </c>
      <c r="D1150" s="160" t="str">
        <f t="shared" si="60"/>
        <v>SUPERMIX1190</v>
      </c>
      <c r="E1150" s="164" t="s">
        <v>3986</v>
      </c>
      <c r="F1150" s="164" t="s">
        <v>842</v>
      </c>
      <c r="G1150" s="160" t="s">
        <v>2825</v>
      </c>
      <c r="H1150" s="159">
        <v>48763638</v>
      </c>
      <c r="I1150" s="159" t="s">
        <v>3788</v>
      </c>
      <c r="J1150" s="160" t="s">
        <v>3987</v>
      </c>
      <c r="K1150" s="160" t="s">
        <v>281</v>
      </c>
      <c r="L1150" s="161">
        <v>44461</v>
      </c>
      <c r="M1150" s="161">
        <v>46287</v>
      </c>
      <c r="N1150" s="160">
        <f ca="1">TODAY()-M1150</f>
        <v>-100</v>
      </c>
      <c r="O1150" s="162" t="str">
        <f t="shared" ca="1" si="59"/>
        <v>OK</v>
      </c>
      <c r="P1150" s="159" t="s">
        <v>3453</v>
      </c>
      <c r="Q1150" s="163" t="s">
        <v>312</v>
      </c>
      <c r="R1150" s="160" t="s">
        <v>317</v>
      </c>
      <c r="S1150" s="160"/>
      <c r="T1150" s="160"/>
      <c r="U1150" s="160"/>
      <c r="V1150" s="160" t="s">
        <v>1939</v>
      </c>
      <c r="W1150" s="160" t="s">
        <v>3515</v>
      </c>
      <c r="X1150" s="160" t="s">
        <v>3232</v>
      </c>
    </row>
    <row r="1151" spans="1:24" ht="25.5" x14ac:dyDescent="0.2">
      <c r="A1151" s="189">
        <v>1191</v>
      </c>
      <c r="B1151" s="162" t="s">
        <v>279</v>
      </c>
      <c r="C1151" s="158">
        <v>1191</v>
      </c>
      <c r="D1151" s="160" t="str">
        <f t="shared" si="60"/>
        <v>SUPERMIX1191</v>
      </c>
      <c r="E1151" s="164" t="s">
        <v>3988</v>
      </c>
      <c r="F1151" s="164" t="s">
        <v>3989</v>
      </c>
      <c r="G1151" s="160" t="s">
        <v>341</v>
      </c>
      <c r="H1151" s="159">
        <v>46739263</v>
      </c>
      <c r="I1151" s="159" t="s">
        <v>3788</v>
      </c>
      <c r="J1151" s="160" t="s">
        <v>3990</v>
      </c>
      <c r="K1151" s="160" t="s">
        <v>343</v>
      </c>
      <c r="L1151" s="161">
        <v>42177</v>
      </c>
      <c r="M1151" s="161">
        <v>46229</v>
      </c>
      <c r="N1151" s="160">
        <f ca="1">TODAY()-M1151</f>
        <v>-42</v>
      </c>
      <c r="O1151" s="162" t="str">
        <f t="shared" ca="1" si="59"/>
        <v>OK</v>
      </c>
      <c r="P1151" s="159" t="s">
        <v>2827</v>
      </c>
      <c r="Q1151" s="163" t="s">
        <v>312</v>
      </c>
      <c r="R1151" s="100" t="s">
        <v>317</v>
      </c>
      <c r="S1151" s="160"/>
      <c r="T1151" s="160"/>
      <c r="U1151" s="160"/>
      <c r="V1151" s="160" t="s">
        <v>282</v>
      </c>
      <c r="W1151" s="160" t="s">
        <v>1017</v>
      </c>
      <c r="X1151" s="160" t="s">
        <v>824</v>
      </c>
    </row>
    <row r="1152" spans="1:24" ht="25.5" x14ac:dyDescent="0.2">
      <c r="A1152" s="189">
        <v>1192</v>
      </c>
      <c r="B1152" s="162" t="s">
        <v>279</v>
      </c>
      <c r="C1152" s="158">
        <v>1192</v>
      </c>
      <c r="D1152" s="160" t="str">
        <f t="shared" si="60"/>
        <v>SUPERMIX1192</v>
      </c>
      <c r="E1152" s="164" t="s">
        <v>3991</v>
      </c>
      <c r="F1152" s="164" t="s">
        <v>3992</v>
      </c>
      <c r="G1152" s="160" t="s">
        <v>2825</v>
      </c>
      <c r="H1152" s="195">
        <v>76539701</v>
      </c>
      <c r="I1152" s="159" t="s">
        <v>3788</v>
      </c>
      <c r="J1152" s="160" t="s">
        <v>3993</v>
      </c>
      <c r="K1152" s="160" t="s">
        <v>343</v>
      </c>
      <c r="L1152" s="161">
        <v>43717</v>
      </c>
      <c r="M1152" s="161">
        <v>46608</v>
      </c>
      <c r="N1152" s="160">
        <f t="shared" ref="N1152:N1239" ca="1" si="61">TODAY()-M1152</f>
        <v>-421</v>
      </c>
      <c r="O1152" s="162" t="str">
        <f t="shared" ca="1" si="59"/>
        <v>OK</v>
      </c>
      <c r="P1152" s="159" t="s">
        <v>2778</v>
      </c>
      <c r="Q1152" s="163" t="s">
        <v>312</v>
      </c>
      <c r="R1152" s="100" t="s">
        <v>317</v>
      </c>
      <c r="S1152" s="160"/>
      <c r="T1152" s="160"/>
      <c r="U1152" s="160"/>
      <c r="V1152" s="160" t="s">
        <v>1939</v>
      </c>
      <c r="W1152" s="160" t="s">
        <v>3515</v>
      </c>
      <c r="X1152" s="160" t="s">
        <v>640</v>
      </c>
    </row>
    <row r="1153" spans="1:24" ht="25.5" x14ac:dyDescent="0.2">
      <c r="A1153" s="189">
        <v>1193</v>
      </c>
      <c r="B1153" s="162" t="s">
        <v>279</v>
      </c>
      <c r="C1153" s="158">
        <v>1193</v>
      </c>
      <c r="D1153" s="160" t="str">
        <f t="shared" si="60"/>
        <v>SUPERMIX1193</v>
      </c>
      <c r="E1153" s="164" t="s">
        <v>3995</v>
      </c>
      <c r="F1153" s="164" t="s">
        <v>3996</v>
      </c>
      <c r="G1153" s="160" t="s">
        <v>2825</v>
      </c>
      <c r="H1153" s="159">
        <v>44691976</v>
      </c>
      <c r="I1153" s="159" t="s">
        <v>3788</v>
      </c>
      <c r="J1153" s="160" t="s">
        <v>3997</v>
      </c>
      <c r="K1153" s="160" t="s">
        <v>281</v>
      </c>
      <c r="L1153" s="161">
        <v>44564</v>
      </c>
      <c r="M1153" s="161">
        <v>46390</v>
      </c>
      <c r="N1153" s="160">
        <f t="shared" ref="N1153:N1160" ca="1" si="62">TODAY()-M1153</f>
        <v>-203</v>
      </c>
      <c r="O1153" s="162" t="str">
        <f t="shared" ref="O1153:O1160" ca="1" si="63">IF(N1153&lt;-5,"OK","VENCIDA")</f>
        <v>OK</v>
      </c>
      <c r="P1153" s="159" t="s">
        <v>2847</v>
      </c>
      <c r="Q1153" s="163" t="s">
        <v>312</v>
      </c>
      <c r="R1153" s="100" t="s">
        <v>317</v>
      </c>
      <c r="S1153" s="160"/>
      <c r="T1153" s="160"/>
      <c r="U1153" s="160"/>
      <c r="V1153" s="160" t="s">
        <v>282</v>
      </c>
      <c r="W1153" s="160"/>
      <c r="X1153" s="160" t="s">
        <v>597</v>
      </c>
    </row>
    <row r="1154" spans="1:24" ht="25.5" x14ac:dyDescent="0.2">
      <c r="A1154" s="189">
        <v>1194</v>
      </c>
      <c r="B1154" s="162" t="s">
        <v>279</v>
      </c>
      <c r="C1154" s="158">
        <v>1194</v>
      </c>
      <c r="D1154" s="160" t="str">
        <f t="shared" si="60"/>
        <v>SUPERMIX1194</v>
      </c>
      <c r="E1154" s="164" t="s">
        <v>3998</v>
      </c>
      <c r="F1154" s="164" t="s">
        <v>3999</v>
      </c>
      <c r="G1154" s="160" t="s">
        <v>2825</v>
      </c>
      <c r="H1154" s="159">
        <v>46000769</v>
      </c>
      <c r="I1154" s="159" t="s">
        <v>3788</v>
      </c>
      <c r="J1154" s="160" t="s">
        <v>4000</v>
      </c>
      <c r="K1154" s="160" t="s">
        <v>281</v>
      </c>
      <c r="L1154" s="161">
        <v>42731</v>
      </c>
      <c r="M1154" s="161">
        <v>46750</v>
      </c>
      <c r="N1154" s="160">
        <f t="shared" ca="1" si="62"/>
        <v>-563</v>
      </c>
      <c r="O1154" s="162" t="str">
        <f t="shared" ca="1" si="63"/>
        <v>OK</v>
      </c>
      <c r="P1154" s="159" t="s">
        <v>2778</v>
      </c>
      <c r="Q1154" s="163" t="s">
        <v>312</v>
      </c>
      <c r="R1154" s="100" t="s">
        <v>317</v>
      </c>
      <c r="S1154" s="160"/>
      <c r="T1154" s="160"/>
      <c r="U1154" s="160"/>
      <c r="V1154" s="160" t="s">
        <v>282</v>
      </c>
      <c r="W1154" s="160" t="s">
        <v>1017</v>
      </c>
      <c r="X1154" s="160" t="s">
        <v>640</v>
      </c>
    </row>
    <row r="1155" spans="1:24" ht="25.5" x14ac:dyDescent="0.2">
      <c r="A1155" s="189">
        <v>1195</v>
      </c>
      <c r="B1155" s="162" t="s">
        <v>279</v>
      </c>
      <c r="C1155" s="158">
        <v>1195</v>
      </c>
      <c r="D1155" s="160" t="str">
        <f t="shared" si="60"/>
        <v>SUPERMIX1195</v>
      </c>
      <c r="E1155" s="164" t="s">
        <v>4001</v>
      </c>
      <c r="F1155" s="164" t="s">
        <v>26</v>
      </c>
      <c r="G1155" s="160" t="s">
        <v>2825</v>
      </c>
      <c r="H1155" s="159">
        <v>70972062</v>
      </c>
      <c r="I1155" s="159" t="s">
        <v>3788</v>
      </c>
      <c r="J1155" s="160" t="s">
        <v>4017</v>
      </c>
      <c r="K1155" s="160" t="s">
        <v>281</v>
      </c>
      <c r="L1155" s="161">
        <v>44743</v>
      </c>
      <c r="M1155" s="161">
        <v>46569</v>
      </c>
      <c r="N1155" s="160">
        <f t="shared" ca="1" si="62"/>
        <v>-382</v>
      </c>
      <c r="O1155" s="162" t="str">
        <f t="shared" ca="1" si="63"/>
        <v>OK</v>
      </c>
      <c r="P1155" s="159" t="s">
        <v>3009</v>
      </c>
      <c r="Q1155" s="163" t="s">
        <v>312</v>
      </c>
      <c r="R1155" s="100" t="s">
        <v>317</v>
      </c>
      <c r="S1155" s="160"/>
      <c r="T1155" s="160"/>
      <c r="U1155" s="160"/>
      <c r="V1155" s="160" t="s">
        <v>282</v>
      </c>
      <c r="W1155" s="160" t="s">
        <v>1017</v>
      </c>
      <c r="X1155" s="160" t="s">
        <v>3152</v>
      </c>
    </row>
    <row r="1156" spans="1:24" ht="25.5" x14ac:dyDescent="0.2">
      <c r="A1156" s="189">
        <v>1196</v>
      </c>
      <c r="B1156" s="162" t="s">
        <v>279</v>
      </c>
      <c r="C1156" s="158">
        <v>1196</v>
      </c>
      <c r="D1156" s="160" t="str">
        <f t="shared" si="60"/>
        <v>SUPERMIX1196</v>
      </c>
      <c r="E1156" s="164" t="s">
        <v>4002</v>
      </c>
      <c r="F1156" s="164" t="s">
        <v>4003</v>
      </c>
      <c r="G1156" s="160" t="s">
        <v>2825</v>
      </c>
      <c r="H1156" s="159">
        <v>239408</v>
      </c>
      <c r="I1156" s="159" t="s">
        <v>3788</v>
      </c>
      <c r="J1156" s="160" t="s">
        <v>4004</v>
      </c>
      <c r="K1156" s="160" t="s">
        <v>281</v>
      </c>
      <c r="L1156" s="161">
        <v>42506</v>
      </c>
      <c r="M1156" s="161">
        <v>46539</v>
      </c>
      <c r="N1156" s="160">
        <f t="shared" ca="1" si="62"/>
        <v>-352</v>
      </c>
      <c r="O1156" s="162" t="str">
        <f t="shared" ca="1" si="63"/>
        <v>OK</v>
      </c>
      <c r="P1156" s="159" t="s">
        <v>2847</v>
      </c>
      <c r="Q1156" s="163" t="s">
        <v>312</v>
      </c>
      <c r="R1156" s="160" t="s">
        <v>17</v>
      </c>
      <c r="S1156" s="160"/>
      <c r="T1156" s="160"/>
      <c r="U1156" s="160"/>
      <c r="V1156" s="160" t="s">
        <v>282</v>
      </c>
      <c r="W1156" s="160" t="s">
        <v>1017</v>
      </c>
      <c r="X1156" s="160" t="s">
        <v>597</v>
      </c>
    </row>
    <row r="1157" spans="1:24" ht="25.5" x14ac:dyDescent="0.2">
      <c r="A1157" s="189">
        <v>1197</v>
      </c>
      <c r="B1157" s="162" t="s">
        <v>279</v>
      </c>
      <c r="C1157" s="158">
        <v>1197</v>
      </c>
      <c r="D1157" s="160" t="str">
        <f t="shared" ref="D1157:D1162" si="64">CONCATENATE(B1157,C1157)</f>
        <v>SUPERMIX1197</v>
      </c>
      <c r="E1157" s="164" t="s">
        <v>4005</v>
      </c>
      <c r="F1157" s="164" t="s">
        <v>30</v>
      </c>
      <c r="G1157" s="160" t="s">
        <v>2825</v>
      </c>
      <c r="H1157" s="159">
        <v>29602462</v>
      </c>
      <c r="I1157" s="159" t="s">
        <v>3788</v>
      </c>
      <c r="J1157" s="160" t="s">
        <v>4006</v>
      </c>
      <c r="K1157" s="160" t="s">
        <v>281</v>
      </c>
      <c r="L1157" s="161">
        <v>37221</v>
      </c>
      <c r="M1157" s="161">
        <v>46457</v>
      </c>
      <c r="N1157" s="160">
        <f t="shared" ca="1" si="62"/>
        <v>-270</v>
      </c>
      <c r="O1157" s="162" t="str">
        <f t="shared" ca="1" si="63"/>
        <v>OK</v>
      </c>
      <c r="P1157" s="159" t="s">
        <v>2847</v>
      </c>
      <c r="Q1157" s="163" t="s">
        <v>312</v>
      </c>
      <c r="R1157" s="160" t="s">
        <v>17</v>
      </c>
      <c r="S1157" s="160"/>
      <c r="T1157" s="160"/>
      <c r="U1157" s="160"/>
      <c r="V1157" s="160" t="s">
        <v>282</v>
      </c>
      <c r="W1157" s="160" t="s">
        <v>1017</v>
      </c>
      <c r="X1157" s="160" t="s">
        <v>597</v>
      </c>
    </row>
    <row r="1158" spans="1:24" ht="25.5" x14ac:dyDescent="0.2">
      <c r="A1158" s="189">
        <v>1198</v>
      </c>
      <c r="B1158" s="162" t="s">
        <v>279</v>
      </c>
      <c r="C1158" s="158">
        <v>1198</v>
      </c>
      <c r="D1158" s="160" t="str">
        <f t="shared" si="64"/>
        <v>SUPERMIX1198</v>
      </c>
      <c r="E1158" s="164" t="s">
        <v>4007</v>
      </c>
      <c r="F1158" s="164" t="s">
        <v>4008</v>
      </c>
      <c r="G1158" s="160" t="s">
        <v>2825</v>
      </c>
      <c r="H1158" s="159">
        <v>42659090</v>
      </c>
      <c r="I1158" s="159" t="s">
        <v>3788</v>
      </c>
      <c r="J1158" s="160" t="s">
        <v>4009</v>
      </c>
      <c r="K1158" s="160" t="s">
        <v>281</v>
      </c>
      <c r="L1158" s="161">
        <v>43525</v>
      </c>
      <c r="M1158" s="161">
        <v>46446</v>
      </c>
      <c r="N1158" s="160">
        <f t="shared" ca="1" si="62"/>
        <v>-259</v>
      </c>
      <c r="O1158" s="162" t="str">
        <f t="shared" ca="1" si="63"/>
        <v>OK</v>
      </c>
      <c r="P1158" s="159" t="s">
        <v>2847</v>
      </c>
      <c r="Q1158" s="163" t="s">
        <v>312</v>
      </c>
      <c r="R1158" s="160" t="s">
        <v>17</v>
      </c>
      <c r="S1158" s="160"/>
      <c r="T1158" s="160"/>
      <c r="U1158" s="160"/>
      <c r="V1158" s="160" t="s">
        <v>282</v>
      </c>
      <c r="W1158" s="160" t="s">
        <v>1017</v>
      </c>
      <c r="X1158" s="160" t="s">
        <v>597</v>
      </c>
    </row>
    <row r="1159" spans="1:24" ht="25.5" x14ac:dyDescent="0.2">
      <c r="A1159" s="189">
        <v>1199</v>
      </c>
      <c r="B1159" s="162" t="s">
        <v>279</v>
      </c>
      <c r="C1159" s="158">
        <v>1199</v>
      </c>
      <c r="D1159" s="160" t="str">
        <f t="shared" si="64"/>
        <v>SUPERMIX1199</v>
      </c>
      <c r="E1159" s="164" t="s">
        <v>4010</v>
      </c>
      <c r="F1159" s="164" t="s">
        <v>20</v>
      </c>
      <c r="G1159" s="160" t="s">
        <v>2825</v>
      </c>
      <c r="H1159" s="159">
        <v>29626641</v>
      </c>
      <c r="I1159" s="159" t="s">
        <v>3788</v>
      </c>
      <c r="J1159" s="160" t="s">
        <v>4011</v>
      </c>
      <c r="K1159" s="160" t="s">
        <v>281</v>
      </c>
      <c r="L1159" s="161">
        <v>45348</v>
      </c>
      <c r="M1159" s="161">
        <v>46664</v>
      </c>
      <c r="N1159" s="160">
        <f t="shared" ca="1" si="62"/>
        <v>-477</v>
      </c>
      <c r="O1159" s="162" t="str">
        <f t="shared" ca="1" si="63"/>
        <v>OK</v>
      </c>
      <c r="P1159" s="159" t="s">
        <v>2847</v>
      </c>
      <c r="Q1159" s="163" t="s">
        <v>312</v>
      </c>
      <c r="R1159" s="160" t="s">
        <v>317</v>
      </c>
      <c r="S1159" s="160"/>
      <c r="T1159" s="160"/>
      <c r="U1159" s="160"/>
      <c r="V1159" s="160" t="s">
        <v>282</v>
      </c>
      <c r="W1159" s="160" t="s">
        <v>1017</v>
      </c>
      <c r="X1159" s="160" t="s">
        <v>597</v>
      </c>
    </row>
    <row r="1160" spans="1:24" ht="25.5" x14ac:dyDescent="0.2">
      <c r="A1160" s="189">
        <v>1200</v>
      </c>
      <c r="B1160" s="162" t="s">
        <v>279</v>
      </c>
      <c r="C1160" s="158">
        <v>1200</v>
      </c>
      <c r="D1160" s="160" t="str">
        <f t="shared" si="64"/>
        <v>SUPERMIX1200</v>
      </c>
      <c r="E1160" s="164" t="s">
        <v>4012</v>
      </c>
      <c r="F1160" s="164" t="s">
        <v>3089</v>
      </c>
      <c r="G1160" s="160" t="s">
        <v>310</v>
      </c>
      <c r="H1160" s="159">
        <v>48403784</v>
      </c>
      <c r="I1160" s="159" t="s">
        <v>3788</v>
      </c>
      <c r="J1160" s="160" t="s">
        <v>4013</v>
      </c>
      <c r="K1160" s="160" t="s">
        <v>293</v>
      </c>
      <c r="L1160" s="161">
        <v>44573</v>
      </c>
      <c r="M1160" s="161">
        <v>46399</v>
      </c>
      <c r="N1160" s="160">
        <f t="shared" ca="1" si="62"/>
        <v>-212</v>
      </c>
      <c r="O1160" s="162" t="str">
        <f t="shared" ca="1" si="63"/>
        <v>OK</v>
      </c>
      <c r="P1160" s="159" t="s">
        <v>2847</v>
      </c>
      <c r="Q1160" s="163" t="s">
        <v>312</v>
      </c>
      <c r="R1160" s="160" t="s">
        <v>17</v>
      </c>
      <c r="S1160" s="160"/>
      <c r="T1160" s="160"/>
      <c r="U1160" s="160"/>
      <c r="V1160" s="160" t="s">
        <v>282</v>
      </c>
      <c r="W1160" s="160" t="s">
        <v>4014</v>
      </c>
      <c r="X1160" s="160" t="s">
        <v>597</v>
      </c>
    </row>
    <row r="1161" spans="1:24" ht="25.5" x14ac:dyDescent="0.2">
      <c r="A1161" s="200">
        <v>1201</v>
      </c>
      <c r="B1161" s="88" t="s">
        <v>279</v>
      </c>
      <c r="C1161" s="226">
        <v>1201</v>
      </c>
      <c r="D1161" s="61" t="str">
        <f t="shared" si="64"/>
        <v>SUPERMIX1201</v>
      </c>
      <c r="E1161" s="82" t="s">
        <v>4015</v>
      </c>
      <c r="F1161" s="82" t="s">
        <v>28</v>
      </c>
      <c r="G1161" s="61" t="s">
        <v>2825</v>
      </c>
      <c r="H1161" s="60">
        <v>47028018</v>
      </c>
      <c r="I1161" s="60" t="s">
        <v>3788</v>
      </c>
      <c r="J1161" s="61" t="s">
        <v>4016</v>
      </c>
      <c r="K1161" s="61" t="s">
        <v>281</v>
      </c>
      <c r="L1161" s="62">
        <v>44662</v>
      </c>
      <c r="M1161" s="62">
        <v>46488</v>
      </c>
      <c r="N1161" s="61">
        <f t="shared" ref="N1161:N1166" ca="1" si="65">TODAY()-M1161</f>
        <v>-301</v>
      </c>
      <c r="O1161" s="88" t="str">
        <f t="shared" ref="O1161:O1166" ca="1" si="66">IF(N1161&lt;-5,"OK","VENCIDA")</f>
        <v>OK</v>
      </c>
      <c r="P1161" s="60" t="s">
        <v>3009</v>
      </c>
      <c r="Q1161" s="90" t="s">
        <v>312</v>
      </c>
      <c r="R1161" s="61" t="s">
        <v>317</v>
      </c>
      <c r="S1161" s="61"/>
      <c r="T1161" s="61"/>
      <c r="U1161" s="61"/>
      <c r="V1161" s="61" t="s">
        <v>282</v>
      </c>
      <c r="W1161" s="61" t="s">
        <v>1017</v>
      </c>
      <c r="X1161" s="61" t="s">
        <v>2819</v>
      </c>
    </row>
    <row r="1162" spans="1:24" ht="25.5" x14ac:dyDescent="0.2">
      <c r="A1162" s="196">
        <v>1202</v>
      </c>
      <c r="B1162" s="162" t="s">
        <v>279</v>
      </c>
      <c r="C1162" s="179">
        <v>1202</v>
      </c>
      <c r="D1162" s="181" t="str">
        <f t="shared" si="64"/>
        <v>SUPERMIX1202</v>
      </c>
      <c r="E1162" s="197" t="s">
        <v>4020</v>
      </c>
      <c r="F1162" s="197" t="s">
        <v>4021</v>
      </c>
      <c r="G1162" s="160" t="s">
        <v>2825</v>
      </c>
      <c r="H1162" s="180">
        <v>46999083</v>
      </c>
      <c r="I1162" s="159" t="s">
        <v>3788</v>
      </c>
      <c r="J1162" s="181" t="s">
        <v>4022</v>
      </c>
      <c r="K1162" s="181" t="s">
        <v>293</v>
      </c>
      <c r="L1162" s="182">
        <v>42892</v>
      </c>
      <c r="M1162" s="182">
        <v>46819</v>
      </c>
      <c r="N1162" s="181">
        <f t="shared" ca="1" si="65"/>
        <v>-632</v>
      </c>
      <c r="O1162" s="183" t="str">
        <f t="shared" ca="1" si="66"/>
        <v>OK</v>
      </c>
      <c r="P1162" s="159" t="s">
        <v>3009</v>
      </c>
      <c r="Q1162" s="163" t="s">
        <v>312</v>
      </c>
      <c r="R1162" s="160" t="s">
        <v>317</v>
      </c>
      <c r="S1162" s="181"/>
      <c r="T1162" s="181"/>
      <c r="U1162" s="181"/>
      <c r="V1162" s="160" t="s">
        <v>282</v>
      </c>
      <c r="W1162" s="181" t="s">
        <v>2776</v>
      </c>
      <c r="X1162" s="181" t="s">
        <v>2819</v>
      </c>
    </row>
    <row r="1163" spans="1:24" ht="25.5" x14ac:dyDescent="0.2">
      <c r="A1163" s="189">
        <v>1203</v>
      </c>
      <c r="B1163" s="162" t="s">
        <v>279</v>
      </c>
      <c r="C1163" s="158">
        <v>1203</v>
      </c>
      <c r="D1163" s="160" t="str">
        <f t="shared" ref="D1163:D1172" si="67">CONCATENATE(B1163,C1163)</f>
        <v>SUPERMIX1203</v>
      </c>
      <c r="E1163" s="164" t="s">
        <v>4024</v>
      </c>
      <c r="F1163" s="164" t="s">
        <v>4025</v>
      </c>
      <c r="G1163" s="160" t="s">
        <v>341</v>
      </c>
      <c r="H1163" s="159">
        <v>71217927</v>
      </c>
      <c r="I1163" s="159" t="s">
        <v>3788</v>
      </c>
      <c r="J1163" s="160" t="s">
        <v>4026</v>
      </c>
      <c r="K1163" s="160" t="s">
        <v>3142</v>
      </c>
      <c r="L1163" s="161">
        <v>42870</v>
      </c>
      <c r="M1163" s="161">
        <v>47252</v>
      </c>
      <c r="N1163" s="160">
        <f t="shared" ca="1" si="65"/>
        <v>-1065</v>
      </c>
      <c r="O1163" s="162" t="str">
        <f t="shared" ca="1" si="66"/>
        <v>OK</v>
      </c>
      <c r="P1163" s="159" t="s">
        <v>2827</v>
      </c>
      <c r="Q1163" s="163" t="s">
        <v>312</v>
      </c>
      <c r="R1163" s="160" t="s">
        <v>317</v>
      </c>
      <c r="S1163" s="160"/>
      <c r="T1163" s="160"/>
      <c r="U1163" s="160"/>
      <c r="V1163" s="160" t="s">
        <v>282</v>
      </c>
      <c r="W1163" s="181" t="s">
        <v>2776</v>
      </c>
      <c r="X1163" s="160" t="s">
        <v>2870</v>
      </c>
    </row>
    <row r="1164" spans="1:24" ht="25.5" x14ac:dyDescent="0.2">
      <c r="A1164" s="189">
        <v>1204</v>
      </c>
      <c r="B1164" s="162" t="s">
        <v>279</v>
      </c>
      <c r="C1164" s="158">
        <v>1204</v>
      </c>
      <c r="D1164" s="160" t="str">
        <f t="shared" si="67"/>
        <v>SUPERMIX1204</v>
      </c>
      <c r="E1164" s="164" t="s">
        <v>4027</v>
      </c>
      <c r="F1164" s="164" t="s">
        <v>4028</v>
      </c>
      <c r="G1164" s="160" t="s">
        <v>2825</v>
      </c>
      <c r="H1164" s="159">
        <v>71711120</v>
      </c>
      <c r="I1164" s="159" t="s">
        <v>3788</v>
      </c>
      <c r="J1164" s="160" t="s">
        <v>4029</v>
      </c>
      <c r="K1164" s="160" t="s">
        <v>4221</v>
      </c>
      <c r="L1164" s="161">
        <v>44876</v>
      </c>
      <c r="M1164" s="161">
        <v>48529</v>
      </c>
      <c r="N1164" s="160">
        <f t="shared" ca="1" si="65"/>
        <v>-2342</v>
      </c>
      <c r="O1164" s="162" t="str">
        <f t="shared" ca="1" si="66"/>
        <v>OK</v>
      </c>
      <c r="P1164" s="159" t="s">
        <v>2827</v>
      </c>
      <c r="Q1164" s="163" t="s">
        <v>312</v>
      </c>
      <c r="R1164" s="160" t="s">
        <v>17</v>
      </c>
      <c r="S1164" s="160"/>
      <c r="T1164" s="160"/>
      <c r="U1164" s="160"/>
      <c r="V1164" s="160" t="s">
        <v>282</v>
      </c>
      <c r="W1164" s="181" t="s">
        <v>2776</v>
      </c>
      <c r="X1164" s="160" t="s">
        <v>3869</v>
      </c>
    </row>
    <row r="1165" spans="1:24" ht="25.5" x14ac:dyDescent="0.2">
      <c r="A1165" s="189">
        <v>1205</v>
      </c>
      <c r="B1165" s="162" t="s">
        <v>279</v>
      </c>
      <c r="C1165" s="158">
        <v>1205</v>
      </c>
      <c r="D1165" s="160" t="str">
        <f t="shared" si="67"/>
        <v>SUPERMIX1205</v>
      </c>
      <c r="E1165" s="164" t="s">
        <v>4031</v>
      </c>
      <c r="F1165" s="164" t="s">
        <v>4032</v>
      </c>
      <c r="G1165" s="160" t="s">
        <v>2825</v>
      </c>
      <c r="H1165" s="159">
        <v>70482990</v>
      </c>
      <c r="I1165" s="159" t="s">
        <v>3788</v>
      </c>
      <c r="J1165" s="160" t="s">
        <v>4033</v>
      </c>
      <c r="K1165" s="160" t="s">
        <v>3142</v>
      </c>
      <c r="L1165" s="161">
        <v>44614</v>
      </c>
      <c r="M1165" s="161">
        <v>48387</v>
      </c>
      <c r="N1165" s="160">
        <f t="shared" ca="1" si="65"/>
        <v>-2200</v>
      </c>
      <c r="O1165" s="162" t="str">
        <f t="shared" ca="1" si="66"/>
        <v>OK</v>
      </c>
      <c r="P1165" s="159" t="s">
        <v>2827</v>
      </c>
      <c r="Q1165" s="163" t="s">
        <v>312</v>
      </c>
      <c r="R1165" s="160" t="s">
        <v>17</v>
      </c>
      <c r="S1165" s="160"/>
      <c r="T1165" s="160"/>
      <c r="U1165" s="160"/>
      <c r="V1165" s="160" t="s">
        <v>282</v>
      </c>
      <c r="W1165" s="160" t="s">
        <v>850</v>
      </c>
      <c r="X1165" s="160" t="s">
        <v>3869</v>
      </c>
    </row>
    <row r="1166" spans="1:24" ht="25.5" x14ac:dyDescent="0.2">
      <c r="A1166" s="189">
        <v>1206</v>
      </c>
      <c r="B1166" s="162" t="s">
        <v>279</v>
      </c>
      <c r="C1166" s="158">
        <v>1206</v>
      </c>
      <c r="D1166" s="160" t="str">
        <f t="shared" si="67"/>
        <v>SUPERMIX1206</v>
      </c>
      <c r="E1166" s="164" t="s">
        <v>4034</v>
      </c>
      <c r="F1166" s="164" t="s">
        <v>3277</v>
      </c>
      <c r="G1166" s="160" t="s">
        <v>2825</v>
      </c>
      <c r="H1166" s="159">
        <v>73384374</v>
      </c>
      <c r="I1166" s="159" t="s">
        <v>3788</v>
      </c>
      <c r="J1166" s="160" t="s">
        <v>4035</v>
      </c>
      <c r="K1166" s="160" t="s">
        <v>4221</v>
      </c>
      <c r="L1166" s="161">
        <v>41666</v>
      </c>
      <c r="M1166" s="161">
        <v>48443</v>
      </c>
      <c r="N1166" s="160">
        <f t="shared" ca="1" si="65"/>
        <v>-2256</v>
      </c>
      <c r="O1166" s="162" t="str">
        <f t="shared" ca="1" si="66"/>
        <v>OK</v>
      </c>
      <c r="P1166" s="159" t="s">
        <v>2827</v>
      </c>
      <c r="Q1166" s="163" t="s">
        <v>312</v>
      </c>
      <c r="R1166" s="160" t="s">
        <v>317</v>
      </c>
      <c r="S1166" s="160"/>
      <c r="T1166" s="160"/>
      <c r="U1166" s="160"/>
      <c r="V1166" s="160" t="s">
        <v>282</v>
      </c>
      <c r="W1166" s="160" t="s">
        <v>850</v>
      </c>
      <c r="X1166" s="160" t="s">
        <v>3869</v>
      </c>
    </row>
    <row r="1167" spans="1:24" ht="25.5" x14ac:dyDescent="0.2">
      <c r="A1167" s="189">
        <v>1207</v>
      </c>
      <c r="B1167" s="162" t="s">
        <v>279</v>
      </c>
      <c r="C1167" s="158">
        <v>1207</v>
      </c>
      <c r="D1167" s="160" t="str">
        <f t="shared" si="67"/>
        <v>SUPERMIX1207</v>
      </c>
      <c r="E1167" s="164" t="s">
        <v>4036</v>
      </c>
      <c r="F1167" s="164" t="s">
        <v>4037</v>
      </c>
      <c r="G1167" s="160" t="s">
        <v>2825</v>
      </c>
      <c r="H1167" s="159">
        <v>75287430</v>
      </c>
      <c r="I1167" s="159" t="s">
        <v>3788</v>
      </c>
      <c r="J1167" s="160" t="s">
        <v>4038</v>
      </c>
      <c r="K1167" s="160" t="s">
        <v>343</v>
      </c>
      <c r="L1167" s="161">
        <v>42465</v>
      </c>
      <c r="M1167" s="161">
        <v>46485</v>
      </c>
      <c r="N1167" s="160">
        <f t="shared" ref="N1167:N1172" ca="1" si="68">TODAY()-M1167</f>
        <v>-298</v>
      </c>
      <c r="O1167" s="162" t="str">
        <f t="shared" ref="O1167:O1172" ca="1" si="69">IF(N1167&lt;-5,"OK","VENCIDA")</f>
        <v>OK</v>
      </c>
      <c r="P1167" s="159" t="s">
        <v>2827</v>
      </c>
      <c r="Q1167" s="163" t="s">
        <v>312</v>
      </c>
      <c r="R1167" s="160" t="s">
        <v>317</v>
      </c>
      <c r="S1167" s="160"/>
      <c r="T1167" s="160"/>
      <c r="U1167" s="160"/>
      <c r="V1167" s="160" t="s">
        <v>282</v>
      </c>
      <c r="W1167" s="160" t="s">
        <v>2776</v>
      </c>
      <c r="X1167" s="160" t="s">
        <v>3015</v>
      </c>
    </row>
    <row r="1168" spans="1:24" ht="25.5" x14ac:dyDescent="0.2">
      <c r="A1168" s="189">
        <v>1208</v>
      </c>
      <c r="B1168" s="162" t="s">
        <v>279</v>
      </c>
      <c r="C1168" s="158">
        <v>1208</v>
      </c>
      <c r="D1168" s="160" t="str">
        <f t="shared" si="67"/>
        <v>SUPERMIX1208</v>
      </c>
      <c r="E1168" s="164" t="s">
        <v>4039</v>
      </c>
      <c r="F1168" s="164" t="s">
        <v>2610</v>
      </c>
      <c r="G1168" s="160" t="s">
        <v>2825</v>
      </c>
      <c r="H1168" s="159">
        <v>70779731</v>
      </c>
      <c r="I1168" s="159" t="s">
        <v>3788</v>
      </c>
      <c r="J1168" s="160" t="s">
        <v>4040</v>
      </c>
      <c r="K1168" s="160" t="s">
        <v>3793</v>
      </c>
      <c r="L1168" s="161">
        <v>42556</v>
      </c>
      <c r="M1168" s="161">
        <v>49282</v>
      </c>
      <c r="N1168" s="160">
        <f t="shared" ca="1" si="68"/>
        <v>-3095</v>
      </c>
      <c r="O1168" s="162" t="str">
        <f t="shared" ca="1" si="69"/>
        <v>OK</v>
      </c>
      <c r="P1168" s="159" t="s">
        <v>2827</v>
      </c>
      <c r="Q1168" s="163" t="s">
        <v>312</v>
      </c>
      <c r="R1168" s="160" t="s">
        <v>17</v>
      </c>
      <c r="S1168" s="160"/>
      <c r="T1168" s="160"/>
      <c r="U1168" s="160"/>
      <c r="V1168" s="160" t="s">
        <v>2973</v>
      </c>
      <c r="W1168" s="160" t="s">
        <v>2776</v>
      </c>
      <c r="X1168" s="160" t="s">
        <v>4041</v>
      </c>
    </row>
    <row r="1169" spans="1:24" ht="25.5" x14ac:dyDescent="0.2">
      <c r="A1169" s="189">
        <v>1209</v>
      </c>
      <c r="B1169" s="162" t="s">
        <v>279</v>
      </c>
      <c r="C1169" s="158">
        <v>1209</v>
      </c>
      <c r="D1169" s="160" t="str">
        <f t="shared" si="67"/>
        <v>SUPERMIX1209</v>
      </c>
      <c r="E1169" s="164" t="s">
        <v>4042</v>
      </c>
      <c r="F1169" s="164" t="s">
        <v>1293</v>
      </c>
      <c r="G1169" s="160" t="s">
        <v>2825</v>
      </c>
      <c r="H1169" s="159">
        <v>42749028</v>
      </c>
      <c r="I1169" s="159" t="s">
        <v>3788</v>
      </c>
      <c r="J1169" s="160" t="s">
        <v>4043</v>
      </c>
      <c r="K1169" s="160" t="s">
        <v>1954</v>
      </c>
      <c r="L1169" s="161">
        <v>44279</v>
      </c>
      <c r="M1169" s="161">
        <v>46783</v>
      </c>
      <c r="N1169" s="160">
        <f t="shared" ca="1" si="68"/>
        <v>-596</v>
      </c>
      <c r="O1169" s="162" t="str">
        <f t="shared" ca="1" si="69"/>
        <v>OK</v>
      </c>
      <c r="P1169" s="159" t="s">
        <v>2827</v>
      </c>
      <c r="Q1169" s="163" t="s">
        <v>312</v>
      </c>
      <c r="R1169" s="160" t="s">
        <v>17</v>
      </c>
      <c r="S1169" s="160"/>
      <c r="T1169" s="160"/>
      <c r="U1169" s="160"/>
      <c r="V1169" s="160" t="s">
        <v>282</v>
      </c>
      <c r="W1169" s="160" t="s">
        <v>2776</v>
      </c>
      <c r="X1169" s="160" t="s">
        <v>4044</v>
      </c>
    </row>
    <row r="1170" spans="1:24" ht="25.5" x14ac:dyDescent="0.2">
      <c r="A1170" s="189">
        <v>1210</v>
      </c>
      <c r="B1170" s="162" t="s">
        <v>279</v>
      </c>
      <c r="C1170" s="158">
        <v>1210</v>
      </c>
      <c r="D1170" s="160" t="str">
        <f t="shared" si="67"/>
        <v>SUPERMIX1210</v>
      </c>
      <c r="E1170" s="164" t="s">
        <v>4046</v>
      </c>
      <c r="F1170" s="164" t="s">
        <v>4047</v>
      </c>
      <c r="G1170" s="160" t="s">
        <v>2825</v>
      </c>
      <c r="H1170" s="159">
        <v>41723603</v>
      </c>
      <c r="I1170" s="159" t="s">
        <v>3788</v>
      </c>
      <c r="J1170" s="160" t="s">
        <v>4048</v>
      </c>
      <c r="K1170" s="160" t="s">
        <v>343</v>
      </c>
      <c r="L1170" s="161">
        <v>42518</v>
      </c>
      <c r="M1170" s="161">
        <v>46659</v>
      </c>
      <c r="N1170" s="160">
        <f t="shared" ca="1" si="68"/>
        <v>-472</v>
      </c>
      <c r="O1170" s="162" t="str">
        <f t="shared" ca="1" si="69"/>
        <v>OK</v>
      </c>
      <c r="P1170" s="159" t="s">
        <v>2827</v>
      </c>
      <c r="Q1170" s="163" t="s">
        <v>312</v>
      </c>
      <c r="R1170" s="160" t="s">
        <v>317</v>
      </c>
      <c r="S1170" s="160"/>
      <c r="T1170" s="160"/>
      <c r="U1170" s="160"/>
      <c r="V1170" s="160" t="s">
        <v>334</v>
      </c>
      <c r="W1170" s="160" t="s">
        <v>2947</v>
      </c>
      <c r="X1170" s="160" t="s">
        <v>4049</v>
      </c>
    </row>
    <row r="1171" spans="1:24" ht="25.5" x14ac:dyDescent="0.2">
      <c r="A1171" s="189">
        <v>1211</v>
      </c>
      <c r="B1171" s="162" t="s">
        <v>279</v>
      </c>
      <c r="C1171" s="158">
        <v>1211</v>
      </c>
      <c r="D1171" s="160" t="str">
        <f t="shared" si="67"/>
        <v>SUPERMIX1211</v>
      </c>
      <c r="E1171" s="164" t="s">
        <v>4050</v>
      </c>
      <c r="F1171" s="164" t="s">
        <v>4051</v>
      </c>
      <c r="G1171" s="160" t="s">
        <v>2825</v>
      </c>
      <c r="H1171" s="159">
        <v>72244326</v>
      </c>
      <c r="I1171" s="159" t="s">
        <v>3788</v>
      </c>
      <c r="J1171" s="160" t="s">
        <v>4052</v>
      </c>
      <c r="K1171" s="160" t="s">
        <v>343</v>
      </c>
      <c r="L1171" s="161">
        <v>44377</v>
      </c>
      <c r="M1171" s="161">
        <v>46203</v>
      </c>
      <c r="N1171" s="160">
        <f t="shared" ca="1" si="68"/>
        <v>-16</v>
      </c>
      <c r="O1171" s="162" t="str">
        <f t="shared" ca="1" si="69"/>
        <v>OK</v>
      </c>
      <c r="P1171" s="159" t="s">
        <v>2778</v>
      </c>
      <c r="Q1171" s="163" t="s">
        <v>312</v>
      </c>
      <c r="R1171" s="160" t="s">
        <v>317</v>
      </c>
      <c r="S1171" s="160"/>
      <c r="T1171" s="160"/>
      <c r="U1171" s="160"/>
      <c r="V1171" s="160" t="s">
        <v>1939</v>
      </c>
      <c r="W1171" s="160" t="s">
        <v>3515</v>
      </c>
      <c r="X1171" s="160" t="s">
        <v>640</v>
      </c>
    </row>
    <row r="1172" spans="1:24" ht="25.5" x14ac:dyDescent="0.2">
      <c r="A1172" s="189">
        <v>1212</v>
      </c>
      <c r="B1172" s="162" t="s">
        <v>279</v>
      </c>
      <c r="C1172" s="158">
        <v>1212</v>
      </c>
      <c r="D1172" s="160" t="str">
        <f t="shared" si="67"/>
        <v>SUPERMIX1212</v>
      </c>
      <c r="E1172" s="164" t="s">
        <v>4053</v>
      </c>
      <c r="F1172" s="164" t="s">
        <v>4054</v>
      </c>
      <c r="G1172" s="160" t="s">
        <v>310</v>
      </c>
      <c r="H1172" s="159">
        <v>70403469</v>
      </c>
      <c r="I1172" s="159" t="s">
        <v>3788</v>
      </c>
      <c r="J1172" s="160" t="s">
        <v>4055</v>
      </c>
      <c r="K1172" s="160" t="s">
        <v>1954</v>
      </c>
      <c r="L1172" s="161">
        <v>44809</v>
      </c>
      <c r="M1172" s="161">
        <v>46635</v>
      </c>
      <c r="N1172" s="160">
        <f t="shared" ca="1" si="68"/>
        <v>-448</v>
      </c>
      <c r="O1172" s="162" t="str">
        <f t="shared" ca="1" si="69"/>
        <v>OK</v>
      </c>
      <c r="P1172" s="159" t="s">
        <v>3576</v>
      </c>
      <c r="Q1172" s="163" t="s">
        <v>312</v>
      </c>
      <c r="R1172" s="160" t="s">
        <v>17</v>
      </c>
      <c r="S1172" s="160"/>
      <c r="T1172" s="160"/>
      <c r="U1172" s="160"/>
      <c r="V1172" s="160" t="s">
        <v>282</v>
      </c>
      <c r="W1172" s="160" t="s">
        <v>2776</v>
      </c>
      <c r="X1172" s="160" t="s">
        <v>597</v>
      </c>
    </row>
    <row r="1173" spans="1:24" ht="25.5" x14ac:dyDescent="0.2">
      <c r="A1173" s="189">
        <v>1213</v>
      </c>
      <c r="B1173" s="162" t="s">
        <v>279</v>
      </c>
      <c r="C1173" s="158">
        <v>1213</v>
      </c>
      <c r="D1173" s="160" t="str">
        <f t="shared" ref="D1173:D1182" si="70">CONCATENATE(B1173,C1173)</f>
        <v>SUPERMIX1213</v>
      </c>
      <c r="E1173" s="164" t="s">
        <v>4056</v>
      </c>
      <c r="F1173" s="164" t="s">
        <v>803</v>
      </c>
      <c r="G1173" s="160" t="s">
        <v>2825</v>
      </c>
      <c r="H1173" s="159">
        <v>42206444</v>
      </c>
      <c r="I1173" s="159" t="s">
        <v>3788</v>
      </c>
      <c r="J1173" s="160" t="s">
        <v>4057</v>
      </c>
      <c r="K1173" s="160" t="s">
        <v>1954</v>
      </c>
      <c r="L1173" s="161">
        <v>41173</v>
      </c>
      <c r="M1173" s="161">
        <v>46317</v>
      </c>
      <c r="N1173" s="160">
        <f t="shared" ref="N1173:N1182" ca="1" si="71">TODAY()-M1173</f>
        <v>-130</v>
      </c>
      <c r="O1173" s="162" t="str">
        <f t="shared" ref="O1173:O1182" ca="1" si="72">IF(N1173&lt;-5,"OK","VENCIDA")</f>
        <v>OK</v>
      </c>
      <c r="P1173" s="159" t="s">
        <v>3576</v>
      </c>
      <c r="Q1173" s="163" t="s">
        <v>312</v>
      </c>
      <c r="R1173" s="160" t="s">
        <v>317</v>
      </c>
      <c r="S1173" s="160"/>
      <c r="T1173" s="160"/>
      <c r="U1173" s="160"/>
      <c r="V1173" s="160" t="s">
        <v>282</v>
      </c>
      <c r="W1173" s="160" t="s">
        <v>2776</v>
      </c>
      <c r="X1173" s="160" t="s">
        <v>597</v>
      </c>
    </row>
    <row r="1174" spans="1:24" ht="25.5" x14ac:dyDescent="0.2">
      <c r="A1174" s="189">
        <v>1214</v>
      </c>
      <c r="B1174" s="162" t="s">
        <v>279</v>
      </c>
      <c r="C1174" s="158">
        <v>1214</v>
      </c>
      <c r="D1174" s="160" t="str">
        <f t="shared" si="70"/>
        <v>SUPERMIX1214</v>
      </c>
      <c r="E1174" s="164" t="s">
        <v>4058</v>
      </c>
      <c r="F1174" s="164" t="s">
        <v>642</v>
      </c>
      <c r="G1174" s="160" t="s">
        <v>2825</v>
      </c>
      <c r="H1174" s="159">
        <v>71075751</v>
      </c>
      <c r="I1174" s="159" t="s">
        <v>3788</v>
      </c>
      <c r="J1174" s="160" t="s">
        <v>4059</v>
      </c>
      <c r="K1174" s="160" t="s">
        <v>1625</v>
      </c>
      <c r="L1174" s="161">
        <v>45240</v>
      </c>
      <c r="M1174" s="161">
        <v>47067</v>
      </c>
      <c r="N1174" s="160">
        <f t="shared" ca="1" si="71"/>
        <v>-880</v>
      </c>
      <c r="O1174" s="162" t="str">
        <f t="shared" ca="1" si="72"/>
        <v>OK</v>
      </c>
      <c r="P1174" s="159" t="s">
        <v>3576</v>
      </c>
      <c r="Q1174" s="163" t="s">
        <v>312</v>
      </c>
      <c r="R1174" s="160" t="s">
        <v>317</v>
      </c>
      <c r="S1174" s="160"/>
      <c r="T1174" s="160"/>
      <c r="U1174" s="160"/>
      <c r="V1174" s="160" t="s">
        <v>282</v>
      </c>
      <c r="W1174" s="160" t="s">
        <v>2776</v>
      </c>
      <c r="X1174" s="160" t="s">
        <v>597</v>
      </c>
    </row>
    <row r="1175" spans="1:24" ht="22.5" customHeight="1" x14ac:dyDescent="0.2">
      <c r="A1175" s="189">
        <v>1215</v>
      </c>
      <c r="B1175" s="162" t="s">
        <v>279</v>
      </c>
      <c r="C1175" s="158">
        <v>1215</v>
      </c>
      <c r="D1175" s="160" t="str">
        <f t="shared" si="70"/>
        <v>SUPERMIX1215</v>
      </c>
      <c r="E1175" s="164" t="s">
        <v>4060</v>
      </c>
      <c r="F1175" s="164" t="s">
        <v>20</v>
      </c>
      <c r="G1175" s="160" t="s">
        <v>2825</v>
      </c>
      <c r="H1175" s="159">
        <v>29553114</v>
      </c>
      <c r="I1175" s="159" t="s">
        <v>3788</v>
      </c>
      <c r="J1175" s="160" t="s">
        <v>4061</v>
      </c>
      <c r="K1175" s="160" t="s">
        <v>3142</v>
      </c>
      <c r="L1175" s="161">
        <v>45626</v>
      </c>
      <c r="M1175" s="161">
        <v>47553</v>
      </c>
      <c r="N1175" s="160">
        <f t="shared" ca="1" si="71"/>
        <v>-1366</v>
      </c>
      <c r="O1175" s="162" t="str">
        <f t="shared" ca="1" si="72"/>
        <v>OK</v>
      </c>
      <c r="P1175" s="159" t="s">
        <v>2827</v>
      </c>
      <c r="Q1175" s="163" t="s">
        <v>312</v>
      </c>
      <c r="R1175" s="160" t="s">
        <v>17</v>
      </c>
      <c r="S1175" s="160"/>
      <c r="T1175" s="160"/>
      <c r="U1175" s="160"/>
      <c r="V1175" s="160" t="s">
        <v>2973</v>
      </c>
      <c r="W1175" s="160" t="s">
        <v>2776</v>
      </c>
      <c r="X1175" s="160" t="s">
        <v>4062</v>
      </c>
    </row>
    <row r="1176" spans="1:24" ht="25.5" x14ac:dyDescent="0.2">
      <c r="A1176" s="189">
        <v>1216</v>
      </c>
      <c r="B1176" s="162" t="s">
        <v>279</v>
      </c>
      <c r="C1176" s="158">
        <v>1216</v>
      </c>
      <c r="D1176" s="160" t="str">
        <f t="shared" si="70"/>
        <v>SUPERMIX1216</v>
      </c>
      <c r="E1176" s="164" t="s">
        <v>4063</v>
      </c>
      <c r="F1176" s="164" t="s">
        <v>4064</v>
      </c>
      <c r="G1176" s="160" t="s">
        <v>2825</v>
      </c>
      <c r="H1176" s="159">
        <v>70286968</v>
      </c>
      <c r="I1176" s="159" t="s">
        <v>3788</v>
      </c>
      <c r="J1176" s="160" t="s">
        <v>4065</v>
      </c>
      <c r="K1176" s="160" t="s">
        <v>281</v>
      </c>
      <c r="L1176" s="161">
        <v>44753</v>
      </c>
      <c r="M1176" s="161">
        <v>45849</v>
      </c>
      <c r="N1176" s="160">
        <f t="shared" ca="1" si="71"/>
        <v>338</v>
      </c>
      <c r="O1176" s="162" t="str">
        <f t="shared" ca="1" si="72"/>
        <v>VENCIDA</v>
      </c>
      <c r="P1176" s="159" t="s">
        <v>4135</v>
      </c>
      <c r="Q1176" s="163" t="s">
        <v>312</v>
      </c>
      <c r="R1176" s="160" t="s">
        <v>317</v>
      </c>
      <c r="S1176" s="160"/>
      <c r="T1176" s="160"/>
      <c r="U1176" s="160"/>
      <c r="V1176" s="160" t="s">
        <v>1939</v>
      </c>
      <c r="W1176" s="160" t="s">
        <v>3515</v>
      </c>
      <c r="X1176" s="160" t="s">
        <v>3232</v>
      </c>
    </row>
    <row r="1177" spans="1:24" ht="25.5" x14ac:dyDescent="0.2">
      <c r="A1177" s="189">
        <v>1217</v>
      </c>
      <c r="B1177" s="162" t="s">
        <v>279</v>
      </c>
      <c r="C1177" s="158">
        <v>1217</v>
      </c>
      <c r="D1177" s="160" t="str">
        <f t="shared" si="70"/>
        <v>SUPERMIX1217</v>
      </c>
      <c r="E1177" s="164" t="s">
        <v>4066</v>
      </c>
      <c r="F1177" s="164" t="s">
        <v>4067</v>
      </c>
      <c r="G1177" s="160" t="s">
        <v>2825</v>
      </c>
      <c r="H1177" s="159">
        <v>10107450</v>
      </c>
      <c r="I1177" s="159" t="s">
        <v>3788</v>
      </c>
      <c r="J1177" s="160" t="s">
        <v>4068</v>
      </c>
      <c r="K1177" s="160" t="s">
        <v>281</v>
      </c>
      <c r="L1177" s="161">
        <v>41557</v>
      </c>
      <c r="M1177" s="161">
        <v>46657</v>
      </c>
      <c r="N1177" s="160">
        <f t="shared" ca="1" si="71"/>
        <v>-470</v>
      </c>
      <c r="O1177" s="162" t="str">
        <f t="shared" ca="1" si="72"/>
        <v>OK</v>
      </c>
      <c r="P1177" s="159" t="s">
        <v>3009</v>
      </c>
      <c r="Q1177" s="163" t="s">
        <v>312</v>
      </c>
      <c r="R1177" s="160" t="s">
        <v>17</v>
      </c>
      <c r="S1177" s="160"/>
      <c r="T1177" s="160"/>
      <c r="U1177" s="160"/>
      <c r="V1177" s="160" t="s">
        <v>282</v>
      </c>
      <c r="W1177" s="160" t="s">
        <v>2776</v>
      </c>
      <c r="X1177" s="160" t="s">
        <v>3152</v>
      </c>
    </row>
    <row r="1178" spans="1:24" ht="25.5" x14ac:dyDescent="0.2">
      <c r="A1178" s="189">
        <v>1218</v>
      </c>
      <c r="B1178" s="162" t="s">
        <v>279</v>
      </c>
      <c r="C1178" s="158">
        <v>1218</v>
      </c>
      <c r="D1178" s="160" t="str">
        <f t="shared" si="70"/>
        <v>SUPERMIX1218</v>
      </c>
      <c r="E1178" s="164" t="s">
        <v>4069</v>
      </c>
      <c r="F1178" s="164" t="s">
        <v>3223</v>
      </c>
      <c r="G1178" s="160" t="s">
        <v>2825</v>
      </c>
      <c r="H1178" s="159">
        <v>45578309</v>
      </c>
      <c r="I1178" s="159" t="s">
        <v>3788</v>
      </c>
      <c r="J1178" s="160" t="s">
        <v>4070</v>
      </c>
      <c r="K1178" s="160" t="s">
        <v>343</v>
      </c>
      <c r="L1178" s="161">
        <v>42235</v>
      </c>
      <c r="M1178" s="161">
        <v>46436</v>
      </c>
      <c r="N1178" s="160">
        <f t="shared" ca="1" si="71"/>
        <v>-249</v>
      </c>
      <c r="O1178" s="162" t="str">
        <f t="shared" ca="1" si="72"/>
        <v>OK</v>
      </c>
      <c r="P1178" s="159" t="s">
        <v>2827</v>
      </c>
      <c r="Q1178" s="163" t="s">
        <v>312</v>
      </c>
      <c r="R1178" s="160" t="s">
        <v>17</v>
      </c>
      <c r="S1178" s="160"/>
      <c r="T1178" s="160"/>
      <c r="U1178" s="160"/>
      <c r="V1178" s="160" t="s">
        <v>4071</v>
      </c>
      <c r="W1178" s="160" t="s">
        <v>2947</v>
      </c>
      <c r="X1178" s="160" t="s">
        <v>3073</v>
      </c>
    </row>
    <row r="1179" spans="1:24" ht="25.5" x14ac:dyDescent="0.2">
      <c r="A1179" s="189">
        <v>1219</v>
      </c>
      <c r="B1179" s="162" t="s">
        <v>279</v>
      </c>
      <c r="C1179" s="158">
        <v>1219</v>
      </c>
      <c r="D1179" s="160" t="str">
        <f t="shared" si="70"/>
        <v>SUPERMIX1219</v>
      </c>
      <c r="E1179" s="164" t="s">
        <v>4072</v>
      </c>
      <c r="F1179" s="164" t="s">
        <v>4073</v>
      </c>
      <c r="G1179" s="160" t="s">
        <v>2825</v>
      </c>
      <c r="H1179" s="159">
        <v>71077355</v>
      </c>
      <c r="I1179" s="159" t="s">
        <v>3788</v>
      </c>
      <c r="J1179" s="160" t="s">
        <v>4074</v>
      </c>
      <c r="K1179" s="160" t="s">
        <v>343</v>
      </c>
      <c r="L1179" s="161">
        <v>44862</v>
      </c>
      <c r="M1179" s="161">
        <v>46688</v>
      </c>
      <c r="N1179" s="160">
        <f t="shared" ca="1" si="71"/>
        <v>-501</v>
      </c>
      <c r="O1179" s="162" t="str">
        <f t="shared" ca="1" si="72"/>
        <v>OK</v>
      </c>
      <c r="P1179" s="159" t="s">
        <v>2778</v>
      </c>
      <c r="Q1179" s="163" t="s">
        <v>312</v>
      </c>
      <c r="R1179" s="160" t="s">
        <v>317</v>
      </c>
      <c r="S1179" s="160"/>
      <c r="T1179" s="160"/>
      <c r="U1179" s="160"/>
      <c r="V1179" s="160" t="s">
        <v>282</v>
      </c>
      <c r="W1179" s="160" t="s">
        <v>2776</v>
      </c>
      <c r="X1179" s="160" t="s">
        <v>640</v>
      </c>
    </row>
    <row r="1180" spans="1:24" ht="25.5" x14ac:dyDescent="0.2">
      <c r="A1180" s="189">
        <v>1220</v>
      </c>
      <c r="B1180" s="162" t="s">
        <v>279</v>
      </c>
      <c r="C1180" s="158">
        <v>1220</v>
      </c>
      <c r="D1180" s="160" t="str">
        <f t="shared" si="70"/>
        <v>SUPERMIX1220</v>
      </c>
      <c r="E1180" s="164" t="s">
        <v>4076</v>
      </c>
      <c r="F1180" s="164" t="s">
        <v>4077</v>
      </c>
      <c r="G1180" s="160" t="s">
        <v>310</v>
      </c>
      <c r="H1180" s="159">
        <v>40473489</v>
      </c>
      <c r="I1180" s="159" t="s">
        <v>3788</v>
      </c>
      <c r="J1180" s="160" t="s">
        <v>4078</v>
      </c>
      <c r="K1180" s="160" t="s">
        <v>3142</v>
      </c>
      <c r="L1180" s="161">
        <v>37070</v>
      </c>
      <c r="M1180" s="161">
        <v>46541</v>
      </c>
      <c r="N1180" s="160">
        <f t="shared" ca="1" si="71"/>
        <v>-354</v>
      </c>
      <c r="O1180" s="162" t="str">
        <f t="shared" ca="1" si="72"/>
        <v>OK</v>
      </c>
      <c r="P1180" s="159" t="s">
        <v>2827</v>
      </c>
      <c r="Q1180" s="163" t="s">
        <v>312</v>
      </c>
      <c r="R1180" s="160" t="s">
        <v>17</v>
      </c>
      <c r="S1180" s="160"/>
      <c r="T1180" s="160"/>
      <c r="U1180" s="160"/>
      <c r="V1180" s="160" t="s">
        <v>836</v>
      </c>
      <c r="W1180" s="160"/>
      <c r="X1180" s="160" t="s">
        <v>3833</v>
      </c>
    </row>
    <row r="1181" spans="1:24" ht="25.5" x14ac:dyDescent="0.2">
      <c r="A1181" s="200">
        <v>1221</v>
      </c>
      <c r="B1181" s="88" t="s">
        <v>279</v>
      </c>
      <c r="C1181" s="226">
        <v>1221</v>
      </c>
      <c r="D1181" s="61" t="str">
        <f t="shared" si="70"/>
        <v>SUPERMIX1221</v>
      </c>
      <c r="E1181" s="82" t="s">
        <v>4081</v>
      </c>
      <c r="F1181" s="82" t="s">
        <v>629</v>
      </c>
      <c r="G1181" s="61" t="s">
        <v>2825</v>
      </c>
      <c r="H1181" s="60">
        <v>40736572</v>
      </c>
      <c r="I1181" s="60"/>
      <c r="J1181" s="61" t="s">
        <v>4082</v>
      </c>
      <c r="K1181" s="61" t="s">
        <v>4221</v>
      </c>
      <c r="L1181" s="62">
        <v>44895</v>
      </c>
      <c r="M1181" s="62">
        <v>48548</v>
      </c>
      <c r="N1181" s="61">
        <f t="shared" ca="1" si="71"/>
        <v>-2361</v>
      </c>
      <c r="O1181" s="88" t="str">
        <f t="shared" ca="1" si="72"/>
        <v>OK</v>
      </c>
      <c r="P1181" s="60" t="s">
        <v>2827</v>
      </c>
      <c r="Q1181" s="90" t="s">
        <v>312</v>
      </c>
      <c r="R1181" s="61" t="s">
        <v>317</v>
      </c>
      <c r="S1181" s="160"/>
      <c r="T1181" s="160"/>
      <c r="U1181" s="160"/>
      <c r="V1181" s="61" t="s">
        <v>3185</v>
      </c>
      <c r="W1181" s="61" t="s">
        <v>3619</v>
      </c>
      <c r="X1181" s="61" t="s">
        <v>3168</v>
      </c>
    </row>
    <row r="1182" spans="1:24" ht="25.5" x14ac:dyDescent="0.2">
      <c r="A1182" s="189">
        <v>1222</v>
      </c>
      <c r="B1182" s="162" t="s">
        <v>279</v>
      </c>
      <c r="C1182" s="158">
        <v>1222</v>
      </c>
      <c r="D1182" s="160" t="str">
        <f t="shared" si="70"/>
        <v>SUPERMIX1222</v>
      </c>
      <c r="E1182" s="164" t="s">
        <v>4083</v>
      </c>
      <c r="F1182" s="164" t="s">
        <v>4084</v>
      </c>
      <c r="G1182" s="160" t="s">
        <v>2825</v>
      </c>
      <c r="H1182" s="159">
        <v>71850992</v>
      </c>
      <c r="I1182" s="159" t="s">
        <v>3788</v>
      </c>
      <c r="J1182" s="160" t="s">
        <v>4085</v>
      </c>
      <c r="K1182" s="160" t="s">
        <v>343</v>
      </c>
      <c r="L1182" s="161">
        <v>42828</v>
      </c>
      <c r="M1182" s="161">
        <v>46833</v>
      </c>
      <c r="N1182" s="160">
        <f t="shared" ca="1" si="71"/>
        <v>-646</v>
      </c>
      <c r="O1182" s="162" t="str">
        <f t="shared" ca="1" si="72"/>
        <v>OK</v>
      </c>
      <c r="P1182" s="159" t="s">
        <v>2778</v>
      </c>
      <c r="Q1182" s="163" t="s">
        <v>312</v>
      </c>
      <c r="R1182" s="160" t="s">
        <v>17</v>
      </c>
      <c r="S1182" s="160"/>
      <c r="T1182" s="160"/>
      <c r="U1182" s="160"/>
      <c r="V1182" s="160" t="s">
        <v>282</v>
      </c>
      <c r="W1182" s="160" t="s">
        <v>2776</v>
      </c>
      <c r="X1182" s="160" t="s">
        <v>640</v>
      </c>
    </row>
    <row r="1183" spans="1:24" ht="25.5" x14ac:dyDescent="0.2">
      <c r="A1183" s="200">
        <v>1223</v>
      </c>
      <c r="B1183" s="88" t="s">
        <v>279</v>
      </c>
      <c r="C1183" s="226">
        <v>1223</v>
      </c>
      <c r="D1183" s="61" t="str">
        <f t="shared" ref="D1183:D1188" si="73">CONCATENATE(B1183,C1183)</f>
        <v>SUPERMIX1223</v>
      </c>
      <c r="E1183" s="82" t="s">
        <v>4086</v>
      </c>
      <c r="F1183" s="82" t="s">
        <v>4087</v>
      </c>
      <c r="G1183" s="61" t="s">
        <v>2825</v>
      </c>
      <c r="H1183" s="60">
        <v>47050964</v>
      </c>
      <c r="I1183" s="60" t="s">
        <v>3788</v>
      </c>
      <c r="J1183" s="61" t="s">
        <v>4088</v>
      </c>
      <c r="K1183" s="61" t="s">
        <v>3142</v>
      </c>
      <c r="L1183" s="62">
        <v>45287</v>
      </c>
      <c r="M1183" s="62">
        <v>48940</v>
      </c>
      <c r="N1183" s="61">
        <f t="shared" ref="N1183:N1188" ca="1" si="74">TODAY()-M1183</f>
        <v>-2753</v>
      </c>
      <c r="O1183" s="88" t="str">
        <f t="shared" ref="O1183:O1188" ca="1" si="75">IF(N1183&lt;-5,"OK","VENCIDA")</f>
        <v>OK</v>
      </c>
      <c r="P1183" s="60" t="s">
        <v>2935</v>
      </c>
      <c r="Q1183" s="90" t="s">
        <v>312</v>
      </c>
      <c r="R1183" s="61" t="s">
        <v>317</v>
      </c>
      <c r="S1183" s="61"/>
      <c r="T1183" s="61"/>
      <c r="U1183" s="61"/>
      <c r="V1183" s="61" t="s">
        <v>334</v>
      </c>
      <c r="W1183" s="61" t="s">
        <v>2947</v>
      </c>
      <c r="X1183" s="61" t="s">
        <v>3209</v>
      </c>
    </row>
    <row r="1184" spans="1:24" ht="25.5" x14ac:dyDescent="0.2">
      <c r="A1184" s="200">
        <v>1224</v>
      </c>
      <c r="B1184" s="88" t="s">
        <v>279</v>
      </c>
      <c r="C1184" s="226">
        <v>1224</v>
      </c>
      <c r="D1184" s="61" t="str">
        <f t="shared" si="73"/>
        <v>SUPERMIX1224</v>
      </c>
      <c r="E1184" s="82" t="s">
        <v>4089</v>
      </c>
      <c r="F1184" s="82" t="s">
        <v>4090</v>
      </c>
      <c r="G1184" s="61" t="s">
        <v>2825</v>
      </c>
      <c r="H1184" s="60">
        <v>45044273</v>
      </c>
      <c r="I1184" s="60" t="s">
        <v>3788</v>
      </c>
      <c r="J1184" s="61" t="s">
        <v>4091</v>
      </c>
      <c r="K1184" s="61" t="s">
        <v>3142</v>
      </c>
      <c r="L1184" s="62">
        <v>41410</v>
      </c>
      <c r="M1184" s="62">
        <v>48385</v>
      </c>
      <c r="N1184" s="61">
        <f t="shared" ca="1" si="74"/>
        <v>-2198</v>
      </c>
      <c r="O1184" s="88" t="str">
        <f t="shared" ca="1" si="75"/>
        <v>OK</v>
      </c>
      <c r="P1184" s="60" t="s">
        <v>2827</v>
      </c>
      <c r="Q1184" s="90" t="s">
        <v>312</v>
      </c>
      <c r="R1184" s="61" t="s">
        <v>317</v>
      </c>
      <c r="S1184" s="160"/>
      <c r="T1184" s="160"/>
      <c r="U1184" s="160"/>
      <c r="V1184" s="61" t="s">
        <v>1981</v>
      </c>
      <c r="W1184" s="61" t="s">
        <v>3619</v>
      </c>
      <c r="X1184" s="61" t="s">
        <v>4092</v>
      </c>
    </row>
    <row r="1185" spans="1:24" ht="25.5" x14ac:dyDescent="0.2">
      <c r="A1185" s="189">
        <v>1225</v>
      </c>
      <c r="B1185" s="162" t="s">
        <v>279</v>
      </c>
      <c r="C1185" s="158">
        <v>1225</v>
      </c>
      <c r="D1185" s="160" t="str">
        <f t="shared" si="73"/>
        <v>SUPERMIX1225</v>
      </c>
      <c r="E1185" s="164" t="s">
        <v>4093</v>
      </c>
      <c r="F1185" s="164" t="s">
        <v>1521</v>
      </c>
      <c r="G1185" s="160" t="s">
        <v>2825</v>
      </c>
      <c r="H1185" s="159">
        <v>46522490</v>
      </c>
      <c r="I1185" s="159" t="s">
        <v>3788</v>
      </c>
      <c r="J1185" s="160" t="s">
        <v>4094</v>
      </c>
      <c r="K1185" s="160" t="s">
        <v>293</v>
      </c>
      <c r="L1185" s="161">
        <v>42248</v>
      </c>
      <c r="M1185" s="161">
        <v>46726</v>
      </c>
      <c r="N1185" s="160">
        <f t="shared" ca="1" si="74"/>
        <v>-539</v>
      </c>
      <c r="O1185" s="162" t="str">
        <f t="shared" ca="1" si="75"/>
        <v>OK</v>
      </c>
      <c r="P1185" s="159" t="s">
        <v>2847</v>
      </c>
      <c r="Q1185" s="163" t="s">
        <v>312</v>
      </c>
      <c r="R1185" s="160" t="s">
        <v>317</v>
      </c>
      <c r="S1185" s="160"/>
      <c r="T1185" s="160"/>
      <c r="U1185" s="160"/>
      <c r="V1185" s="160" t="s">
        <v>282</v>
      </c>
      <c r="W1185" s="160" t="s">
        <v>2776</v>
      </c>
      <c r="X1185" s="160" t="s">
        <v>597</v>
      </c>
    </row>
    <row r="1186" spans="1:24" ht="25.5" x14ac:dyDescent="0.2">
      <c r="A1186" s="189">
        <v>1226</v>
      </c>
      <c r="B1186" s="162" t="s">
        <v>279</v>
      </c>
      <c r="C1186" s="158">
        <v>1226</v>
      </c>
      <c r="D1186" s="160" t="str">
        <f t="shared" si="73"/>
        <v>SUPERMIX1226</v>
      </c>
      <c r="E1186" s="164" t="s">
        <v>4095</v>
      </c>
      <c r="F1186" s="164" t="s">
        <v>4096</v>
      </c>
      <c r="G1186" s="160" t="s">
        <v>2825</v>
      </c>
      <c r="H1186" s="159">
        <v>77032927</v>
      </c>
      <c r="I1186" s="159" t="s">
        <v>3788</v>
      </c>
      <c r="J1186" s="160" t="s">
        <v>4097</v>
      </c>
      <c r="K1186" s="160" t="s">
        <v>343</v>
      </c>
      <c r="L1186" s="161">
        <v>45385</v>
      </c>
      <c r="M1186" s="161">
        <v>47211</v>
      </c>
      <c r="N1186" s="160">
        <f t="shared" ca="1" si="74"/>
        <v>-1024</v>
      </c>
      <c r="O1186" s="162" t="str">
        <f t="shared" ca="1" si="75"/>
        <v>OK</v>
      </c>
      <c r="P1186" s="159" t="s">
        <v>2827</v>
      </c>
      <c r="Q1186" s="163" t="s">
        <v>312</v>
      </c>
      <c r="R1186" s="160" t="s">
        <v>317</v>
      </c>
      <c r="S1186" s="160"/>
      <c r="T1186" s="160"/>
      <c r="U1186" s="160"/>
      <c r="V1186" s="160" t="s">
        <v>282</v>
      </c>
      <c r="W1186" s="160" t="s">
        <v>2776</v>
      </c>
      <c r="X1186" s="160" t="s">
        <v>3751</v>
      </c>
    </row>
    <row r="1187" spans="1:24" ht="25.5" x14ac:dyDescent="0.2">
      <c r="A1187" s="189">
        <v>1227</v>
      </c>
      <c r="B1187" s="162" t="s">
        <v>279</v>
      </c>
      <c r="C1187" s="158">
        <v>1227</v>
      </c>
      <c r="D1187" s="160" t="str">
        <f t="shared" si="73"/>
        <v>SUPERMIX1227</v>
      </c>
      <c r="E1187" s="164" t="s">
        <v>4098</v>
      </c>
      <c r="F1187" s="164" t="s">
        <v>4099</v>
      </c>
      <c r="G1187" s="160" t="s">
        <v>2825</v>
      </c>
      <c r="H1187" s="159">
        <v>71050662</v>
      </c>
      <c r="I1187" s="159" t="s">
        <v>3788</v>
      </c>
      <c r="J1187" s="160" t="s">
        <v>4100</v>
      </c>
      <c r="K1187" s="160" t="s">
        <v>343</v>
      </c>
      <c r="L1187" s="161">
        <v>45561</v>
      </c>
      <c r="M1187" s="161">
        <v>47387</v>
      </c>
      <c r="N1187" s="160">
        <f t="shared" ca="1" si="74"/>
        <v>-1200</v>
      </c>
      <c r="O1187" s="162" t="str">
        <f t="shared" ca="1" si="75"/>
        <v>OK</v>
      </c>
      <c r="P1187" s="159" t="s">
        <v>4080</v>
      </c>
      <c r="Q1187" s="163" t="s">
        <v>312</v>
      </c>
      <c r="R1187" s="160" t="s">
        <v>317</v>
      </c>
      <c r="S1187" s="160"/>
      <c r="T1187" s="160"/>
      <c r="U1187" s="160"/>
      <c r="V1187" s="160" t="s">
        <v>329</v>
      </c>
      <c r="W1187" s="160" t="s">
        <v>700</v>
      </c>
      <c r="X1187" s="160" t="s">
        <v>2161</v>
      </c>
    </row>
    <row r="1188" spans="1:24" ht="25.5" x14ac:dyDescent="0.2">
      <c r="A1188" s="189">
        <v>1228</v>
      </c>
      <c r="B1188" s="162" t="s">
        <v>279</v>
      </c>
      <c r="C1188" s="158">
        <v>1228</v>
      </c>
      <c r="D1188" s="160" t="str">
        <f t="shared" si="73"/>
        <v>SUPERMIX1228</v>
      </c>
      <c r="E1188" s="164" t="s">
        <v>4101</v>
      </c>
      <c r="F1188" s="164" t="s">
        <v>4102</v>
      </c>
      <c r="G1188" s="160" t="s">
        <v>2825</v>
      </c>
      <c r="H1188" s="159">
        <v>70795490</v>
      </c>
      <c r="I1188" s="159" t="s">
        <v>3788</v>
      </c>
      <c r="J1188" s="160" t="s">
        <v>4103</v>
      </c>
      <c r="K1188" s="160" t="s">
        <v>293</v>
      </c>
      <c r="L1188" s="161">
        <v>42475</v>
      </c>
      <c r="M1188" s="161">
        <v>46475</v>
      </c>
      <c r="N1188" s="160">
        <f t="shared" ca="1" si="74"/>
        <v>-288</v>
      </c>
      <c r="O1188" s="162" t="str">
        <f t="shared" ca="1" si="75"/>
        <v>OK</v>
      </c>
      <c r="P1188" s="159" t="s">
        <v>2847</v>
      </c>
      <c r="Q1188" s="163" t="s">
        <v>312</v>
      </c>
      <c r="R1188" s="160" t="s">
        <v>17</v>
      </c>
      <c r="S1188" s="160"/>
      <c r="T1188" s="160"/>
      <c r="U1188" s="160"/>
      <c r="V1188" s="160" t="s">
        <v>282</v>
      </c>
      <c r="W1188" s="160" t="s">
        <v>2776</v>
      </c>
      <c r="X1188" s="160" t="s">
        <v>597</v>
      </c>
    </row>
    <row r="1189" spans="1:24" ht="25.5" x14ac:dyDescent="0.2">
      <c r="A1189" s="189">
        <v>1229</v>
      </c>
      <c r="B1189" s="162" t="s">
        <v>279</v>
      </c>
      <c r="C1189" s="158">
        <v>1229</v>
      </c>
      <c r="D1189" s="160" t="str">
        <f t="shared" ref="D1189:D1194" si="76">CONCATENATE(B1189,C1189)</f>
        <v>SUPERMIX1229</v>
      </c>
      <c r="E1189" s="164" t="s">
        <v>4104</v>
      </c>
      <c r="F1189" s="164" t="s">
        <v>4105</v>
      </c>
      <c r="G1189" s="160" t="s">
        <v>310</v>
      </c>
      <c r="H1189" s="159">
        <v>42355710</v>
      </c>
      <c r="I1189" s="159" t="s">
        <v>3788</v>
      </c>
      <c r="J1189" s="160" t="s">
        <v>4106</v>
      </c>
      <c r="K1189" s="160" t="s">
        <v>368</v>
      </c>
      <c r="L1189" s="161">
        <v>41067</v>
      </c>
      <c r="M1189" s="161">
        <v>46247</v>
      </c>
      <c r="N1189" s="160">
        <f t="shared" ref="N1189:N1194" ca="1" si="77">TODAY()-M1189</f>
        <v>-60</v>
      </c>
      <c r="O1189" s="162" t="str">
        <f t="shared" ref="O1189:O1194" ca="1" si="78">IF(N1189&lt;-5,"OK","VENCIDA")</f>
        <v>OK</v>
      </c>
      <c r="P1189" s="159" t="s">
        <v>2935</v>
      </c>
      <c r="Q1189" s="163" t="s">
        <v>312</v>
      </c>
      <c r="R1189" s="160" t="s">
        <v>317</v>
      </c>
      <c r="S1189" s="160"/>
      <c r="T1189" s="160"/>
      <c r="U1189" s="160"/>
      <c r="V1189" s="160" t="s">
        <v>329</v>
      </c>
      <c r="W1189" s="160" t="s">
        <v>511</v>
      </c>
      <c r="X1189" s="160" t="s">
        <v>2161</v>
      </c>
    </row>
    <row r="1190" spans="1:24" ht="25.5" x14ac:dyDescent="0.2">
      <c r="A1190" s="189">
        <v>1230</v>
      </c>
      <c r="B1190" s="162" t="s">
        <v>279</v>
      </c>
      <c r="C1190" s="158">
        <v>1230</v>
      </c>
      <c r="D1190" s="160" t="str">
        <f t="shared" si="76"/>
        <v>SUPERMIX1230</v>
      </c>
      <c r="E1190" s="164" t="s">
        <v>4107</v>
      </c>
      <c r="F1190" s="164" t="s">
        <v>4108</v>
      </c>
      <c r="G1190" s="160" t="s">
        <v>310</v>
      </c>
      <c r="H1190" s="159">
        <v>29680102</v>
      </c>
      <c r="I1190" s="159" t="s">
        <v>3788</v>
      </c>
      <c r="J1190" s="160" t="s">
        <v>4109</v>
      </c>
      <c r="K1190" s="160" t="s">
        <v>281</v>
      </c>
      <c r="L1190" s="161">
        <v>41886</v>
      </c>
      <c r="M1190" s="161">
        <v>46393</v>
      </c>
      <c r="N1190" s="160">
        <f t="shared" ca="1" si="77"/>
        <v>-206</v>
      </c>
      <c r="O1190" s="162" t="str">
        <f t="shared" ca="1" si="78"/>
        <v>OK</v>
      </c>
      <c r="P1190" s="159" t="s">
        <v>2847</v>
      </c>
      <c r="Q1190" s="163" t="s">
        <v>312</v>
      </c>
      <c r="R1190" s="160" t="s">
        <v>317</v>
      </c>
      <c r="S1190" s="160"/>
      <c r="T1190" s="160"/>
      <c r="U1190" s="160"/>
      <c r="V1190" s="160" t="s">
        <v>282</v>
      </c>
      <c r="W1190" s="160" t="s">
        <v>1017</v>
      </c>
      <c r="X1190" s="160" t="s">
        <v>597</v>
      </c>
    </row>
    <row r="1191" spans="1:24" ht="25.5" x14ac:dyDescent="0.2">
      <c r="A1191" s="189">
        <v>1231</v>
      </c>
      <c r="B1191" s="162" t="s">
        <v>279</v>
      </c>
      <c r="C1191" s="158">
        <v>1231</v>
      </c>
      <c r="D1191" s="160" t="str">
        <f t="shared" si="76"/>
        <v>SUPERMIX1231</v>
      </c>
      <c r="E1191" s="164" t="s">
        <v>4110</v>
      </c>
      <c r="F1191" s="164" t="s">
        <v>4111</v>
      </c>
      <c r="G1191" s="160" t="s">
        <v>2825</v>
      </c>
      <c r="H1191" s="159">
        <v>70545043</v>
      </c>
      <c r="I1191" s="159" t="s">
        <v>3788</v>
      </c>
      <c r="J1191" s="160" t="s">
        <v>4112</v>
      </c>
      <c r="K1191" s="160" t="s">
        <v>3142</v>
      </c>
      <c r="L1191" s="161">
        <v>43714</v>
      </c>
      <c r="M1191" s="161">
        <v>47367</v>
      </c>
      <c r="N1191" s="160">
        <f t="shared" ca="1" si="77"/>
        <v>-1180</v>
      </c>
      <c r="O1191" s="162" t="str">
        <f t="shared" ca="1" si="78"/>
        <v>OK</v>
      </c>
      <c r="P1191" s="159" t="s">
        <v>2827</v>
      </c>
      <c r="Q1191" s="163" t="s">
        <v>312</v>
      </c>
      <c r="R1191" s="160" t="s">
        <v>317</v>
      </c>
      <c r="S1191" s="160"/>
      <c r="T1191" s="160"/>
      <c r="U1191" s="160"/>
      <c r="V1191" s="160" t="s">
        <v>282</v>
      </c>
      <c r="W1191" s="160" t="s">
        <v>850</v>
      </c>
      <c r="X1191" s="160" t="s">
        <v>4113</v>
      </c>
    </row>
    <row r="1192" spans="1:24" ht="25.5" x14ac:dyDescent="0.2">
      <c r="A1192" s="189">
        <v>1232</v>
      </c>
      <c r="B1192" s="162" t="s">
        <v>279</v>
      </c>
      <c r="C1192" s="158">
        <v>1232</v>
      </c>
      <c r="D1192" s="160" t="str">
        <f t="shared" si="76"/>
        <v>SUPERMIX1232</v>
      </c>
      <c r="E1192" s="164" t="s">
        <v>4114</v>
      </c>
      <c r="F1192" s="164" t="s">
        <v>1596</v>
      </c>
      <c r="G1192" s="160" t="s">
        <v>2825</v>
      </c>
      <c r="H1192" s="159">
        <v>46807406</v>
      </c>
      <c r="I1192" s="159" t="s">
        <v>3788</v>
      </c>
      <c r="J1192" s="160" t="s">
        <v>4115</v>
      </c>
      <c r="K1192" s="160" t="s">
        <v>281</v>
      </c>
      <c r="L1192" s="161">
        <v>43579</v>
      </c>
      <c r="M1192" s="161">
        <v>45880</v>
      </c>
      <c r="N1192" s="160">
        <f t="shared" ca="1" si="77"/>
        <v>307</v>
      </c>
      <c r="O1192" s="162" t="str">
        <f t="shared" ca="1" si="78"/>
        <v>VENCIDA</v>
      </c>
      <c r="P1192" s="159" t="s">
        <v>2790</v>
      </c>
      <c r="Q1192" s="163" t="s">
        <v>312</v>
      </c>
      <c r="R1192" s="160" t="s">
        <v>317</v>
      </c>
      <c r="S1192" s="160"/>
      <c r="T1192" s="160"/>
      <c r="U1192" s="160"/>
      <c r="V1192" s="160" t="s">
        <v>1939</v>
      </c>
      <c r="W1192" s="160" t="s">
        <v>3515</v>
      </c>
      <c r="X1192" s="160" t="s">
        <v>624</v>
      </c>
    </row>
    <row r="1193" spans="1:24" ht="25.5" x14ac:dyDescent="0.2">
      <c r="A1193" s="200">
        <v>1233</v>
      </c>
      <c r="B1193" s="88" t="s">
        <v>279</v>
      </c>
      <c r="C1193" s="226">
        <v>1233</v>
      </c>
      <c r="D1193" s="61" t="str">
        <f t="shared" si="76"/>
        <v>SUPERMIX1233</v>
      </c>
      <c r="E1193" s="82" t="s">
        <v>4116</v>
      </c>
      <c r="F1193" s="82" t="s">
        <v>4117</v>
      </c>
      <c r="G1193" s="61" t="s">
        <v>2825</v>
      </c>
      <c r="H1193" s="60">
        <v>70345181</v>
      </c>
      <c r="I1193" s="60" t="s">
        <v>3788</v>
      </c>
      <c r="J1193" s="61" t="s">
        <v>4118</v>
      </c>
      <c r="K1193" s="61" t="s">
        <v>3142</v>
      </c>
      <c r="L1193" s="62">
        <v>44368</v>
      </c>
      <c r="M1193" s="62">
        <v>48020</v>
      </c>
      <c r="N1193" s="61">
        <f t="shared" ca="1" si="77"/>
        <v>-1833</v>
      </c>
      <c r="O1193" s="88" t="str">
        <f t="shared" ca="1" si="78"/>
        <v>OK</v>
      </c>
      <c r="P1193" s="60" t="s">
        <v>2827</v>
      </c>
      <c r="Q1193" s="90" t="s">
        <v>312</v>
      </c>
      <c r="R1193" s="61" t="s">
        <v>17</v>
      </c>
      <c r="S1193" s="160"/>
      <c r="T1193" s="160"/>
      <c r="U1193" s="160"/>
      <c r="V1193" s="61" t="s">
        <v>3185</v>
      </c>
      <c r="W1193" s="61" t="s">
        <v>3619</v>
      </c>
      <c r="X1193" s="61" t="s">
        <v>3168</v>
      </c>
    </row>
    <row r="1194" spans="1:24" ht="25.5" x14ac:dyDescent="0.2">
      <c r="A1194" s="189">
        <v>1234</v>
      </c>
      <c r="B1194" s="162" t="s">
        <v>279</v>
      </c>
      <c r="C1194" s="158">
        <v>1234</v>
      </c>
      <c r="D1194" s="160" t="str">
        <f t="shared" si="76"/>
        <v>SUPERMIX1234</v>
      </c>
      <c r="E1194" s="164" t="s">
        <v>4119</v>
      </c>
      <c r="F1194" s="164" t="s">
        <v>4120</v>
      </c>
      <c r="G1194" s="160" t="s">
        <v>2825</v>
      </c>
      <c r="H1194" s="159">
        <v>42161277</v>
      </c>
      <c r="I1194" s="159" t="s">
        <v>3788</v>
      </c>
      <c r="J1194" s="160" t="s">
        <v>4121</v>
      </c>
      <c r="K1194" s="216" t="s">
        <v>4176</v>
      </c>
      <c r="L1194" s="161">
        <v>42499</v>
      </c>
      <c r="M1194" s="161">
        <v>46446</v>
      </c>
      <c r="N1194" s="160">
        <f t="shared" ca="1" si="77"/>
        <v>-259</v>
      </c>
      <c r="O1194" s="162" t="str">
        <f t="shared" ca="1" si="78"/>
        <v>OK</v>
      </c>
      <c r="P1194" s="159" t="s">
        <v>4177</v>
      </c>
      <c r="Q1194" s="163" t="s">
        <v>312</v>
      </c>
      <c r="R1194" s="160" t="s">
        <v>317</v>
      </c>
      <c r="S1194" s="160"/>
      <c r="T1194" s="160"/>
      <c r="U1194" s="160"/>
      <c r="V1194" s="160" t="s">
        <v>282</v>
      </c>
      <c r="W1194" s="160" t="s">
        <v>1601</v>
      </c>
      <c r="X1194" s="160" t="s">
        <v>597</v>
      </c>
    </row>
    <row r="1195" spans="1:24" ht="25.5" x14ac:dyDescent="0.2">
      <c r="A1195" s="189">
        <v>1235</v>
      </c>
      <c r="B1195" s="162" t="s">
        <v>279</v>
      </c>
      <c r="C1195" s="158">
        <v>1235</v>
      </c>
      <c r="D1195" s="160" t="str">
        <f t="shared" ref="D1195:D1196" si="79">CONCATENATE(B1195,C1195)</f>
        <v>SUPERMIX1235</v>
      </c>
      <c r="E1195" s="164" t="s">
        <v>4140</v>
      </c>
      <c r="F1195" s="164" t="s">
        <v>4122</v>
      </c>
      <c r="G1195" s="160" t="s">
        <v>2825</v>
      </c>
      <c r="H1195" s="159">
        <v>70395726</v>
      </c>
      <c r="I1195" s="159" t="s">
        <v>3788</v>
      </c>
      <c r="J1195" s="160" t="s">
        <v>4123</v>
      </c>
      <c r="K1195" s="160" t="s">
        <v>3142</v>
      </c>
      <c r="L1195" s="161">
        <v>44908</v>
      </c>
      <c r="M1195" s="161">
        <v>48561</v>
      </c>
      <c r="N1195" s="160">
        <f t="shared" ref="N1195:N1196" ca="1" si="80">TODAY()-M1195</f>
        <v>-2374</v>
      </c>
      <c r="O1195" s="162" t="str">
        <f t="shared" ref="O1195:O1196" ca="1" si="81">IF(N1195&lt;-5,"OK","VENCIDA")</f>
        <v>OK</v>
      </c>
      <c r="P1195" s="159" t="s">
        <v>2935</v>
      </c>
      <c r="Q1195" s="163" t="s">
        <v>312</v>
      </c>
      <c r="R1195" s="160" t="s">
        <v>317</v>
      </c>
      <c r="S1195" s="160"/>
      <c r="T1195" s="160"/>
      <c r="U1195" s="160"/>
      <c r="V1195" s="160" t="s">
        <v>329</v>
      </c>
      <c r="W1195" s="160" t="s">
        <v>511</v>
      </c>
      <c r="X1195" s="160" t="s">
        <v>4124</v>
      </c>
    </row>
    <row r="1196" spans="1:24" ht="25.5" x14ac:dyDescent="0.2">
      <c r="A1196" s="200">
        <v>1236</v>
      </c>
      <c r="B1196" s="88" t="s">
        <v>279</v>
      </c>
      <c r="C1196" s="226">
        <v>1236</v>
      </c>
      <c r="D1196" s="61" t="str">
        <f t="shared" si="79"/>
        <v>SUPERMIX1236</v>
      </c>
      <c r="E1196" s="82" t="s">
        <v>4125</v>
      </c>
      <c r="F1196" s="82" t="s">
        <v>4126</v>
      </c>
      <c r="G1196" s="61" t="s">
        <v>2825</v>
      </c>
      <c r="H1196" s="60">
        <v>40803385</v>
      </c>
      <c r="I1196" s="60" t="s">
        <v>3788</v>
      </c>
      <c r="J1196" s="61" t="s">
        <v>4127</v>
      </c>
      <c r="K1196" s="61" t="s">
        <v>368</v>
      </c>
      <c r="L1196" s="62">
        <v>42774</v>
      </c>
      <c r="M1196" s="62">
        <v>46580</v>
      </c>
      <c r="N1196" s="61">
        <f t="shared" ca="1" si="80"/>
        <v>-393</v>
      </c>
      <c r="O1196" s="88" t="str">
        <f t="shared" ca="1" si="81"/>
        <v>OK</v>
      </c>
      <c r="P1196" s="60" t="s">
        <v>2827</v>
      </c>
      <c r="Q1196" s="90" t="s">
        <v>312</v>
      </c>
      <c r="R1196" s="61" t="s">
        <v>17</v>
      </c>
      <c r="S1196" s="61"/>
      <c r="T1196" s="61"/>
      <c r="U1196" s="61"/>
      <c r="V1196" s="61" t="s">
        <v>1981</v>
      </c>
      <c r="W1196" s="61" t="s">
        <v>3619</v>
      </c>
      <c r="X1196" s="61" t="s">
        <v>4128</v>
      </c>
    </row>
    <row r="1197" spans="1:24" ht="25.5" x14ac:dyDescent="0.2">
      <c r="A1197" s="189">
        <v>1237</v>
      </c>
      <c r="B1197" s="162" t="s">
        <v>279</v>
      </c>
      <c r="C1197" s="158">
        <v>1237</v>
      </c>
      <c r="D1197" s="160" t="str">
        <f>CONCATENATE(B1197,C1197)</f>
        <v>SUPERMIX1237</v>
      </c>
      <c r="E1197" s="164" t="s">
        <v>4129</v>
      </c>
      <c r="F1197" s="164" t="s">
        <v>4130</v>
      </c>
      <c r="G1197" s="160" t="s">
        <v>341</v>
      </c>
      <c r="H1197" s="159">
        <v>48557922</v>
      </c>
      <c r="I1197" s="159" t="s">
        <v>3788</v>
      </c>
      <c r="J1197" s="160" t="s">
        <v>4131</v>
      </c>
      <c r="K1197" s="160" t="s">
        <v>281</v>
      </c>
      <c r="L1197" s="161">
        <v>44608</v>
      </c>
      <c r="M1197" s="161">
        <v>46434</v>
      </c>
      <c r="N1197" s="160">
        <f ca="1">TODAY()-M1197</f>
        <v>-247</v>
      </c>
      <c r="O1197" s="162" t="str">
        <f ca="1">IF(N1197&lt;-5,"OK","VENCIDA")</f>
        <v>OK</v>
      </c>
      <c r="P1197" s="159" t="s">
        <v>2847</v>
      </c>
      <c r="Q1197" s="163" t="s">
        <v>312</v>
      </c>
      <c r="R1197" s="160" t="s">
        <v>317</v>
      </c>
      <c r="S1197" s="160"/>
      <c r="T1197" s="160"/>
      <c r="U1197" s="160"/>
      <c r="V1197" s="160" t="s">
        <v>282</v>
      </c>
      <c r="W1197" s="160" t="s">
        <v>2776</v>
      </c>
      <c r="X1197" s="160" t="s">
        <v>597</v>
      </c>
    </row>
    <row r="1198" spans="1:24" ht="25.5" x14ac:dyDescent="0.2">
      <c r="A1198" s="189">
        <v>1238</v>
      </c>
      <c r="B1198" s="162" t="s">
        <v>279</v>
      </c>
      <c r="C1198" s="158">
        <v>1238</v>
      </c>
      <c r="D1198" s="160" t="str">
        <f t="shared" ref="D1198:D1200" si="82">CONCATENATE(B1198,C1198)</f>
        <v>SUPERMIX1238</v>
      </c>
      <c r="E1198" s="164" t="s">
        <v>4132</v>
      </c>
      <c r="F1198" s="164" t="s">
        <v>4133</v>
      </c>
      <c r="G1198" s="160" t="s">
        <v>2825</v>
      </c>
      <c r="H1198" s="159">
        <v>47815115</v>
      </c>
      <c r="I1198" s="159" t="s">
        <v>3788</v>
      </c>
      <c r="J1198" s="160" t="s">
        <v>4134</v>
      </c>
      <c r="K1198" s="160" t="s">
        <v>281</v>
      </c>
      <c r="L1198" s="161">
        <v>44566</v>
      </c>
      <c r="M1198" s="161">
        <v>46027</v>
      </c>
      <c r="N1198" s="160">
        <f t="shared" ref="N1198:N1199" ca="1" si="83">TODAY()-M1198</f>
        <v>160</v>
      </c>
      <c r="O1198" s="162" t="str">
        <f t="shared" ref="O1198:O1199" ca="1" si="84">IF(N1198&lt;-5,"OK","VENCIDA")</f>
        <v>VENCIDA</v>
      </c>
      <c r="P1198" s="159" t="s">
        <v>2847</v>
      </c>
      <c r="Q1198" s="163" t="s">
        <v>312</v>
      </c>
      <c r="R1198" s="160" t="s">
        <v>17</v>
      </c>
      <c r="S1198" s="160"/>
      <c r="T1198" s="160"/>
      <c r="U1198" s="160"/>
      <c r="V1198" s="160"/>
      <c r="W1198" s="160" t="s">
        <v>2776</v>
      </c>
      <c r="X1198" s="160" t="s">
        <v>597</v>
      </c>
    </row>
    <row r="1199" spans="1:24" ht="25.5" x14ac:dyDescent="0.2">
      <c r="A1199" s="189">
        <v>1239</v>
      </c>
      <c r="B1199" s="162" t="s">
        <v>279</v>
      </c>
      <c r="C1199" s="158">
        <v>1239</v>
      </c>
      <c r="D1199" s="160" t="str">
        <f t="shared" si="82"/>
        <v>SUPERMIX1239</v>
      </c>
      <c r="E1199" s="164" t="s">
        <v>4137</v>
      </c>
      <c r="F1199" s="164" t="s">
        <v>4138</v>
      </c>
      <c r="G1199" s="160" t="s">
        <v>2825</v>
      </c>
      <c r="H1199" s="159">
        <v>46527712</v>
      </c>
      <c r="I1199" s="159" t="s">
        <v>3788</v>
      </c>
      <c r="J1199" s="160" t="s">
        <v>4139</v>
      </c>
      <c r="K1199" s="160" t="s">
        <v>281</v>
      </c>
      <c r="L1199" s="161">
        <v>43476</v>
      </c>
      <c r="M1199" s="161">
        <v>46358</v>
      </c>
      <c r="N1199" s="160">
        <f t="shared" ca="1" si="83"/>
        <v>-171</v>
      </c>
      <c r="O1199" s="162" t="str">
        <f t="shared" ca="1" si="84"/>
        <v>OK</v>
      </c>
      <c r="P1199" s="159" t="s">
        <v>2790</v>
      </c>
      <c r="Q1199" s="163" t="s">
        <v>312</v>
      </c>
      <c r="R1199" s="160" t="s">
        <v>317</v>
      </c>
      <c r="S1199" s="160"/>
      <c r="T1199" s="160"/>
      <c r="U1199" s="160"/>
      <c r="V1199" s="160" t="s">
        <v>1939</v>
      </c>
      <c r="W1199" s="160" t="s">
        <v>3515</v>
      </c>
      <c r="X1199" s="160" t="s">
        <v>624</v>
      </c>
    </row>
    <row r="1200" spans="1:24" ht="25.5" x14ac:dyDescent="0.2">
      <c r="A1200" s="189">
        <v>1240</v>
      </c>
      <c r="B1200" s="162" t="s">
        <v>279</v>
      </c>
      <c r="C1200" s="158">
        <v>1240</v>
      </c>
      <c r="D1200" s="160" t="str">
        <f t="shared" si="82"/>
        <v>SUPERMIX1240</v>
      </c>
      <c r="E1200" s="164" t="s">
        <v>4141</v>
      </c>
      <c r="F1200" s="164" t="s">
        <v>4142</v>
      </c>
      <c r="G1200" s="160" t="s">
        <v>2825</v>
      </c>
      <c r="H1200" s="159">
        <v>45206997</v>
      </c>
      <c r="I1200" s="159" t="s">
        <v>3788</v>
      </c>
      <c r="J1200" s="160" t="s">
        <v>4143</v>
      </c>
      <c r="K1200" s="160" t="s">
        <v>3142</v>
      </c>
      <c r="L1200" s="161">
        <v>44691</v>
      </c>
      <c r="M1200" s="161">
        <v>48344</v>
      </c>
      <c r="N1200" s="160">
        <f t="shared" ref="N1200:N1206" ca="1" si="85">TODAY()-M1200</f>
        <v>-2157</v>
      </c>
      <c r="O1200" s="162" t="str">
        <f t="shared" ref="O1200:O1206" ca="1" si="86">IF(N1200&lt;-5,"OK","VENCIDA")</f>
        <v>OK</v>
      </c>
      <c r="P1200" s="159" t="s">
        <v>2827</v>
      </c>
      <c r="Q1200" s="163" t="s">
        <v>312</v>
      </c>
      <c r="R1200" s="160" t="s">
        <v>317</v>
      </c>
      <c r="S1200" s="160"/>
      <c r="T1200" s="160"/>
      <c r="U1200" s="160"/>
      <c r="V1200" s="160" t="s">
        <v>282</v>
      </c>
      <c r="W1200" s="160" t="s">
        <v>2776</v>
      </c>
      <c r="X1200" s="160" t="s">
        <v>2913</v>
      </c>
    </row>
    <row r="1201" spans="1:24" ht="25.5" x14ac:dyDescent="0.2">
      <c r="A1201" s="200">
        <v>1241</v>
      </c>
      <c r="B1201" s="88" t="s">
        <v>279</v>
      </c>
      <c r="C1201" s="226">
        <v>1241</v>
      </c>
      <c r="D1201" s="61" t="str">
        <f t="shared" ref="D1201:D1207" si="87">CONCATENATE(B1201,C1201)</f>
        <v>SUPERMIX1241</v>
      </c>
      <c r="E1201" s="82" t="s">
        <v>4146</v>
      </c>
      <c r="F1201" s="82" t="s">
        <v>623</v>
      </c>
      <c r="G1201" s="61" t="s">
        <v>310</v>
      </c>
      <c r="H1201" s="60">
        <v>29409336</v>
      </c>
      <c r="I1201" s="60"/>
      <c r="J1201" s="61" t="s">
        <v>4147</v>
      </c>
      <c r="K1201" s="61" t="s">
        <v>368</v>
      </c>
      <c r="L1201" s="62">
        <v>42215</v>
      </c>
      <c r="M1201" s="62">
        <v>46800</v>
      </c>
      <c r="N1201" s="61">
        <f t="shared" ca="1" si="85"/>
        <v>-613</v>
      </c>
      <c r="O1201" s="88" t="str">
        <f t="shared" ca="1" si="86"/>
        <v>OK</v>
      </c>
      <c r="P1201" s="60" t="s">
        <v>2827</v>
      </c>
      <c r="Q1201" s="90" t="s">
        <v>312</v>
      </c>
      <c r="R1201" s="61" t="s">
        <v>317</v>
      </c>
      <c r="S1201" s="160"/>
      <c r="T1201" s="160"/>
      <c r="U1201" s="160"/>
      <c r="V1201" s="61" t="s">
        <v>3185</v>
      </c>
      <c r="W1201" s="61" t="s">
        <v>3619</v>
      </c>
      <c r="X1201" s="61" t="s">
        <v>2866</v>
      </c>
    </row>
    <row r="1202" spans="1:24" ht="25.5" x14ac:dyDescent="0.2">
      <c r="A1202" s="189">
        <v>1242</v>
      </c>
      <c r="B1202" s="162" t="s">
        <v>279</v>
      </c>
      <c r="C1202" s="158">
        <v>1242</v>
      </c>
      <c r="D1202" s="160" t="str">
        <f t="shared" si="87"/>
        <v>SUPERMIX1242</v>
      </c>
      <c r="E1202" s="164" t="s">
        <v>4148</v>
      </c>
      <c r="F1202" s="164" t="s">
        <v>359</v>
      </c>
      <c r="G1202" s="160" t="s">
        <v>2825</v>
      </c>
      <c r="H1202" s="159">
        <v>43890815</v>
      </c>
      <c r="I1202" s="159" t="s">
        <v>3788</v>
      </c>
      <c r="J1202" s="160" t="s">
        <v>4149</v>
      </c>
      <c r="K1202" s="160" t="s">
        <v>281</v>
      </c>
      <c r="L1202" s="161">
        <v>43196</v>
      </c>
      <c r="M1202" s="161">
        <v>46226</v>
      </c>
      <c r="N1202" s="160">
        <f t="shared" ca="1" si="85"/>
        <v>-39</v>
      </c>
      <c r="O1202" s="162" t="str">
        <f t="shared" ca="1" si="86"/>
        <v>OK</v>
      </c>
      <c r="P1202" s="159" t="s">
        <v>2790</v>
      </c>
      <c r="Q1202" s="163" t="s">
        <v>312</v>
      </c>
      <c r="R1202" s="160" t="s">
        <v>17</v>
      </c>
      <c r="S1202" s="160"/>
      <c r="T1202" s="160"/>
      <c r="U1202" s="160"/>
      <c r="V1202" s="160" t="s">
        <v>1939</v>
      </c>
      <c r="W1202" s="160" t="s">
        <v>3515</v>
      </c>
      <c r="X1202" s="160" t="s">
        <v>624</v>
      </c>
    </row>
    <row r="1203" spans="1:24" ht="25.5" x14ac:dyDescent="0.2">
      <c r="A1203" s="189">
        <v>1243</v>
      </c>
      <c r="B1203" s="162" t="s">
        <v>279</v>
      </c>
      <c r="C1203" s="158">
        <v>1243</v>
      </c>
      <c r="D1203" s="160" t="str">
        <f t="shared" si="87"/>
        <v>SUPERMIX1243</v>
      </c>
      <c r="E1203" s="164" t="s">
        <v>4150</v>
      </c>
      <c r="F1203" s="164" t="s">
        <v>4151</v>
      </c>
      <c r="G1203" s="160" t="s">
        <v>2825</v>
      </c>
      <c r="H1203" s="159">
        <v>30666605</v>
      </c>
      <c r="I1203" s="159" t="s">
        <v>3788</v>
      </c>
      <c r="J1203" s="160" t="s">
        <v>4152</v>
      </c>
      <c r="K1203" s="160" t="s">
        <v>281</v>
      </c>
      <c r="L1203" s="161">
        <v>41675</v>
      </c>
      <c r="M1203" s="161">
        <v>47517</v>
      </c>
      <c r="N1203" s="160">
        <f t="shared" ca="1" si="85"/>
        <v>-1330</v>
      </c>
      <c r="O1203" s="162" t="str">
        <f t="shared" ca="1" si="86"/>
        <v>OK</v>
      </c>
      <c r="P1203" s="159" t="s">
        <v>2847</v>
      </c>
      <c r="Q1203" s="163" t="s">
        <v>312</v>
      </c>
      <c r="R1203" s="160" t="s">
        <v>317</v>
      </c>
      <c r="S1203" s="160"/>
      <c r="T1203" s="160"/>
      <c r="U1203" s="160"/>
      <c r="V1203" s="160" t="s">
        <v>282</v>
      </c>
      <c r="W1203" s="160" t="s">
        <v>1017</v>
      </c>
      <c r="X1203" s="160" t="s">
        <v>597</v>
      </c>
    </row>
    <row r="1204" spans="1:24" ht="25.5" x14ac:dyDescent="0.2">
      <c r="A1204" s="198">
        <v>1244</v>
      </c>
      <c r="B1204" s="162" t="s">
        <v>279</v>
      </c>
      <c r="C1204" s="184">
        <v>1244</v>
      </c>
      <c r="D1204" s="186" t="str">
        <f t="shared" si="87"/>
        <v>SUPERMIX1244</v>
      </c>
      <c r="E1204" s="199" t="s">
        <v>4153</v>
      </c>
      <c r="F1204" s="199" t="s">
        <v>4154</v>
      </c>
      <c r="G1204" s="160" t="s">
        <v>2825</v>
      </c>
      <c r="H1204" s="185">
        <v>42816676</v>
      </c>
      <c r="I1204" s="185" t="s">
        <v>3788</v>
      </c>
      <c r="J1204" s="186" t="s">
        <v>4155</v>
      </c>
      <c r="K1204" s="160" t="s">
        <v>281</v>
      </c>
      <c r="L1204" s="187">
        <v>42065</v>
      </c>
      <c r="M1204" s="187">
        <v>46097</v>
      </c>
      <c r="N1204" s="186">
        <f t="shared" ca="1" si="85"/>
        <v>90</v>
      </c>
      <c r="O1204" s="188" t="str">
        <f t="shared" ca="1" si="86"/>
        <v>VENCIDA</v>
      </c>
      <c r="P1204" s="159" t="s">
        <v>3892</v>
      </c>
      <c r="Q1204" s="163" t="s">
        <v>312</v>
      </c>
      <c r="R1204" s="160" t="s">
        <v>317</v>
      </c>
      <c r="S1204" s="186"/>
      <c r="T1204" s="186"/>
      <c r="U1204" s="186"/>
      <c r="V1204" s="160" t="s">
        <v>282</v>
      </c>
      <c r="W1204" s="160" t="s">
        <v>1017</v>
      </c>
      <c r="X1204" s="186" t="s">
        <v>4044</v>
      </c>
    </row>
    <row r="1205" spans="1:24" ht="25.5" x14ac:dyDescent="0.2">
      <c r="A1205" s="198">
        <v>1245</v>
      </c>
      <c r="B1205" s="162" t="s">
        <v>279</v>
      </c>
      <c r="C1205" s="184">
        <v>1245</v>
      </c>
      <c r="D1205" s="186" t="str">
        <f t="shared" si="87"/>
        <v>SUPERMIX1245</v>
      </c>
      <c r="E1205" s="164" t="s">
        <v>4156</v>
      </c>
      <c r="F1205" s="164" t="s">
        <v>4157</v>
      </c>
      <c r="G1205" s="160" t="s">
        <v>2825</v>
      </c>
      <c r="H1205" s="185">
        <v>42693579</v>
      </c>
      <c r="I1205" s="159" t="s">
        <v>3788</v>
      </c>
      <c r="J1205" s="160" t="s">
        <v>4158</v>
      </c>
      <c r="K1205" s="160" t="s">
        <v>281</v>
      </c>
      <c r="L1205" s="187">
        <v>41428</v>
      </c>
      <c r="M1205" s="187">
        <v>45980</v>
      </c>
      <c r="N1205" s="186">
        <f t="shared" ca="1" si="85"/>
        <v>207</v>
      </c>
      <c r="O1205" s="188" t="str">
        <f t="shared" ca="1" si="86"/>
        <v>VENCIDA</v>
      </c>
      <c r="P1205" s="159" t="s">
        <v>2847</v>
      </c>
      <c r="Q1205" s="163" t="s">
        <v>312</v>
      </c>
      <c r="R1205" s="160" t="s">
        <v>17</v>
      </c>
      <c r="S1205" s="186"/>
      <c r="T1205" s="186"/>
      <c r="U1205" s="186"/>
      <c r="V1205" s="160" t="s">
        <v>282</v>
      </c>
      <c r="W1205" s="160" t="s">
        <v>1017</v>
      </c>
      <c r="X1205" s="160" t="s">
        <v>597</v>
      </c>
    </row>
    <row r="1206" spans="1:24" ht="25.5" x14ac:dyDescent="0.2">
      <c r="A1206" s="198">
        <v>1246</v>
      </c>
      <c r="B1206" s="162" t="s">
        <v>279</v>
      </c>
      <c r="C1206" s="184">
        <v>1246</v>
      </c>
      <c r="D1206" s="186" t="str">
        <f t="shared" si="87"/>
        <v>SUPERMIX1246</v>
      </c>
      <c r="E1206" s="164" t="s">
        <v>4159</v>
      </c>
      <c r="F1206" s="164" t="s">
        <v>609</v>
      </c>
      <c r="G1206" s="160" t="s">
        <v>2825</v>
      </c>
      <c r="H1206" s="185">
        <v>42130049</v>
      </c>
      <c r="I1206" s="159" t="s">
        <v>3788</v>
      </c>
      <c r="J1206" s="160" t="s">
        <v>4160</v>
      </c>
      <c r="K1206" s="160" t="s">
        <v>281</v>
      </c>
      <c r="L1206" s="187">
        <v>41150</v>
      </c>
      <c r="M1206" s="187">
        <v>46741</v>
      </c>
      <c r="N1206" s="186">
        <f t="shared" ca="1" si="85"/>
        <v>-554</v>
      </c>
      <c r="O1206" s="188" t="str">
        <f t="shared" ca="1" si="86"/>
        <v>OK</v>
      </c>
      <c r="P1206" s="159" t="s">
        <v>2847</v>
      </c>
      <c r="Q1206" s="163" t="s">
        <v>312</v>
      </c>
      <c r="R1206" s="160" t="s">
        <v>317</v>
      </c>
      <c r="S1206" s="186"/>
      <c r="T1206" s="186"/>
      <c r="U1206" s="186"/>
      <c r="V1206" s="160" t="s">
        <v>282</v>
      </c>
      <c r="W1206" s="160" t="s">
        <v>1017</v>
      </c>
      <c r="X1206" s="160" t="s">
        <v>597</v>
      </c>
    </row>
    <row r="1207" spans="1:24" ht="25.5" x14ac:dyDescent="0.2">
      <c r="A1207" s="189">
        <v>1247</v>
      </c>
      <c r="B1207" s="162" t="s">
        <v>279</v>
      </c>
      <c r="C1207" s="158">
        <v>1247</v>
      </c>
      <c r="D1207" s="186" t="str">
        <f t="shared" si="87"/>
        <v>SUPERMIX1247</v>
      </c>
      <c r="E1207" s="164" t="s">
        <v>4161</v>
      </c>
      <c r="F1207" s="164" t="s">
        <v>4162</v>
      </c>
      <c r="G1207" s="160" t="s">
        <v>2825</v>
      </c>
      <c r="H1207" s="159">
        <v>42512885</v>
      </c>
      <c r="I1207" s="159"/>
      <c r="J1207" s="160" t="s">
        <v>4163</v>
      </c>
      <c r="K1207" s="160" t="s">
        <v>281</v>
      </c>
      <c r="L1207" s="161">
        <v>42577</v>
      </c>
      <c r="M1207" s="161">
        <v>46271</v>
      </c>
      <c r="N1207" s="160">
        <f ca="1">TODAY()-M1207</f>
        <v>-84</v>
      </c>
      <c r="O1207" s="162" t="str">
        <f t="shared" ref="O1207:O1220" ca="1" si="88">IF(N1207&lt;-5,"OK","VENCIDA")</f>
        <v>OK</v>
      </c>
      <c r="P1207" s="159" t="s">
        <v>2847</v>
      </c>
      <c r="Q1207" s="163" t="s">
        <v>312</v>
      </c>
      <c r="R1207" s="160" t="s">
        <v>317</v>
      </c>
      <c r="S1207" s="160"/>
      <c r="T1207" s="160"/>
      <c r="U1207" s="160"/>
      <c r="V1207" s="160" t="s">
        <v>282</v>
      </c>
      <c r="W1207" s="160" t="s">
        <v>1017</v>
      </c>
      <c r="X1207" s="160" t="s">
        <v>597</v>
      </c>
    </row>
    <row r="1208" spans="1:24" ht="25.5" x14ac:dyDescent="0.2">
      <c r="A1208" s="189">
        <v>1248</v>
      </c>
      <c r="B1208" s="162" t="s">
        <v>279</v>
      </c>
      <c r="C1208" s="158">
        <v>1248</v>
      </c>
      <c r="D1208" s="160" t="str">
        <f>CONCATENATE(B1208,C1208)</f>
        <v>SUPERMIX1248</v>
      </c>
      <c r="E1208" s="164" t="s">
        <v>4164</v>
      </c>
      <c r="F1208" s="164" t="s">
        <v>4165</v>
      </c>
      <c r="G1208" s="160" t="s">
        <v>2825</v>
      </c>
      <c r="H1208" s="159">
        <v>29604414</v>
      </c>
      <c r="I1208" s="159" t="s">
        <v>3788</v>
      </c>
      <c r="J1208" s="160" t="s">
        <v>4166</v>
      </c>
      <c r="K1208" s="160" t="s">
        <v>281</v>
      </c>
      <c r="L1208" s="161">
        <v>38253</v>
      </c>
      <c r="M1208" s="161">
        <v>46201</v>
      </c>
      <c r="N1208" s="160">
        <f ca="1">TODAY()-M1208</f>
        <v>-14</v>
      </c>
      <c r="O1208" s="162" t="str">
        <f t="shared" ca="1" si="88"/>
        <v>OK</v>
      </c>
      <c r="P1208" s="159" t="s">
        <v>3892</v>
      </c>
      <c r="Q1208" s="163" t="s">
        <v>312</v>
      </c>
      <c r="R1208" s="160" t="s">
        <v>317</v>
      </c>
      <c r="S1208" s="160"/>
      <c r="T1208" s="160"/>
      <c r="U1208" s="160"/>
      <c r="V1208" s="160" t="s">
        <v>282</v>
      </c>
      <c r="W1208" s="160" t="s">
        <v>1709</v>
      </c>
      <c r="X1208" s="160" t="s">
        <v>4044</v>
      </c>
    </row>
    <row r="1209" spans="1:24" ht="25.5" x14ac:dyDescent="0.2">
      <c r="A1209" s="189">
        <v>1249</v>
      </c>
      <c r="B1209" s="162" t="s">
        <v>279</v>
      </c>
      <c r="C1209" s="158">
        <v>1249</v>
      </c>
      <c r="D1209" s="160" t="str">
        <f>CONCATENATE(B1209,C1209)</f>
        <v>SUPERMIX1249</v>
      </c>
      <c r="E1209" s="164" t="s">
        <v>2799</v>
      </c>
      <c r="F1209" s="164" t="s">
        <v>4167</v>
      </c>
      <c r="G1209" s="160" t="s">
        <v>2825</v>
      </c>
      <c r="H1209" s="159">
        <v>43763960</v>
      </c>
      <c r="I1209" s="159" t="s">
        <v>3788</v>
      </c>
      <c r="J1209" s="160" t="s">
        <v>2801</v>
      </c>
      <c r="K1209" s="160" t="s">
        <v>343</v>
      </c>
      <c r="L1209" s="161">
        <v>42530</v>
      </c>
      <c r="M1209" s="161">
        <v>46555</v>
      </c>
      <c r="N1209" s="160">
        <f ca="1">TODAY()-M1209</f>
        <v>-368</v>
      </c>
      <c r="O1209" s="162" t="str">
        <f t="shared" ca="1" si="88"/>
        <v>OK</v>
      </c>
      <c r="P1209" s="159" t="s">
        <v>2827</v>
      </c>
      <c r="Q1209" s="163" t="s">
        <v>312</v>
      </c>
      <c r="R1209" s="160" t="s">
        <v>17</v>
      </c>
      <c r="S1209" s="160"/>
      <c r="T1209" s="160"/>
      <c r="U1209" s="160"/>
      <c r="V1209" s="160" t="s">
        <v>282</v>
      </c>
      <c r="W1209" s="160" t="s">
        <v>1112</v>
      </c>
      <c r="X1209" s="160" t="s">
        <v>2913</v>
      </c>
    </row>
    <row r="1210" spans="1:24" ht="25.5" x14ac:dyDescent="0.2">
      <c r="A1210" s="200">
        <v>1250</v>
      </c>
      <c r="B1210" s="88" t="s">
        <v>279</v>
      </c>
      <c r="C1210" s="226">
        <v>1250</v>
      </c>
      <c r="D1210" s="61" t="str">
        <f>CONCATENATE(B1210,C1210)</f>
        <v>SUPERMIX1250</v>
      </c>
      <c r="E1210" s="82" t="s">
        <v>1473</v>
      </c>
      <c r="F1210" s="82" t="s">
        <v>1162</v>
      </c>
      <c r="G1210" s="61" t="s">
        <v>2825</v>
      </c>
      <c r="H1210" s="60">
        <v>42558700</v>
      </c>
      <c r="I1210" s="60" t="s">
        <v>3788</v>
      </c>
      <c r="J1210" s="61" t="s">
        <v>4168</v>
      </c>
      <c r="K1210" s="61" t="s">
        <v>3142</v>
      </c>
      <c r="L1210" s="62">
        <v>40555</v>
      </c>
      <c r="M1210" s="62">
        <v>47216</v>
      </c>
      <c r="N1210" s="61">
        <f ca="1">TODAY()-M1210</f>
        <v>-1029</v>
      </c>
      <c r="O1210" s="88" t="str">
        <f t="shared" ca="1" si="88"/>
        <v>OK</v>
      </c>
      <c r="P1210" s="60" t="s">
        <v>2827</v>
      </c>
      <c r="Q1210" s="90" t="s">
        <v>312</v>
      </c>
      <c r="R1210" s="61" t="s">
        <v>17</v>
      </c>
      <c r="S1210" s="61"/>
      <c r="T1210" s="61"/>
      <c r="U1210" s="61"/>
      <c r="V1210" s="61" t="s">
        <v>282</v>
      </c>
      <c r="W1210" s="61" t="s">
        <v>3619</v>
      </c>
      <c r="X1210" s="61" t="s">
        <v>4092</v>
      </c>
    </row>
    <row r="1211" spans="1:24" ht="25.5" x14ac:dyDescent="0.2">
      <c r="A1211" s="200">
        <v>1251</v>
      </c>
      <c r="B1211" s="88" t="s">
        <v>279</v>
      </c>
      <c r="C1211" s="226">
        <v>1251</v>
      </c>
      <c r="D1211" s="61" t="str">
        <f>CONCATENATE(B1211,C1211)</f>
        <v>SUPERMIX1251</v>
      </c>
      <c r="E1211" s="82" t="s">
        <v>4169</v>
      </c>
      <c r="F1211" s="82" t="s">
        <v>49</v>
      </c>
      <c r="G1211" s="61" t="s">
        <v>310</v>
      </c>
      <c r="H1211" s="60">
        <v>6794726</v>
      </c>
      <c r="I1211" s="60" t="s">
        <v>3788</v>
      </c>
      <c r="J1211" s="61" t="s">
        <v>4170</v>
      </c>
      <c r="K1211" s="61" t="s">
        <v>281</v>
      </c>
      <c r="L1211" s="62">
        <v>37144</v>
      </c>
      <c r="M1211" s="62">
        <v>46614</v>
      </c>
      <c r="N1211" s="61">
        <f t="shared" ca="1" si="61"/>
        <v>-427</v>
      </c>
      <c r="O1211" s="88" t="str">
        <f t="shared" ca="1" si="88"/>
        <v>OK</v>
      </c>
      <c r="P1211" s="60" t="s">
        <v>2847</v>
      </c>
      <c r="Q1211" s="90" t="s">
        <v>312</v>
      </c>
      <c r="R1211" s="61" t="s">
        <v>17</v>
      </c>
      <c r="S1211" s="160"/>
      <c r="T1211" s="160"/>
      <c r="U1211" s="160"/>
      <c r="V1211" s="61" t="s">
        <v>282</v>
      </c>
      <c r="W1211" s="61" t="s">
        <v>1017</v>
      </c>
      <c r="X1211" s="61" t="s">
        <v>597</v>
      </c>
    </row>
    <row r="1212" spans="1:24" ht="25.5" x14ac:dyDescent="0.2">
      <c r="A1212" s="230">
        <v>1252</v>
      </c>
      <c r="B1212" s="88" t="s">
        <v>279</v>
      </c>
      <c r="C1212" s="231">
        <v>1252</v>
      </c>
      <c r="D1212" s="232" t="str">
        <f>CONCATENATE(B1212,C1212)</f>
        <v>SUPERMIX1252</v>
      </c>
      <c r="E1212" s="233" t="s">
        <v>4171</v>
      </c>
      <c r="F1212" s="233" t="s">
        <v>4172</v>
      </c>
      <c r="G1212" s="232" t="s">
        <v>341</v>
      </c>
      <c r="H1212" s="234">
        <v>71949191</v>
      </c>
      <c r="I1212" s="234" t="s">
        <v>3788</v>
      </c>
      <c r="J1212" s="232" t="s">
        <v>4173</v>
      </c>
      <c r="K1212" s="232" t="s">
        <v>3142</v>
      </c>
      <c r="L1212" s="235">
        <v>43572</v>
      </c>
      <c r="M1212" s="235">
        <v>47225</v>
      </c>
      <c r="N1212" s="232">
        <f t="shared" ca="1" si="61"/>
        <v>-1038</v>
      </c>
      <c r="O1212" s="236" t="str">
        <f t="shared" ca="1" si="88"/>
        <v>OK</v>
      </c>
      <c r="P1212" s="234" t="s">
        <v>2827</v>
      </c>
      <c r="Q1212" s="237" t="s">
        <v>312</v>
      </c>
      <c r="R1212" s="232" t="s">
        <v>17</v>
      </c>
      <c r="S1212" s="232"/>
      <c r="T1212" s="232"/>
      <c r="U1212" s="232"/>
      <c r="V1212" s="232" t="s">
        <v>836</v>
      </c>
      <c r="W1212" s="232" t="s">
        <v>4174</v>
      </c>
      <c r="X1212" s="232" t="s">
        <v>4175</v>
      </c>
    </row>
    <row r="1213" spans="1:24" ht="25.5" x14ac:dyDescent="0.2">
      <c r="A1213" s="200">
        <v>1253</v>
      </c>
      <c r="B1213" s="88" t="s">
        <v>279</v>
      </c>
      <c r="C1213" s="226">
        <v>1253</v>
      </c>
      <c r="D1213" s="61" t="str">
        <f t="shared" ref="D1213:D1220" si="89">CONCATENATE(B1213,C1213)</f>
        <v>SUPERMIX1253</v>
      </c>
      <c r="E1213" s="82" t="s">
        <v>4178</v>
      </c>
      <c r="F1213" s="82" t="s">
        <v>4179</v>
      </c>
      <c r="G1213" s="61" t="s">
        <v>2825</v>
      </c>
      <c r="H1213" s="60">
        <v>411138026</v>
      </c>
      <c r="I1213" s="60" t="s">
        <v>3788</v>
      </c>
      <c r="J1213" s="61" t="s">
        <v>4180</v>
      </c>
      <c r="K1213" s="61" t="s">
        <v>3142</v>
      </c>
      <c r="L1213" s="62">
        <v>37194</v>
      </c>
      <c r="M1213" s="62">
        <v>47401</v>
      </c>
      <c r="N1213" s="61">
        <f t="shared" ca="1" si="61"/>
        <v>-1214</v>
      </c>
      <c r="O1213" s="88" t="str">
        <f t="shared" ca="1" si="88"/>
        <v>OK</v>
      </c>
      <c r="P1213" s="60" t="s">
        <v>2827</v>
      </c>
      <c r="Q1213" s="90" t="s">
        <v>312</v>
      </c>
      <c r="R1213" s="61" t="s">
        <v>17</v>
      </c>
      <c r="S1213" s="61"/>
      <c r="T1213" s="61"/>
      <c r="U1213" s="61"/>
      <c r="V1213" s="61" t="s">
        <v>3812</v>
      </c>
      <c r="W1213" s="61" t="s">
        <v>4174</v>
      </c>
      <c r="X1213" s="61" t="s">
        <v>4181</v>
      </c>
    </row>
    <row r="1214" spans="1:24" ht="25.5" x14ac:dyDescent="0.2">
      <c r="A1214" s="189">
        <v>1254</v>
      </c>
      <c r="B1214" s="162" t="s">
        <v>279</v>
      </c>
      <c r="C1214" s="158">
        <v>1254</v>
      </c>
      <c r="D1214" s="160" t="str">
        <f t="shared" si="89"/>
        <v>SUPERMIX1254</v>
      </c>
      <c r="E1214" s="164" t="s">
        <v>4182</v>
      </c>
      <c r="F1214" s="164" t="s">
        <v>4183</v>
      </c>
      <c r="G1214" s="160" t="s">
        <v>2825</v>
      </c>
      <c r="H1214" s="159">
        <v>48363003</v>
      </c>
      <c r="I1214" s="159" t="s">
        <v>3788</v>
      </c>
      <c r="J1214" s="160" t="s">
        <v>4184</v>
      </c>
      <c r="K1214" s="160" t="s">
        <v>1961</v>
      </c>
      <c r="L1214" s="161">
        <v>44382</v>
      </c>
      <c r="M1214" s="161">
        <v>46208</v>
      </c>
      <c r="N1214" s="160">
        <f t="shared" ca="1" si="61"/>
        <v>-21</v>
      </c>
      <c r="O1214" s="162" t="str">
        <f t="shared" ca="1" si="88"/>
        <v>OK</v>
      </c>
      <c r="P1214" s="159" t="s">
        <v>2778</v>
      </c>
      <c r="Q1214" s="163" t="s">
        <v>312</v>
      </c>
      <c r="R1214" s="160" t="s">
        <v>317</v>
      </c>
      <c r="S1214" s="160"/>
      <c r="T1214" s="160"/>
      <c r="U1214" s="160"/>
      <c r="V1214" s="160" t="s">
        <v>1939</v>
      </c>
      <c r="W1214" s="160" t="s">
        <v>3429</v>
      </c>
      <c r="X1214" s="160" t="s">
        <v>321</v>
      </c>
    </row>
    <row r="1215" spans="1:24" ht="25.5" x14ac:dyDescent="0.2">
      <c r="A1215" s="189">
        <v>1255</v>
      </c>
      <c r="B1215" s="162" t="s">
        <v>279</v>
      </c>
      <c r="C1215" s="158">
        <v>1255</v>
      </c>
      <c r="D1215" s="160" t="str">
        <f t="shared" si="89"/>
        <v>SUPERMIX1255</v>
      </c>
      <c r="E1215" s="164" t="s">
        <v>4185</v>
      </c>
      <c r="F1215" s="164" t="s">
        <v>4186</v>
      </c>
      <c r="G1215" s="160" t="s">
        <v>2825</v>
      </c>
      <c r="H1215" s="159">
        <v>72114572</v>
      </c>
      <c r="I1215" s="159" t="s">
        <v>3788</v>
      </c>
      <c r="J1215" s="160" t="s">
        <v>4187</v>
      </c>
      <c r="K1215" s="160" t="s">
        <v>3142</v>
      </c>
      <c r="L1215" s="161">
        <v>44553</v>
      </c>
      <c r="M1215" s="161">
        <v>48205</v>
      </c>
      <c r="N1215" s="160">
        <f t="shared" ca="1" si="61"/>
        <v>-2018</v>
      </c>
      <c r="O1215" s="162" t="str">
        <f t="shared" ca="1" si="88"/>
        <v>OK</v>
      </c>
      <c r="P1215" s="159" t="s">
        <v>2827</v>
      </c>
      <c r="Q1215" s="163" t="s">
        <v>312</v>
      </c>
      <c r="R1215" s="160" t="s">
        <v>317</v>
      </c>
      <c r="S1215" s="160"/>
      <c r="T1215" s="160"/>
      <c r="U1215" s="160"/>
      <c r="V1215" s="160" t="s">
        <v>282</v>
      </c>
      <c r="W1215" s="160" t="s">
        <v>1276</v>
      </c>
      <c r="X1215" s="160" t="s">
        <v>2893</v>
      </c>
    </row>
    <row r="1216" spans="1:24" ht="25.5" x14ac:dyDescent="0.2">
      <c r="A1216" s="189">
        <v>1256</v>
      </c>
      <c r="B1216" s="162" t="s">
        <v>279</v>
      </c>
      <c r="C1216" s="158">
        <v>1256</v>
      </c>
      <c r="D1216" s="160" t="str">
        <f t="shared" si="89"/>
        <v>SUPERMIX1256</v>
      </c>
      <c r="E1216" s="164" t="s">
        <v>4188</v>
      </c>
      <c r="F1216" s="164" t="s">
        <v>4189</v>
      </c>
      <c r="G1216" s="160"/>
      <c r="H1216" s="159" t="s">
        <v>4190</v>
      </c>
      <c r="I1216" s="159" t="s">
        <v>3788</v>
      </c>
      <c r="J1216" s="160">
        <v>5492874394</v>
      </c>
      <c r="K1216" s="160"/>
      <c r="L1216" s="161">
        <v>41046</v>
      </c>
      <c r="M1216" s="161">
        <v>48185</v>
      </c>
      <c r="N1216" s="160">
        <f t="shared" ca="1" si="61"/>
        <v>-1998</v>
      </c>
      <c r="O1216" s="162" t="str">
        <f t="shared" ca="1" si="88"/>
        <v>OK</v>
      </c>
      <c r="P1216" s="159" t="s">
        <v>2827</v>
      </c>
      <c r="Q1216" s="163" t="s">
        <v>312</v>
      </c>
      <c r="R1216" s="160" t="s">
        <v>317</v>
      </c>
      <c r="S1216" s="160"/>
      <c r="T1216" s="160"/>
      <c r="U1216" s="160"/>
      <c r="V1216" s="160" t="s">
        <v>2973</v>
      </c>
      <c r="W1216" s="160"/>
      <c r="X1216" s="160" t="s">
        <v>4191</v>
      </c>
    </row>
    <row r="1217" spans="1:24" ht="25.5" x14ac:dyDescent="0.2">
      <c r="A1217" s="189">
        <v>1257</v>
      </c>
      <c r="B1217" s="162" t="s">
        <v>279</v>
      </c>
      <c r="C1217" s="158">
        <v>1257</v>
      </c>
      <c r="D1217" s="160" t="str">
        <f t="shared" si="89"/>
        <v>SUPERMIX1257</v>
      </c>
      <c r="E1217" s="164" t="s">
        <v>4192</v>
      </c>
      <c r="F1217" s="164" t="s">
        <v>4193</v>
      </c>
      <c r="G1217" s="160" t="s">
        <v>2825</v>
      </c>
      <c r="H1217" s="159">
        <v>45881968</v>
      </c>
      <c r="I1217" s="159" t="s">
        <v>3788</v>
      </c>
      <c r="J1217" s="160" t="s">
        <v>4194</v>
      </c>
      <c r="K1217" s="160" t="s">
        <v>1954</v>
      </c>
      <c r="L1217" s="161">
        <v>41914</v>
      </c>
      <c r="M1217" s="161">
        <v>46328</v>
      </c>
      <c r="N1217" s="160">
        <f t="shared" ca="1" si="61"/>
        <v>-141</v>
      </c>
      <c r="O1217" s="162" t="str">
        <f t="shared" ca="1" si="88"/>
        <v>OK</v>
      </c>
      <c r="P1217" s="159" t="s">
        <v>2790</v>
      </c>
      <c r="Q1217" s="163" t="s">
        <v>312</v>
      </c>
      <c r="R1217" s="160" t="s">
        <v>17</v>
      </c>
      <c r="S1217" s="160"/>
      <c r="T1217" s="160"/>
      <c r="U1217" s="160"/>
      <c r="V1217" s="160" t="s">
        <v>1939</v>
      </c>
      <c r="W1217" s="160" t="s">
        <v>4195</v>
      </c>
      <c r="X1217" s="160" t="s">
        <v>624</v>
      </c>
    </row>
    <row r="1218" spans="1:24" ht="25.5" x14ac:dyDescent="0.2">
      <c r="A1218" s="200">
        <v>1258</v>
      </c>
      <c r="B1218" s="88" t="s">
        <v>279</v>
      </c>
      <c r="C1218" s="226">
        <v>1258</v>
      </c>
      <c r="D1218" s="61" t="str">
        <f t="shared" si="89"/>
        <v>SUPERMIX1258</v>
      </c>
      <c r="E1218" s="82" t="s">
        <v>4222</v>
      </c>
      <c r="F1218" s="82" t="s">
        <v>4223</v>
      </c>
      <c r="G1218" s="61" t="s">
        <v>2825</v>
      </c>
      <c r="H1218" s="60">
        <v>29605369</v>
      </c>
      <c r="I1218" s="60" t="s">
        <v>3788</v>
      </c>
      <c r="J1218" s="61" t="s">
        <v>4224</v>
      </c>
      <c r="K1218" s="61" t="s">
        <v>3623</v>
      </c>
      <c r="L1218" s="62">
        <v>41527</v>
      </c>
      <c r="M1218" s="62">
        <v>46678</v>
      </c>
      <c r="N1218" s="61">
        <f t="shared" ca="1" si="61"/>
        <v>-491</v>
      </c>
      <c r="O1218" s="88" t="str">
        <f t="shared" ca="1" si="88"/>
        <v>OK</v>
      </c>
      <c r="P1218" s="60" t="s">
        <v>2847</v>
      </c>
      <c r="Q1218" s="90" t="s">
        <v>312</v>
      </c>
      <c r="R1218" s="61" t="s">
        <v>317</v>
      </c>
      <c r="S1218" s="61"/>
      <c r="T1218" s="61"/>
      <c r="U1218" s="61"/>
      <c r="V1218" s="61" t="s">
        <v>4225</v>
      </c>
      <c r="W1218" s="61" t="s">
        <v>4220</v>
      </c>
      <c r="X1218" s="61" t="s">
        <v>597</v>
      </c>
    </row>
    <row r="1219" spans="1:24" ht="25.5" x14ac:dyDescent="0.2">
      <c r="A1219" s="189">
        <v>1259</v>
      </c>
      <c r="B1219" s="162" t="s">
        <v>279</v>
      </c>
      <c r="C1219" s="158">
        <v>1259</v>
      </c>
      <c r="D1219" s="160" t="str">
        <f t="shared" si="89"/>
        <v>SUPERMIX1259</v>
      </c>
      <c r="E1219" s="164" t="s">
        <v>4198</v>
      </c>
      <c r="F1219" s="164" t="s">
        <v>275</v>
      </c>
      <c r="G1219" s="160" t="s">
        <v>2825</v>
      </c>
      <c r="H1219" s="159">
        <v>29565508</v>
      </c>
      <c r="I1219" s="159" t="s">
        <v>3788</v>
      </c>
      <c r="J1219" s="160" t="s">
        <v>4199</v>
      </c>
      <c r="K1219" s="160" t="s">
        <v>2092</v>
      </c>
      <c r="L1219" s="161">
        <v>41386</v>
      </c>
      <c r="M1219" s="161">
        <v>46546</v>
      </c>
      <c r="N1219" s="160">
        <f t="shared" ca="1" si="61"/>
        <v>-359</v>
      </c>
      <c r="O1219" s="162" t="str">
        <f t="shared" ca="1" si="88"/>
        <v>OK</v>
      </c>
      <c r="P1219" s="159" t="s">
        <v>3126</v>
      </c>
      <c r="Q1219" s="163" t="s">
        <v>312</v>
      </c>
      <c r="R1219" s="160" t="s">
        <v>17</v>
      </c>
      <c r="S1219" s="160"/>
      <c r="T1219" s="160"/>
      <c r="U1219" s="160"/>
      <c r="V1219" s="160" t="s">
        <v>1939</v>
      </c>
      <c r="W1219" s="160" t="s">
        <v>4195</v>
      </c>
      <c r="X1219" s="160" t="s">
        <v>760</v>
      </c>
    </row>
    <row r="1220" spans="1:24" ht="25.5" x14ac:dyDescent="0.2">
      <c r="A1220" s="189">
        <v>1260</v>
      </c>
      <c r="B1220" s="162" t="s">
        <v>279</v>
      </c>
      <c r="C1220" s="158">
        <v>1260</v>
      </c>
      <c r="D1220" s="160" t="str">
        <f t="shared" si="89"/>
        <v>SUPERMIX1260</v>
      </c>
      <c r="E1220" s="164" t="s">
        <v>4201</v>
      </c>
      <c r="F1220" s="164" t="s">
        <v>4200</v>
      </c>
      <c r="G1220" s="160" t="s">
        <v>2825</v>
      </c>
      <c r="H1220" s="159">
        <v>71430608</v>
      </c>
      <c r="I1220" s="159" t="s">
        <v>3788</v>
      </c>
      <c r="J1220" s="160" t="s">
        <v>4202</v>
      </c>
      <c r="K1220" s="160" t="s">
        <v>1954</v>
      </c>
      <c r="L1220" s="161">
        <v>44958</v>
      </c>
      <c r="M1220" s="161">
        <v>46784</v>
      </c>
      <c r="N1220" s="160">
        <f t="shared" ca="1" si="61"/>
        <v>-597</v>
      </c>
      <c r="O1220" s="162" t="str">
        <f t="shared" ca="1" si="88"/>
        <v>OK</v>
      </c>
      <c r="P1220" s="159" t="s">
        <v>2790</v>
      </c>
      <c r="Q1220" s="163" t="s">
        <v>312</v>
      </c>
      <c r="R1220" s="160" t="s">
        <v>17</v>
      </c>
      <c r="S1220" s="160"/>
      <c r="T1220" s="160"/>
      <c r="U1220" s="160"/>
      <c r="V1220" s="160" t="s">
        <v>1939</v>
      </c>
      <c r="W1220" s="160" t="s">
        <v>4195</v>
      </c>
      <c r="X1220" s="160" t="s">
        <v>624</v>
      </c>
    </row>
    <row r="1221" spans="1:24" ht="25.5" x14ac:dyDescent="0.2">
      <c r="A1221" s="189">
        <v>1261</v>
      </c>
      <c r="B1221" s="162" t="s">
        <v>279</v>
      </c>
      <c r="C1221" s="158">
        <v>1261</v>
      </c>
      <c r="D1221" s="160" t="str">
        <f t="shared" ref="D1221:D1252" si="90">CONCATENATE(B1221,C1221)</f>
        <v>SUPERMIX1261</v>
      </c>
      <c r="E1221" s="164" t="s">
        <v>4204</v>
      </c>
      <c r="F1221" s="164" t="s">
        <v>4205</v>
      </c>
      <c r="G1221" s="160" t="s">
        <v>2825</v>
      </c>
      <c r="H1221" s="159">
        <v>74038373</v>
      </c>
      <c r="I1221" s="159" t="s">
        <v>3788</v>
      </c>
      <c r="J1221" s="160" t="s">
        <v>4206</v>
      </c>
      <c r="K1221" s="160" t="s">
        <v>3142</v>
      </c>
      <c r="L1221" s="161">
        <v>44527</v>
      </c>
      <c r="M1221" s="161">
        <v>48179</v>
      </c>
      <c r="N1221" s="160">
        <f t="shared" ca="1" si="61"/>
        <v>-1992</v>
      </c>
      <c r="O1221" s="162" t="str">
        <f t="shared" ref="O1221:O1252" ca="1" si="91">IF(N1221&lt;-5,"OK","VENCIDA")</f>
        <v>OK</v>
      </c>
      <c r="P1221" s="159" t="s">
        <v>2827</v>
      </c>
      <c r="Q1221" s="163" t="s">
        <v>312</v>
      </c>
      <c r="R1221" s="160" t="s">
        <v>317</v>
      </c>
      <c r="S1221" s="160"/>
      <c r="T1221" s="160"/>
      <c r="U1221" s="160"/>
      <c r="V1221" s="160" t="s">
        <v>2990</v>
      </c>
      <c r="W1221" s="160" t="s">
        <v>4208</v>
      </c>
      <c r="X1221" s="160" t="s">
        <v>4207</v>
      </c>
    </row>
    <row r="1222" spans="1:24" ht="25.5" x14ac:dyDescent="0.2">
      <c r="A1222" s="189">
        <v>1262</v>
      </c>
      <c r="B1222" s="162" t="s">
        <v>279</v>
      </c>
      <c r="C1222" s="158">
        <v>1262</v>
      </c>
      <c r="D1222" s="160" t="str">
        <f t="shared" si="90"/>
        <v>SUPERMIX1262</v>
      </c>
      <c r="E1222" s="164" t="s">
        <v>4209</v>
      </c>
      <c r="F1222" s="164" t="s">
        <v>4210</v>
      </c>
      <c r="G1222" s="160" t="s">
        <v>2825</v>
      </c>
      <c r="H1222" s="159">
        <v>47867175</v>
      </c>
      <c r="I1222" s="159" t="s">
        <v>3788</v>
      </c>
      <c r="J1222" s="160" t="s">
        <v>4211</v>
      </c>
      <c r="K1222" s="160" t="s">
        <v>3624</v>
      </c>
      <c r="L1222" s="161">
        <v>44018</v>
      </c>
      <c r="M1222" s="161">
        <v>46189</v>
      </c>
      <c r="N1222" s="160">
        <f t="shared" ca="1" si="61"/>
        <v>-2</v>
      </c>
      <c r="O1222" s="162" t="str">
        <f t="shared" ca="1" si="91"/>
        <v>VENCIDA</v>
      </c>
      <c r="P1222" s="159" t="s">
        <v>2790</v>
      </c>
      <c r="Q1222" s="163" t="s">
        <v>312</v>
      </c>
      <c r="R1222" s="160" t="s">
        <v>317</v>
      </c>
      <c r="S1222" s="160"/>
      <c r="T1222" s="160"/>
      <c r="U1222" s="160"/>
      <c r="V1222" s="160" t="s">
        <v>1939</v>
      </c>
      <c r="W1222" s="160" t="s">
        <v>4195</v>
      </c>
      <c r="X1222" s="160" t="s">
        <v>624</v>
      </c>
    </row>
    <row r="1223" spans="1:24" ht="25.5" x14ac:dyDescent="0.2">
      <c r="A1223" s="189">
        <v>1263</v>
      </c>
      <c r="B1223" s="162" t="s">
        <v>279</v>
      </c>
      <c r="C1223" s="158">
        <v>1263</v>
      </c>
      <c r="D1223" s="160" t="str">
        <f t="shared" si="90"/>
        <v>SUPERMIX1263</v>
      </c>
      <c r="E1223" s="164" t="s">
        <v>4212</v>
      </c>
      <c r="F1223" s="164" t="s">
        <v>4213</v>
      </c>
      <c r="G1223" s="160" t="s">
        <v>2825</v>
      </c>
      <c r="H1223" s="159">
        <v>43698132</v>
      </c>
      <c r="I1223" s="159" t="s">
        <v>3788</v>
      </c>
      <c r="J1223" s="160" t="s">
        <v>4214</v>
      </c>
      <c r="K1223" s="160" t="s">
        <v>3624</v>
      </c>
      <c r="L1223" s="161">
        <v>43347</v>
      </c>
      <c r="M1223" s="161">
        <v>46916</v>
      </c>
      <c r="N1223" s="160">
        <f t="shared" ca="1" si="61"/>
        <v>-729</v>
      </c>
      <c r="O1223" s="162" t="str">
        <f t="shared" ca="1" si="91"/>
        <v>OK</v>
      </c>
      <c r="P1223" s="159" t="s">
        <v>2790</v>
      </c>
      <c r="Q1223" s="163" t="s">
        <v>312</v>
      </c>
      <c r="R1223" s="160" t="s">
        <v>317</v>
      </c>
      <c r="S1223" s="160"/>
      <c r="T1223" s="160"/>
      <c r="U1223" s="160"/>
      <c r="V1223" s="160" t="s">
        <v>1939</v>
      </c>
      <c r="W1223" s="160" t="s">
        <v>4195</v>
      </c>
      <c r="X1223" s="160" t="s">
        <v>624</v>
      </c>
    </row>
    <row r="1224" spans="1:24" ht="25.5" x14ac:dyDescent="0.2">
      <c r="A1224" s="189">
        <v>1264</v>
      </c>
      <c r="B1224" s="162" t="s">
        <v>279</v>
      </c>
      <c r="C1224" s="158">
        <v>1264</v>
      </c>
      <c r="D1224" s="160" t="str">
        <f t="shared" si="90"/>
        <v>SUPERMIX1264</v>
      </c>
      <c r="E1224" s="164" t="s">
        <v>4215</v>
      </c>
      <c r="F1224" s="164" t="s">
        <v>4216</v>
      </c>
      <c r="G1224" s="160" t="s">
        <v>341</v>
      </c>
      <c r="H1224" s="159">
        <v>44071456</v>
      </c>
      <c r="I1224" s="159" t="s">
        <v>3788</v>
      </c>
      <c r="J1224" s="160" t="s">
        <v>4217</v>
      </c>
      <c r="K1224" s="160" t="s">
        <v>3624</v>
      </c>
      <c r="L1224" s="161">
        <v>41858</v>
      </c>
      <c r="M1224" s="161">
        <v>46757</v>
      </c>
      <c r="N1224" s="160">
        <f t="shared" ca="1" si="61"/>
        <v>-570</v>
      </c>
      <c r="O1224" s="162" t="str">
        <f t="shared" ca="1" si="91"/>
        <v>OK</v>
      </c>
      <c r="P1224" s="159" t="s">
        <v>2790</v>
      </c>
      <c r="Q1224" s="163" t="s">
        <v>312</v>
      </c>
      <c r="R1224" s="160" t="s">
        <v>317</v>
      </c>
      <c r="S1224" s="160"/>
      <c r="T1224" s="160"/>
      <c r="U1224" s="160"/>
      <c r="V1224" s="160" t="s">
        <v>1939</v>
      </c>
      <c r="W1224" s="160" t="s">
        <v>4195</v>
      </c>
      <c r="X1224" s="160" t="s">
        <v>624</v>
      </c>
    </row>
    <row r="1225" spans="1:24" ht="25.5" x14ac:dyDescent="0.2">
      <c r="A1225" s="189">
        <v>1265</v>
      </c>
      <c r="B1225" s="162" t="s">
        <v>279</v>
      </c>
      <c r="C1225" s="158">
        <v>1265</v>
      </c>
      <c r="D1225" s="160" t="str">
        <f t="shared" ref="D1225" si="92">CONCATENATE(B1225,C1225)</f>
        <v>SUPERMIX1265</v>
      </c>
      <c r="E1225" s="164" t="s">
        <v>4196</v>
      </c>
      <c r="F1225" s="164" t="s">
        <v>570</v>
      </c>
      <c r="G1225" s="160" t="s">
        <v>2825</v>
      </c>
      <c r="H1225" s="159">
        <v>72150571</v>
      </c>
      <c r="I1225" s="159" t="s">
        <v>3788</v>
      </c>
      <c r="J1225" s="160" t="s">
        <v>4197</v>
      </c>
      <c r="K1225" s="160" t="s">
        <v>1961</v>
      </c>
      <c r="L1225" s="161">
        <v>45560</v>
      </c>
      <c r="M1225" s="161">
        <v>47386</v>
      </c>
      <c r="N1225" s="160">
        <f t="shared" ref="N1225" ca="1" si="93">TODAY()-M1225</f>
        <v>-1199</v>
      </c>
      <c r="O1225" s="162" t="str">
        <f t="shared" ca="1" si="91"/>
        <v>OK</v>
      </c>
      <c r="P1225" s="159" t="s">
        <v>2778</v>
      </c>
      <c r="Q1225" s="163" t="s">
        <v>312</v>
      </c>
      <c r="R1225" s="160" t="s">
        <v>17</v>
      </c>
      <c r="S1225" s="160"/>
      <c r="T1225" s="160"/>
      <c r="U1225" s="160"/>
      <c r="V1225" s="160" t="s">
        <v>1939</v>
      </c>
      <c r="W1225" s="160" t="s">
        <v>4195</v>
      </c>
      <c r="X1225" s="160" t="s">
        <v>640</v>
      </c>
    </row>
    <row r="1226" spans="1:24" ht="25.5" x14ac:dyDescent="0.2">
      <c r="A1226" s="200">
        <v>1266</v>
      </c>
      <c r="B1226" s="88" t="s">
        <v>279</v>
      </c>
      <c r="C1226" s="226">
        <v>1266</v>
      </c>
      <c r="D1226" s="61" t="str">
        <f t="shared" si="90"/>
        <v>SUPERMIX1266</v>
      </c>
      <c r="E1226" s="82" t="s">
        <v>4227</v>
      </c>
      <c r="F1226" s="82" t="s">
        <v>4228</v>
      </c>
      <c r="G1226" s="61" t="s">
        <v>341</v>
      </c>
      <c r="H1226" s="60">
        <v>47722796</v>
      </c>
      <c r="I1226" s="60" t="s">
        <v>3788</v>
      </c>
      <c r="J1226" s="61" t="s">
        <v>4229</v>
      </c>
      <c r="K1226" s="61" t="s">
        <v>3142</v>
      </c>
      <c r="L1226" s="62">
        <v>41310</v>
      </c>
      <c r="M1226" s="62">
        <v>48795</v>
      </c>
      <c r="N1226" s="61">
        <f t="shared" ca="1" si="61"/>
        <v>-2608</v>
      </c>
      <c r="O1226" s="88" t="str">
        <f t="shared" ca="1" si="91"/>
        <v>OK</v>
      </c>
      <c r="P1226" s="60" t="s">
        <v>2827</v>
      </c>
      <c r="Q1226" s="90" t="s">
        <v>312</v>
      </c>
      <c r="R1226" s="61" t="s">
        <v>317</v>
      </c>
      <c r="S1226" s="61"/>
      <c r="T1226" s="61"/>
      <c r="U1226" s="61"/>
      <c r="V1226" s="61" t="s">
        <v>1102</v>
      </c>
      <c r="W1226" s="61" t="s">
        <v>4230</v>
      </c>
      <c r="X1226" s="61" t="s">
        <v>4231</v>
      </c>
    </row>
    <row r="1227" spans="1:24" ht="25.5" x14ac:dyDescent="0.2">
      <c r="A1227" s="189">
        <v>1267</v>
      </c>
      <c r="B1227" s="162" t="s">
        <v>279</v>
      </c>
      <c r="C1227" s="158">
        <v>1267</v>
      </c>
      <c r="D1227" s="160" t="str">
        <f t="shared" si="90"/>
        <v>SUPERMIX1267</v>
      </c>
      <c r="E1227" s="164" t="s">
        <v>4232</v>
      </c>
      <c r="F1227" s="164" t="s">
        <v>4233</v>
      </c>
      <c r="G1227" s="160" t="s">
        <v>2825</v>
      </c>
      <c r="H1227" s="159">
        <v>74023440</v>
      </c>
      <c r="I1227" s="159" t="s">
        <v>3788</v>
      </c>
      <c r="J1227" s="160" t="s">
        <v>4234</v>
      </c>
      <c r="K1227" s="160" t="s">
        <v>4235</v>
      </c>
      <c r="L1227" s="161">
        <v>41862</v>
      </c>
      <c r="M1227" s="161">
        <v>48442</v>
      </c>
      <c r="N1227" s="160">
        <f t="shared" ca="1" si="61"/>
        <v>-2255</v>
      </c>
      <c r="O1227" s="162" t="str">
        <f t="shared" ca="1" si="91"/>
        <v>OK</v>
      </c>
      <c r="P1227" s="159" t="s">
        <v>2827</v>
      </c>
      <c r="Q1227" s="163" t="s">
        <v>312</v>
      </c>
      <c r="R1227" s="160" t="s">
        <v>317</v>
      </c>
      <c r="S1227" s="160"/>
      <c r="T1227" s="160"/>
      <c r="U1227" s="160"/>
      <c r="V1227" s="159" t="s">
        <v>4236</v>
      </c>
      <c r="W1227" s="160" t="s">
        <v>4237</v>
      </c>
      <c r="X1227" s="159" t="s">
        <v>4236</v>
      </c>
    </row>
    <row r="1228" spans="1:24" ht="25.5" x14ac:dyDescent="0.2">
      <c r="A1228" s="189">
        <v>1268</v>
      </c>
      <c r="B1228" s="162" t="s">
        <v>279</v>
      </c>
      <c r="C1228" s="158">
        <v>1268</v>
      </c>
      <c r="D1228" s="160" t="str">
        <f t="shared" si="90"/>
        <v>SUPERMIX1268</v>
      </c>
      <c r="E1228" s="164" t="s">
        <v>4238</v>
      </c>
      <c r="F1228" s="164" t="s">
        <v>4239</v>
      </c>
      <c r="G1228" s="160" t="s">
        <v>2825</v>
      </c>
      <c r="H1228" s="159">
        <v>70149382</v>
      </c>
      <c r="I1228" s="159" t="s">
        <v>3788</v>
      </c>
      <c r="J1228" s="160" t="s">
        <v>4240</v>
      </c>
      <c r="K1228" s="160" t="s">
        <v>4235</v>
      </c>
      <c r="L1228" s="161">
        <v>41491</v>
      </c>
      <c r="M1228" s="161">
        <v>48218</v>
      </c>
      <c r="N1228" s="160">
        <f t="shared" ca="1" si="61"/>
        <v>-2031</v>
      </c>
      <c r="O1228" s="162" t="str">
        <f t="shared" ca="1" si="91"/>
        <v>OK</v>
      </c>
      <c r="P1228" s="159" t="s">
        <v>2827</v>
      </c>
      <c r="Q1228" s="163" t="s">
        <v>312</v>
      </c>
      <c r="R1228" s="160" t="s">
        <v>317</v>
      </c>
      <c r="S1228" s="160"/>
      <c r="T1228" s="160"/>
      <c r="U1228" s="160"/>
      <c r="V1228" s="160" t="s">
        <v>334</v>
      </c>
      <c r="W1228" s="160" t="s">
        <v>4241</v>
      </c>
      <c r="X1228" s="160" t="s">
        <v>3395</v>
      </c>
    </row>
    <row r="1229" spans="1:24" ht="25.5" x14ac:dyDescent="0.2">
      <c r="A1229" s="189">
        <v>1269</v>
      </c>
      <c r="B1229" s="162" t="s">
        <v>279</v>
      </c>
      <c r="C1229" s="158">
        <v>1269</v>
      </c>
      <c r="D1229" s="160" t="str">
        <f t="shared" si="90"/>
        <v>SUPERMIX1269</v>
      </c>
      <c r="E1229" s="164" t="s">
        <v>4242</v>
      </c>
      <c r="F1229" s="164" t="s">
        <v>4243</v>
      </c>
      <c r="G1229" s="160" t="s">
        <v>310</v>
      </c>
      <c r="H1229" s="159">
        <v>73038801</v>
      </c>
      <c r="I1229" s="159" t="s">
        <v>3788</v>
      </c>
      <c r="J1229" s="160" t="s">
        <v>4244</v>
      </c>
      <c r="K1229" s="160" t="s">
        <v>4235</v>
      </c>
      <c r="L1229" s="161">
        <v>45376</v>
      </c>
      <c r="M1229" s="161">
        <v>49028</v>
      </c>
      <c r="N1229" s="160">
        <f t="shared" ca="1" si="61"/>
        <v>-2841</v>
      </c>
      <c r="O1229" s="162" t="str">
        <f t="shared" ca="1" si="91"/>
        <v>OK</v>
      </c>
      <c r="P1229" s="159" t="s">
        <v>2827</v>
      </c>
      <c r="Q1229" s="163" t="s">
        <v>312</v>
      </c>
      <c r="R1229" s="160" t="s">
        <v>17</v>
      </c>
      <c r="S1229" s="160"/>
      <c r="T1229" s="160"/>
      <c r="U1229" s="160"/>
      <c r="V1229" s="160" t="s">
        <v>282</v>
      </c>
      <c r="W1229" s="160" t="s">
        <v>1017</v>
      </c>
      <c r="X1229" s="160" t="s">
        <v>4245</v>
      </c>
    </row>
    <row r="1230" spans="1:24" ht="25.5" x14ac:dyDescent="0.2">
      <c r="A1230" s="189">
        <v>1270</v>
      </c>
      <c r="B1230" s="162" t="s">
        <v>279</v>
      </c>
      <c r="C1230" s="158">
        <v>1270</v>
      </c>
      <c r="D1230" s="160" t="str">
        <f t="shared" si="90"/>
        <v>SUPERMIX1270</v>
      </c>
      <c r="E1230" s="164" t="s">
        <v>4246</v>
      </c>
      <c r="F1230" s="164" t="s">
        <v>4247</v>
      </c>
      <c r="G1230" s="160" t="s">
        <v>310</v>
      </c>
      <c r="H1230" s="159">
        <v>72670031</v>
      </c>
      <c r="I1230" s="159" t="s">
        <v>3788</v>
      </c>
      <c r="J1230" s="160" t="s">
        <v>4248</v>
      </c>
      <c r="K1230" s="160" t="s">
        <v>4235</v>
      </c>
      <c r="L1230" s="161">
        <v>44511</v>
      </c>
      <c r="M1230" s="161">
        <v>48163</v>
      </c>
      <c r="N1230" s="160">
        <f t="shared" ca="1" si="61"/>
        <v>-1976</v>
      </c>
      <c r="O1230" s="162" t="str">
        <f t="shared" ca="1" si="91"/>
        <v>OK</v>
      </c>
      <c r="P1230" s="159" t="s">
        <v>2827</v>
      </c>
      <c r="Q1230" s="163" t="s">
        <v>312</v>
      </c>
      <c r="R1230" s="160" t="s">
        <v>17</v>
      </c>
      <c r="S1230" s="160"/>
      <c r="T1230" s="160"/>
      <c r="U1230" s="160"/>
      <c r="V1230" s="160" t="s">
        <v>282</v>
      </c>
      <c r="W1230" s="160" t="s">
        <v>1017</v>
      </c>
      <c r="X1230" s="160" t="s">
        <v>4249</v>
      </c>
    </row>
    <row r="1231" spans="1:24" ht="25.5" x14ac:dyDescent="0.2">
      <c r="A1231" s="189">
        <v>1271</v>
      </c>
      <c r="B1231" s="162" t="s">
        <v>279</v>
      </c>
      <c r="C1231" s="158">
        <v>1271</v>
      </c>
      <c r="D1231" s="160" t="str">
        <f t="shared" si="90"/>
        <v>SUPERMIX1271</v>
      </c>
      <c r="E1231" s="164" t="s">
        <v>4250</v>
      </c>
      <c r="F1231" s="164" t="s">
        <v>4251</v>
      </c>
      <c r="G1231" s="160" t="s">
        <v>2825</v>
      </c>
      <c r="H1231" s="159">
        <v>73107909</v>
      </c>
      <c r="I1231" s="159" t="s">
        <v>3788</v>
      </c>
      <c r="J1231" s="160" t="s">
        <v>4252</v>
      </c>
      <c r="K1231" s="160" t="s">
        <v>4253</v>
      </c>
      <c r="L1231" s="161">
        <v>45849</v>
      </c>
      <c r="M1231" s="161">
        <v>47675</v>
      </c>
      <c r="N1231" s="160">
        <f t="shared" ca="1" si="61"/>
        <v>-1488</v>
      </c>
      <c r="O1231" s="162" t="str">
        <f t="shared" ca="1" si="91"/>
        <v>OK</v>
      </c>
      <c r="P1231" s="159" t="s">
        <v>2847</v>
      </c>
      <c r="Q1231" s="163" t="s">
        <v>312</v>
      </c>
      <c r="R1231" s="160" t="s">
        <v>317</v>
      </c>
      <c r="S1231" s="160"/>
      <c r="T1231" s="160"/>
      <c r="U1231" s="160"/>
      <c r="V1231" s="160" t="s">
        <v>282</v>
      </c>
      <c r="W1231" s="160" t="s">
        <v>1017</v>
      </c>
      <c r="X1231" s="160" t="s">
        <v>597</v>
      </c>
    </row>
    <row r="1232" spans="1:24" ht="25.5" x14ac:dyDescent="0.2">
      <c r="A1232" s="189">
        <v>1272</v>
      </c>
      <c r="B1232" s="162" t="s">
        <v>279</v>
      </c>
      <c r="C1232" s="158">
        <v>1272</v>
      </c>
      <c r="D1232" s="160" t="str">
        <f t="shared" si="90"/>
        <v>SUPERMIX1272</v>
      </c>
      <c r="E1232" s="164" t="s">
        <v>4255</v>
      </c>
      <c r="F1232" s="164" t="s">
        <v>4256</v>
      </c>
      <c r="G1232" s="160" t="s">
        <v>774</v>
      </c>
      <c r="H1232" s="159">
        <v>29738784</v>
      </c>
      <c r="I1232" s="159" t="s">
        <v>3788</v>
      </c>
      <c r="J1232" s="160" t="s">
        <v>4257</v>
      </c>
      <c r="K1232" s="160" t="s">
        <v>4235</v>
      </c>
      <c r="L1232" s="161">
        <v>35495</v>
      </c>
      <c r="M1232" s="161">
        <v>49688</v>
      </c>
      <c r="N1232" s="160">
        <f t="shared" ca="1" si="61"/>
        <v>-3501</v>
      </c>
      <c r="O1232" s="162" t="str">
        <f t="shared" ca="1" si="91"/>
        <v>OK</v>
      </c>
      <c r="P1232" s="159" t="s">
        <v>2827</v>
      </c>
      <c r="Q1232" s="163" t="s">
        <v>312</v>
      </c>
      <c r="R1232" s="160" t="s">
        <v>317</v>
      </c>
      <c r="S1232" s="160"/>
      <c r="T1232" s="160"/>
      <c r="U1232" s="160"/>
      <c r="V1232" s="160" t="s">
        <v>4258</v>
      </c>
      <c r="W1232" s="160" t="s">
        <v>4259</v>
      </c>
      <c r="X1232" s="160" t="s">
        <v>4260</v>
      </c>
    </row>
    <row r="1233" spans="1:24" ht="25.5" x14ac:dyDescent="0.2">
      <c r="A1233" s="189">
        <v>1273</v>
      </c>
      <c r="B1233" s="162" t="s">
        <v>279</v>
      </c>
      <c r="C1233" s="158">
        <v>1273</v>
      </c>
      <c r="D1233" s="160" t="str">
        <f t="shared" si="90"/>
        <v>SUPERMIX1273</v>
      </c>
      <c r="E1233" s="164" t="s">
        <v>4261</v>
      </c>
      <c r="F1233" s="164" t="s">
        <v>4262</v>
      </c>
      <c r="G1233" s="160" t="s">
        <v>2825</v>
      </c>
      <c r="H1233" s="159">
        <v>71220097</v>
      </c>
      <c r="I1233" s="159" t="s">
        <v>3788</v>
      </c>
      <c r="J1233" s="160" t="s">
        <v>4263</v>
      </c>
      <c r="K1233" s="160" t="s">
        <v>4235</v>
      </c>
      <c r="L1233" s="161">
        <v>42458</v>
      </c>
      <c r="M1233" s="161">
        <v>49029</v>
      </c>
      <c r="N1233" s="160">
        <f t="shared" ca="1" si="61"/>
        <v>-2842</v>
      </c>
      <c r="O1233" s="162" t="str">
        <f t="shared" ca="1" si="91"/>
        <v>OK</v>
      </c>
      <c r="P1233" s="159" t="s">
        <v>2827</v>
      </c>
      <c r="Q1233" s="163" t="s">
        <v>312</v>
      </c>
      <c r="R1233" s="160" t="s">
        <v>317</v>
      </c>
      <c r="S1233" s="160"/>
      <c r="T1233" s="160"/>
      <c r="U1233" s="160"/>
      <c r="V1233" s="160" t="s">
        <v>282</v>
      </c>
      <c r="W1233" s="160" t="s">
        <v>4174</v>
      </c>
      <c r="X1233" s="160" t="s">
        <v>4264</v>
      </c>
    </row>
    <row r="1234" spans="1:24" ht="25.5" x14ac:dyDescent="0.2">
      <c r="A1234" s="189">
        <v>1274</v>
      </c>
      <c r="B1234" s="162" t="s">
        <v>279</v>
      </c>
      <c r="C1234" s="158">
        <v>1274</v>
      </c>
      <c r="D1234" s="160" t="str">
        <f t="shared" si="90"/>
        <v>SUPERMIX1274</v>
      </c>
      <c r="E1234" s="164" t="s">
        <v>4267</v>
      </c>
      <c r="F1234" s="164" t="s">
        <v>4268</v>
      </c>
      <c r="G1234" s="160" t="s">
        <v>2825</v>
      </c>
      <c r="H1234" s="159">
        <v>40844633</v>
      </c>
      <c r="I1234" s="159" t="s">
        <v>3788</v>
      </c>
      <c r="J1234" s="160" t="s">
        <v>4269</v>
      </c>
      <c r="K1234" s="160" t="s">
        <v>3625</v>
      </c>
      <c r="L1234" s="161">
        <v>42797</v>
      </c>
      <c r="M1234" s="161">
        <v>47038</v>
      </c>
      <c r="N1234" s="160">
        <f t="shared" ca="1" si="61"/>
        <v>-851</v>
      </c>
      <c r="O1234" s="162" t="str">
        <f t="shared" ca="1" si="91"/>
        <v>OK</v>
      </c>
      <c r="P1234" s="159" t="s">
        <v>2778</v>
      </c>
      <c r="Q1234" s="163" t="s">
        <v>312</v>
      </c>
      <c r="R1234" s="160" t="s">
        <v>317</v>
      </c>
      <c r="S1234" s="160"/>
      <c r="T1234" s="160"/>
      <c r="U1234" s="160"/>
      <c r="V1234" s="160" t="s">
        <v>282</v>
      </c>
      <c r="W1234" s="160" t="s">
        <v>1017</v>
      </c>
      <c r="X1234" s="160" t="s">
        <v>3292</v>
      </c>
    </row>
    <row r="1235" spans="1:24" ht="12.75" x14ac:dyDescent="0.2">
      <c r="A1235" s="189"/>
      <c r="B1235" s="162"/>
      <c r="C1235" s="158"/>
      <c r="D1235" s="160" t="str">
        <f t="shared" si="90"/>
        <v/>
      </c>
      <c r="E1235" s="164"/>
      <c r="F1235" s="164"/>
      <c r="G1235" s="160"/>
      <c r="H1235" s="159"/>
      <c r="I1235" s="159"/>
      <c r="J1235" s="160"/>
      <c r="K1235" s="160"/>
      <c r="L1235" s="161"/>
      <c r="M1235" s="161"/>
      <c r="N1235" s="160">
        <f t="shared" ca="1" si="61"/>
        <v>46187</v>
      </c>
      <c r="O1235" s="162" t="str">
        <f t="shared" ca="1" si="91"/>
        <v>VENCIDA</v>
      </c>
      <c r="P1235" s="159"/>
      <c r="Q1235" s="163"/>
      <c r="R1235" s="160"/>
      <c r="S1235" s="160"/>
      <c r="T1235" s="160"/>
      <c r="U1235" s="160"/>
      <c r="V1235" s="160"/>
      <c r="W1235" s="160"/>
      <c r="X1235" s="160"/>
    </row>
    <row r="1236" spans="1:24" ht="12.75" x14ac:dyDescent="0.2">
      <c r="A1236" s="189"/>
      <c r="B1236" s="162"/>
      <c r="C1236" s="158"/>
      <c r="D1236" s="160" t="str">
        <f t="shared" si="90"/>
        <v/>
      </c>
      <c r="E1236" s="164"/>
      <c r="F1236" s="164"/>
      <c r="G1236" s="160"/>
      <c r="H1236" s="159"/>
      <c r="I1236" s="159"/>
      <c r="J1236" s="160"/>
      <c r="K1236" s="160"/>
      <c r="L1236" s="161"/>
      <c r="M1236" s="161"/>
      <c r="N1236" s="160">
        <f t="shared" ca="1" si="61"/>
        <v>46187</v>
      </c>
      <c r="O1236" s="162" t="str">
        <f t="shared" ca="1" si="91"/>
        <v>VENCIDA</v>
      </c>
      <c r="P1236" s="159"/>
      <c r="Q1236" s="163"/>
      <c r="R1236" s="160"/>
      <c r="S1236" s="160"/>
      <c r="T1236" s="160"/>
      <c r="U1236" s="160"/>
      <c r="V1236" s="160"/>
      <c r="W1236" s="160"/>
      <c r="X1236" s="160"/>
    </row>
    <row r="1237" spans="1:24" ht="12.75" x14ac:dyDescent="0.2">
      <c r="A1237" s="189"/>
      <c r="B1237" s="162"/>
      <c r="C1237" s="158"/>
      <c r="D1237" s="160" t="str">
        <f t="shared" si="90"/>
        <v/>
      </c>
      <c r="E1237" s="164"/>
      <c r="F1237" s="164"/>
      <c r="G1237" s="160"/>
      <c r="H1237" s="159"/>
      <c r="I1237" s="159"/>
      <c r="J1237" s="160"/>
      <c r="K1237" s="160"/>
      <c r="L1237" s="161"/>
      <c r="M1237" s="161"/>
      <c r="N1237" s="160">
        <f t="shared" ca="1" si="61"/>
        <v>46187</v>
      </c>
      <c r="O1237" s="162" t="str">
        <f t="shared" ca="1" si="91"/>
        <v>VENCIDA</v>
      </c>
      <c r="P1237" s="159"/>
      <c r="Q1237" s="163"/>
      <c r="R1237" s="160"/>
      <c r="S1237" s="160"/>
      <c r="T1237" s="160"/>
      <c r="U1237" s="160"/>
      <c r="V1237" s="160"/>
      <c r="W1237" s="160"/>
      <c r="X1237" s="160"/>
    </row>
    <row r="1238" spans="1:24" ht="12.75" x14ac:dyDescent="0.2">
      <c r="A1238" s="189"/>
      <c r="B1238" s="162"/>
      <c r="C1238" s="158"/>
      <c r="D1238" s="160" t="str">
        <f t="shared" si="90"/>
        <v/>
      </c>
      <c r="E1238" s="164"/>
      <c r="F1238" s="164"/>
      <c r="G1238" s="160"/>
      <c r="H1238" s="159"/>
      <c r="I1238" s="159"/>
      <c r="J1238" s="160"/>
      <c r="K1238" s="160"/>
      <c r="L1238" s="161"/>
      <c r="M1238" s="161"/>
      <c r="N1238" s="160">
        <f t="shared" ca="1" si="61"/>
        <v>46187</v>
      </c>
      <c r="O1238" s="162" t="str">
        <f t="shared" ca="1" si="91"/>
        <v>VENCIDA</v>
      </c>
      <c r="P1238" s="159"/>
      <c r="Q1238" s="163"/>
      <c r="R1238" s="160"/>
      <c r="S1238" s="160"/>
      <c r="T1238" s="160"/>
      <c r="U1238" s="160"/>
      <c r="V1238" s="160"/>
      <c r="W1238" s="160"/>
      <c r="X1238" s="160"/>
    </row>
    <row r="1239" spans="1:24" ht="12.75" x14ac:dyDescent="0.2">
      <c r="A1239" s="189"/>
      <c r="B1239" s="162"/>
      <c r="C1239" s="158"/>
      <c r="D1239" s="160" t="str">
        <f t="shared" si="90"/>
        <v/>
      </c>
      <c r="E1239" s="164"/>
      <c r="F1239" s="164"/>
      <c r="G1239" s="160"/>
      <c r="H1239" s="159"/>
      <c r="I1239" s="159"/>
      <c r="J1239" s="160"/>
      <c r="K1239" s="160"/>
      <c r="L1239" s="161"/>
      <c r="M1239" s="161"/>
      <c r="N1239" s="160">
        <f t="shared" ca="1" si="61"/>
        <v>46187</v>
      </c>
      <c r="O1239" s="162" t="str">
        <f t="shared" ca="1" si="91"/>
        <v>VENCIDA</v>
      </c>
      <c r="P1239" s="159"/>
      <c r="Q1239" s="163"/>
      <c r="R1239" s="160"/>
      <c r="S1239" s="160"/>
      <c r="T1239" s="160"/>
      <c r="U1239" s="160"/>
      <c r="V1239" s="160"/>
      <c r="W1239" s="160"/>
      <c r="X1239" s="160"/>
    </row>
    <row r="1240" spans="1:24" ht="12.75" x14ac:dyDescent="0.2">
      <c r="A1240" s="189"/>
      <c r="B1240" s="162"/>
      <c r="C1240" s="158"/>
      <c r="D1240" s="160" t="str">
        <f t="shared" si="90"/>
        <v/>
      </c>
      <c r="E1240" s="164"/>
      <c r="F1240" s="164"/>
      <c r="G1240" s="160"/>
      <c r="H1240" s="159"/>
      <c r="I1240" s="159"/>
      <c r="J1240" s="160"/>
      <c r="K1240" s="160"/>
      <c r="L1240" s="161"/>
      <c r="M1240" s="161"/>
      <c r="N1240" s="160">
        <f t="shared" ref="N1240:N1304" ca="1" si="94">TODAY()-M1240</f>
        <v>46187</v>
      </c>
      <c r="O1240" s="162" t="str">
        <f t="shared" ca="1" si="91"/>
        <v>VENCIDA</v>
      </c>
      <c r="P1240" s="159"/>
      <c r="Q1240" s="163"/>
      <c r="R1240" s="160"/>
      <c r="S1240" s="160"/>
      <c r="T1240" s="160"/>
      <c r="U1240" s="160"/>
      <c r="V1240" s="160"/>
      <c r="W1240" s="160"/>
      <c r="X1240" s="160"/>
    </row>
    <row r="1241" spans="1:24" ht="12.75" x14ac:dyDescent="0.2">
      <c r="A1241" s="189"/>
      <c r="B1241" s="162"/>
      <c r="C1241" s="158"/>
      <c r="D1241" s="160" t="str">
        <f t="shared" si="90"/>
        <v/>
      </c>
      <c r="E1241" s="164"/>
      <c r="F1241" s="164"/>
      <c r="G1241" s="160"/>
      <c r="H1241" s="159"/>
      <c r="I1241" s="159"/>
      <c r="J1241" s="160"/>
      <c r="K1241" s="160"/>
      <c r="L1241" s="161"/>
      <c r="M1241" s="161"/>
      <c r="N1241" s="160">
        <f t="shared" ca="1" si="94"/>
        <v>46187</v>
      </c>
      <c r="O1241" s="162" t="str">
        <f t="shared" ca="1" si="91"/>
        <v>VENCIDA</v>
      </c>
      <c r="P1241" s="159"/>
      <c r="Q1241" s="163"/>
      <c r="R1241" s="160"/>
      <c r="S1241" s="160"/>
      <c r="T1241" s="160"/>
      <c r="U1241" s="160"/>
      <c r="V1241" s="160"/>
      <c r="W1241" s="160"/>
      <c r="X1241" s="160"/>
    </row>
    <row r="1242" spans="1:24" ht="12.75" x14ac:dyDescent="0.2">
      <c r="A1242" s="189"/>
      <c r="B1242" s="162"/>
      <c r="C1242" s="158"/>
      <c r="D1242" s="160" t="str">
        <f t="shared" si="90"/>
        <v/>
      </c>
      <c r="E1242" s="164"/>
      <c r="F1242" s="164"/>
      <c r="G1242" s="160"/>
      <c r="H1242" s="159"/>
      <c r="I1242" s="159"/>
      <c r="J1242" s="160"/>
      <c r="K1242" s="160"/>
      <c r="L1242" s="161"/>
      <c r="M1242" s="161"/>
      <c r="N1242" s="160">
        <f t="shared" ca="1" si="94"/>
        <v>46187</v>
      </c>
      <c r="O1242" s="162" t="str">
        <f t="shared" ca="1" si="91"/>
        <v>VENCIDA</v>
      </c>
      <c r="P1242" s="159"/>
      <c r="Q1242" s="163"/>
      <c r="R1242" s="160"/>
      <c r="S1242" s="160"/>
      <c r="T1242" s="160"/>
      <c r="U1242" s="160"/>
      <c r="V1242" s="160"/>
      <c r="W1242" s="160"/>
      <c r="X1242" s="160"/>
    </row>
    <row r="1243" spans="1:24" ht="12.75" x14ac:dyDescent="0.2">
      <c r="A1243" s="189"/>
      <c r="B1243" s="162"/>
      <c r="C1243" s="158"/>
      <c r="D1243" s="160" t="str">
        <f t="shared" si="90"/>
        <v/>
      </c>
      <c r="E1243" s="164"/>
      <c r="F1243" s="164"/>
      <c r="G1243" s="160"/>
      <c r="H1243" s="159"/>
      <c r="I1243" s="159"/>
      <c r="J1243" s="160"/>
      <c r="K1243" s="160"/>
      <c r="L1243" s="161"/>
      <c r="M1243" s="161"/>
      <c r="N1243" s="160">
        <f t="shared" ca="1" si="94"/>
        <v>46187</v>
      </c>
      <c r="O1243" s="162" t="str">
        <f t="shared" ca="1" si="91"/>
        <v>VENCIDA</v>
      </c>
      <c r="P1243" s="159"/>
      <c r="Q1243" s="163"/>
      <c r="R1243" s="160"/>
      <c r="S1243" s="160"/>
      <c r="T1243" s="160"/>
      <c r="U1243" s="160"/>
      <c r="V1243" s="160"/>
      <c r="W1243" s="160"/>
      <c r="X1243" s="160"/>
    </row>
    <row r="1244" spans="1:24" ht="12.75" x14ac:dyDescent="0.2">
      <c r="A1244" s="189"/>
      <c r="B1244" s="162"/>
      <c r="C1244" s="158"/>
      <c r="D1244" s="160" t="str">
        <f t="shared" si="90"/>
        <v/>
      </c>
      <c r="E1244" s="164"/>
      <c r="F1244" s="164"/>
      <c r="G1244" s="160"/>
      <c r="H1244" s="159"/>
      <c r="I1244" s="159"/>
      <c r="J1244" s="160"/>
      <c r="K1244" s="160"/>
      <c r="L1244" s="161"/>
      <c r="M1244" s="161"/>
      <c r="N1244" s="160">
        <f t="shared" ca="1" si="94"/>
        <v>46187</v>
      </c>
      <c r="O1244" s="162" t="str">
        <f t="shared" ca="1" si="91"/>
        <v>VENCIDA</v>
      </c>
      <c r="P1244" s="159"/>
      <c r="Q1244" s="163"/>
      <c r="R1244" s="160"/>
      <c r="S1244" s="160"/>
      <c r="T1244" s="160"/>
      <c r="U1244" s="160"/>
      <c r="V1244" s="160"/>
      <c r="W1244" s="160"/>
      <c r="X1244" s="160"/>
    </row>
    <row r="1245" spans="1:24" ht="12.75" x14ac:dyDescent="0.2">
      <c r="A1245" s="189"/>
      <c r="B1245" s="162"/>
      <c r="C1245" s="158"/>
      <c r="D1245" s="160" t="str">
        <f t="shared" si="90"/>
        <v/>
      </c>
      <c r="E1245" s="164"/>
      <c r="F1245" s="164"/>
      <c r="G1245" s="160"/>
      <c r="H1245" s="159"/>
      <c r="I1245" s="159"/>
      <c r="J1245" s="160"/>
      <c r="K1245" s="160"/>
      <c r="L1245" s="161"/>
      <c r="M1245" s="161"/>
      <c r="N1245" s="160">
        <f t="shared" ca="1" si="94"/>
        <v>46187</v>
      </c>
      <c r="O1245" s="162" t="str">
        <f t="shared" ca="1" si="91"/>
        <v>VENCIDA</v>
      </c>
      <c r="P1245" s="159"/>
      <c r="Q1245" s="163"/>
      <c r="R1245" s="160"/>
      <c r="S1245" s="160"/>
      <c r="T1245" s="160"/>
      <c r="U1245" s="160"/>
      <c r="V1245" s="160"/>
      <c r="W1245" s="160"/>
      <c r="X1245" s="160"/>
    </row>
    <row r="1246" spans="1:24" ht="12.75" x14ac:dyDescent="0.2">
      <c r="A1246" s="189"/>
      <c r="B1246" s="162"/>
      <c r="C1246" s="158"/>
      <c r="D1246" s="160" t="str">
        <f t="shared" si="90"/>
        <v/>
      </c>
      <c r="E1246" s="164"/>
      <c r="F1246" s="164"/>
      <c r="G1246" s="160"/>
      <c r="H1246" s="159"/>
      <c r="I1246" s="159"/>
      <c r="J1246" s="160"/>
      <c r="K1246" s="160"/>
      <c r="L1246" s="161"/>
      <c r="M1246" s="161"/>
      <c r="N1246" s="160">
        <f t="shared" ca="1" si="94"/>
        <v>46187</v>
      </c>
      <c r="O1246" s="162" t="str">
        <f t="shared" ca="1" si="91"/>
        <v>VENCIDA</v>
      </c>
      <c r="P1246" s="159"/>
      <c r="Q1246" s="163"/>
      <c r="R1246" s="160"/>
      <c r="S1246" s="160"/>
      <c r="T1246" s="160"/>
      <c r="U1246" s="160"/>
      <c r="V1246" s="160"/>
      <c r="W1246" s="160"/>
      <c r="X1246" s="160"/>
    </row>
    <row r="1247" spans="1:24" ht="12.75" x14ac:dyDescent="0.2">
      <c r="A1247" s="189"/>
      <c r="B1247" s="162"/>
      <c r="C1247" s="158"/>
      <c r="D1247" s="160" t="str">
        <f t="shared" si="90"/>
        <v/>
      </c>
      <c r="E1247" s="164"/>
      <c r="F1247" s="164"/>
      <c r="G1247" s="160"/>
      <c r="H1247" s="159"/>
      <c r="I1247" s="159"/>
      <c r="J1247" s="160"/>
      <c r="K1247" s="160"/>
      <c r="L1247" s="161"/>
      <c r="M1247" s="161"/>
      <c r="N1247" s="160">
        <f t="shared" ca="1" si="94"/>
        <v>46187</v>
      </c>
      <c r="O1247" s="162" t="str">
        <f t="shared" ca="1" si="91"/>
        <v>VENCIDA</v>
      </c>
      <c r="P1247" s="159"/>
      <c r="Q1247" s="163"/>
      <c r="R1247" s="160"/>
      <c r="S1247" s="160"/>
      <c r="T1247" s="160"/>
      <c r="U1247" s="160"/>
      <c r="V1247" s="160"/>
      <c r="W1247" s="160"/>
      <c r="X1247" s="160"/>
    </row>
    <row r="1248" spans="1:24" ht="12.75" x14ac:dyDescent="0.2">
      <c r="A1248" s="189"/>
      <c r="B1248" s="162"/>
      <c r="C1248" s="158"/>
      <c r="D1248" s="160" t="str">
        <f t="shared" si="90"/>
        <v/>
      </c>
      <c r="E1248" s="164"/>
      <c r="F1248" s="164"/>
      <c r="G1248" s="160"/>
      <c r="H1248" s="159"/>
      <c r="I1248" s="159"/>
      <c r="J1248" s="160"/>
      <c r="K1248" s="160"/>
      <c r="L1248" s="161"/>
      <c r="M1248" s="161"/>
      <c r="N1248" s="160">
        <f t="shared" ca="1" si="94"/>
        <v>46187</v>
      </c>
      <c r="O1248" s="162" t="str">
        <f t="shared" ca="1" si="91"/>
        <v>VENCIDA</v>
      </c>
      <c r="P1248" s="159"/>
      <c r="Q1248" s="163"/>
      <c r="R1248" s="160"/>
      <c r="S1248" s="160"/>
      <c r="T1248" s="160"/>
      <c r="U1248" s="160"/>
      <c r="V1248" s="160"/>
      <c r="W1248" s="160"/>
      <c r="X1248" s="160"/>
    </row>
    <row r="1249" spans="1:24" ht="12.75" x14ac:dyDescent="0.2">
      <c r="A1249" s="189"/>
      <c r="B1249" s="162"/>
      <c r="C1249" s="158"/>
      <c r="D1249" s="160" t="str">
        <f t="shared" si="90"/>
        <v/>
      </c>
      <c r="E1249" s="164"/>
      <c r="F1249" s="164"/>
      <c r="G1249" s="160"/>
      <c r="H1249" s="159"/>
      <c r="I1249" s="159"/>
      <c r="J1249" s="160"/>
      <c r="K1249" s="160"/>
      <c r="L1249" s="161"/>
      <c r="M1249" s="161"/>
      <c r="N1249" s="160">
        <f t="shared" ca="1" si="94"/>
        <v>46187</v>
      </c>
      <c r="O1249" s="162" t="str">
        <f t="shared" ca="1" si="91"/>
        <v>VENCIDA</v>
      </c>
      <c r="P1249" s="159"/>
      <c r="Q1249" s="163"/>
      <c r="R1249" s="160"/>
      <c r="S1249" s="160"/>
      <c r="T1249" s="160"/>
      <c r="U1249" s="160"/>
      <c r="V1249" s="160"/>
      <c r="W1249" s="160"/>
      <c r="X1249" s="160"/>
    </row>
    <row r="1250" spans="1:24" ht="12.75" x14ac:dyDescent="0.2">
      <c r="A1250" s="189"/>
      <c r="B1250" s="162"/>
      <c r="C1250" s="158"/>
      <c r="D1250" s="160" t="str">
        <f t="shared" si="90"/>
        <v/>
      </c>
      <c r="E1250" s="164"/>
      <c r="F1250" s="164"/>
      <c r="G1250" s="160"/>
      <c r="H1250" s="159"/>
      <c r="I1250" s="159"/>
      <c r="J1250" s="160"/>
      <c r="K1250" s="160"/>
      <c r="L1250" s="161"/>
      <c r="M1250" s="161"/>
      <c r="N1250" s="160">
        <f t="shared" ca="1" si="94"/>
        <v>46187</v>
      </c>
      <c r="O1250" s="162" t="str">
        <f t="shared" ca="1" si="91"/>
        <v>VENCIDA</v>
      </c>
      <c r="P1250" s="159"/>
      <c r="Q1250" s="163"/>
      <c r="R1250" s="160"/>
      <c r="S1250" s="160"/>
      <c r="T1250" s="160"/>
      <c r="U1250" s="160"/>
      <c r="V1250" s="160"/>
      <c r="W1250" s="160"/>
      <c r="X1250" s="160"/>
    </row>
    <row r="1251" spans="1:24" ht="12.75" x14ac:dyDescent="0.2">
      <c r="A1251" s="189"/>
      <c r="B1251" s="162"/>
      <c r="C1251" s="158"/>
      <c r="D1251" s="160" t="str">
        <f t="shared" si="90"/>
        <v/>
      </c>
      <c r="E1251" s="164"/>
      <c r="F1251" s="164"/>
      <c r="G1251" s="160"/>
      <c r="H1251" s="159"/>
      <c r="I1251" s="159"/>
      <c r="J1251" s="160"/>
      <c r="K1251" s="160"/>
      <c r="L1251" s="161"/>
      <c r="M1251" s="161"/>
      <c r="N1251" s="160">
        <f t="shared" ca="1" si="94"/>
        <v>46187</v>
      </c>
      <c r="O1251" s="162" t="str">
        <f t="shared" ca="1" si="91"/>
        <v>VENCIDA</v>
      </c>
      <c r="P1251" s="159"/>
      <c r="Q1251" s="163"/>
      <c r="R1251" s="160"/>
      <c r="S1251" s="160"/>
      <c r="T1251" s="160"/>
      <c r="U1251" s="160"/>
      <c r="V1251" s="160"/>
      <c r="W1251" s="160"/>
      <c r="X1251" s="160"/>
    </row>
    <row r="1252" spans="1:24" ht="12.75" x14ac:dyDescent="0.2">
      <c r="A1252" s="189"/>
      <c r="B1252" s="162"/>
      <c r="C1252" s="158"/>
      <c r="D1252" s="160" t="str">
        <f t="shared" si="90"/>
        <v/>
      </c>
      <c r="E1252" s="164"/>
      <c r="F1252" s="164"/>
      <c r="G1252" s="160"/>
      <c r="H1252" s="159"/>
      <c r="I1252" s="159"/>
      <c r="J1252" s="160"/>
      <c r="K1252" s="160"/>
      <c r="L1252" s="161"/>
      <c r="M1252" s="161"/>
      <c r="N1252" s="160">
        <f t="shared" ca="1" si="94"/>
        <v>46187</v>
      </c>
      <c r="O1252" s="162" t="str">
        <f t="shared" ca="1" si="91"/>
        <v>VENCIDA</v>
      </c>
      <c r="P1252" s="159"/>
      <c r="Q1252" s="163"/>
      <c r="R1252" s="160"/>
      <c r="S1252" s="160"/>
      <c r="T1252" s="160"/>
      <c r="U1252" s="160"/>
      <c r="V1252" s="160"/>
      <c r="W1252" s="160"/>
      <c r="X1252" s="160"/>
    </row>
    <row r="1253" spans="1:24" ht="12.75" x14ac:dyDescent="0.2">
      <c r="A1253" s="189"/>
      <c r="B1253" s="162"/>
      <c r="C1253" s="158"/>
      <c r="D1253" s="160" t="str">
        <f t="shared" ref="D1253:D1284" si="95">CONCATENATE(B1253,C1253)</f>
        <v/>
      </c>
      <c r="E1253" s="164"/>
      <c r="F1253" s="164"/>
      <c r="G1253" s="160"/>
      <c r="H1253" s="159"/>
      <c r="I1253" s="159"/>
      <c r="J1253" s="160"/>
      <c r="K1253" s="160"/>
      <c r="L1253" s="161"/>
      <c r="M1253" s="161"/>
      <c r="N1253" s="160">
        <f t="shared" ca="1" si="94"/>
        <v>46187</v>
      </c>
      <c r="O1253" s="162" t="str">
        <f t="shared" ref="O1253:O1284" ca="1" si="96">IF(N1253&lt;-5,"OK","VENCIDA")</f>
        <v>VENCIDA</v>
      </c>
      <c r="P1253" s="159"/>
      <c r="Q1253" s="163"/>
      <c r="R1253" s="160"/>
      <c r="S1253" s="160"/>
      <c r="T1253" s="160"/>
      <c r="U1253" s="160"/>
      <c r="V1253" s="160"/>
      <c r="W1253" s="160"/>
      <c r="X1253" s="160"/>
    </row>
    <row r="1254" spans="1:24" ht="12.75" x14ac:dyDescent="0.2">
      <c r="A1254" s="189"/>
      <c r="B1254" s="162"/>
      <c r="C1254" s="158"/>
      <c r="D1254" s="160" t="str">
        <f t="shared" si="95"/>
        <v/>
      </c>
      <c r="E1254" s="164"/>
      <c r="F1254" s="164"/>
      <c r="G1254" s="160"/>
      <c r="H1254" s="159"/>
      <c r="I1254" s="159"/>
      <c r="J1254" s="160"/>
      <c r="K1254" s="160"/>
      <c r="L1254" s="161"/>
      <c r="M1254" s="161"/>
      <c r="N1254" s="160">
        <f t="shared" ca="1" si="94"/>
        <v>46187</v>
      </c>
      <c r="O1254" s="162" t="str">
        <f t="shared" ca="1" si="96"/>
        <v>VENCIDA</v>
      </c>
      <c r="P1254" s="159"/>
      <c r="Q1254" s="163"/>
      <c r="R1254" s="160"/>
      <c r="S1254" s="160"/>
      <c r="T1254" s="160"/>
      <c r="U1254" s="160"/>
      <c r="V1254" s="160"/>
      <c r="W1254" s="160"/>
      <c r="X1254" s="160"/>
    </row>
    <row r="1255" spans="1:24" ht="12.75" x14ac:dyDescent="0.2">
      <c r="A1255" s="189"/>
      <c r="B1255" s="162"/>
      <c r="C1255" s="158"/>
      <c r="D1255" s="160" t="str">
        <f t="shared" si="95"/>
        <v/>
      </c>
      <c r="E1255" s="164"/>
      <c r="F1255" s="164"/>
      <c r="G1255" s="160"/>
      <c r="H1255" s="159"/>
      <c r="I1255" s="159"/>
      <c r="J1255" s="160"/>
      <c r="K1255" s="160"/>
      <c r="L1255" s="161"/>
      <c r="M1255" s="161"/>
      <c r="N1255" s="160">
        <f t="shared" ca="1" si="94"/>
        <v>46187</v>
      </c>
      <c r="O1255" s="162" t="str">
        <f t="shared" ca="1" si="96"/>
        <v>VENCIDA</v>
      </c>
      <c r="P1255" s="159"/>
      <c r="Q1255" s="163"/>
      <c r="R1255" s="160"/>
      <c r="S1255" s="160"/>
      <c r="T1255" s="160"/>
      <c r="U1255" s="160"/>
      <c r="V1255" s="160"/>
      <c r="W1255" s="160"/>
      <c r="X1255" s="160"/>
    </row>
    <row r="1256" spans="1:24" ht="12.75" x14ac:dyDescent="0.2">
      <c r="A1256" s="189"/>
      <c r="B1256" s="162"/>
      <c r="C1256" s="158"/>
      <c r="D1256" s="160" t="str">
        <f t="shared" si="95"/>
        <v/>
      </c>
      <c r="E1256" s="164"/>
      <c r="F1256" s="164"/>
      <c r="G1256" s="160"/>
      <c r="H1256" s="159"/>
      <c r="I1256" s="159"/>
      <c r="J1256" s="160"/>
      <c r="K1256" s="160"/>
      <c r="L1256" s="161"/>
      <c r="M1256" s="161"/>
      <c r="N1256" s="160">
        <f t="shared" ca="1" si="94"/>
        <v>46187</v>
      </c>
      <c r="O1256" s="162" t="str">
        <f t="shared" ca="1" si="96"/>
        <v>VENCIDA</v>
      </c>
      <c r="P1256" s="159"/>
      <c r="Q1256" s="163"/>
      <c r="R1256" s="160"/>
      <c r="S1256" s="160"/>
      <c r="T1256" s="160"/>
      <c r="U1256" s="160"/>
      <c r="V1256" s="160"/>
      <c r="W1256" s="160"/>
      <c r="X1256" s="160"/>
    </row>
    <row r="1257" spans="1:24" ht="12.75" x14ac:dyDescent="0.2">
      <c r="A1257" s="189"/>
      <c r="B1257" s="162"/>
      <c r="C1257" s="158"/>
      <c r="D1257" s="160" t="str">
        <f t="shared" si="95"/>
        <v/>
      </c>
      <c r="E1257" s="164"/>
      <c r="F1257" s="164"/>
      <c r="G1257" s="160"/>
      <c r="H1257" s="159"/>
      <c r="I1257" s="159"/>
      <c r="J1257" s="160"/>
      <c r="K1257" s="160"/>
      <c r="L1257" s="161"/>
      <c r="M1257" s="161"/>
      <c r="N1257" s="160">
        <f t="shared" ca="1" si="94"/>
        <v>46187</v>
      </c>
      <c r="O1257" s="162" t="str">
        <f t="shared" ca="1" si="96"/>
        <v>VENCIDA</v>
      </c>
      <c r="P1257" s="159"/>
      <c r="Q1257" s="163"/>
      <c r="R1257" s="160"/>
      <c r="S1257" s="160"/>
      <c r="T1257" s="160"/>
      <c r="U1257" s="160"/>
      <c r="V1257" s="160"/>
      <c r="W1257" s="160"/>
      <c r="X1257" s="160"/>
    </row>
    <row r="1258" spans="1:24" ht="12.75" x14ac:dyDescent="0.2">
      <c r="A1258" s="189"/>
      <c r="B1258" s="162"/>
      <c r="C1258" s="158"/>
      <c r="D1258" s="160" t="str">
        <f t="shared" si="95"/>
        <v/>
      </c>
      <c r="E1258" s="164"/>
      <c r="F1258" s="164"/>
      <c r="G1258" s="160"/>
      <c r="H1258" s="159"/>
      <c r="I1258" s="159"/>
      <c r="J1258" s="160"/>
      <c r="K1258" s="160"/>
      <c r="L1258" s="161"/>
      <c r="M1258" s="161"/>
      <c r="N1258" s="160">
        <f t="shared" ca="1" si="94"/>
        <v>46187</v>
      </c>
      <c r="O1258" s="162" t="str">
        <f t="shared" ca="1" si="96"/>
        <v>VENCIDA</v>
      </c>
      <c r="P1258" s="159"/>
      <c r="Q1258" s="163"/>
      <c r="R1258" s="160"/>
      <c r="S1258" s="160"/>
      <c r="T1258" s="160"/>
      <c r="U1258" s="160"/>
      <c r="V1258" s="160"/>
      <c r="W1258" s="160"/>
      <c r="X1258" s="160"/>
    </row>
    <row r="1259" spans="1:24" ht="12.75" x14ac:dyDescent="0.2">
      <c r="A1259" s="189"/>
      <c r="B1259" s="162"/>
      <c r="C1259" s="158"/>
      <c r="D1259" s="160" t="str">
        <f t="shared" si="95"/>
        <v/>
      </c>
      <c r="E1259" s="164"/>
      <c r="F1259" s="164"/>
      <c r="G1259" s="160"/>
      <c r="H1259" s="159"/>
      <c r="I1259" s="159"/>
      <c r="J1259" s="160"/>
      <c r="K1259" s="160"/>
      <c r="L1259" s="161"/>
      <c r="M1259" s="161"/>
      <c r="N1259" s="160">
        <f t="shared" ca="1" si="94"/>
        <v>46187</v>
      </c>
      <c r="O1259" s="162" t="str">
        <f t="shared" ca="1" si="96"/>
        <v>VENCIDA</v>
      </c>
      <c r="P1259" s="159"/>
      <c r="Q1259" s="163"/>
      <c r="R1259" s="160"/>
      <c r="S1259" s="160"/>
      <c r="T1259" s="160"/>
      <c r="U1259" s="160"/>
      <c r="V1259" s="160"/>
      <c r="W1259" s="160"/>
      <c r="X1259" s="160"/>
    </row>
    <row r="1260" spans="1:24" ht="12.75" x14ac:dyDescent="0.2">
      <c r="A1260" s="189"/>
      <c r="B1260" s="162"/>
      <c r="C1260" s="158"/>
      <c r="D1260" s="160" t="str">
        <f t="shared" si="95"/>
        <v/>
      </c>
      <c r="E1260" s="164"/>
      <c r="F1260" s="164"/>
      <c r="G1260" s="160"/>
      <c r="H1260" s="159"/>
      <c r="I1260" s="159"/>
      <c r="J1260" s="160"/>
      <c r="K1260" s="160"/>
      <c r="L1260" s="161"/>
      <c r="M1260" s="161"/>
      <c r="N1260" s="160">
        <f t="shared" ca="1" si="94"/>
        <v>46187</v>
      </c>
      <c r="O1260" s="162" t="str">
        <f t="shared" ca="1" si="96"/>
        <v>VENCIDA</v>
      </c>
      <c r="P1260" s="159"/>
      <c r="Q1260" s="163"/>
      <c r="R1260" s="160"/>
      <c r="S1260" s="160"/>
      <c r="T1260" s="160"/>
      <c r="U1260" s="160"/>
      <c r="V1260" s="160"/>
      <c r="W1260" s="160"/>
      <c r="X1260" s="160"/>
    </row>
    <row r="1261" spans="1:24" ht="12.75" x14ac:dyDescent="0.2">
      <c r="A1261" s="189"/>
      <c r="B1261" s="162"/>
      <c r="C1261" s="158"/>
      <c r="D1261" s="160" t="str">
        <f t="shared" si="95"/>
        <v/>
      </c>
      <c r="E1261" s="164"/>
      <c r="F1261" s="164"/>
      <c r="G1261" s="160"/>
      <c r="H1261" s="159"/>
      <c r="I1261" s="159"/>
      <c r="J1261" s="160"/>
      <c r="K1261" s="160"/>
      <c r="L1261" s="161"/>
      <c r="M1261" s="161"/>
      <c r="N1261" s="160">
        <f t="shared" ca="1" si="94"/>
        <v>46187</v>
      </c>
      <c r="O1261" s="162" t="str">
        <f t="shared" ca="1" si="96"/>
        <v>VENCIDA</v>
      </c>
      <c r="P1261" s="159"/>
      <c r="Q1261" s="163"/>
      <c r="R1261" s="160"/>
      <c r="S1261" s="160"/>
      <c r="T1261" s="160"/>
      <c r="U1261" s="160"/>
      <c r="V1261" s="160"/>
      <c r="W1261" s="160"/>
      <c r="X1261" s="160"/>
    </row>
    <row r="1262" spans="1:24" ht="12.75" x14ac:dyDescent="0.2">
      <c r="A1262" s="189"/>
      <c r="B1262" s="162"/>
      <c r="C1262" s="158"/>
      <c r="D1262" s="160" t="str">
        <f t="shared" si="95"/>
        <v/>
      </c>
      <c r="E1262" s="164"/>
      <c r="F1262" s="164"/>
      <c r="G1262" s="160"/>
      <c r="H1262" s="159"/>
      <c r="I1262" s="159"/>
      <c r="J1262" s="160"/>
      <c r="K1262" s="160"/>
      <c r="L1262" s="161"/>
      <c r="M1262" s="161"/>
      <c r="N1262" s="160">
        <f t="shared" ca="1" si="94"/>
        <v>46187</v>
      </c>
      <c r="O1262" s="162" t="str">
        <f t="shared" ca="1" si="96"/>
        <v>VENCIDA</v>
      </c>
      <c r="P1262" s="159"/>
      <c r="Q1262" s="163"/>
      <c r="R1262" s="160"/>
      <c r="S1262" s="160"/>
      <c r="T1262" s="160"/>
      <c r="U1262" s="160"/>
      <c r="V1262" s="160"/>
      <c r="W1262" s="160"/>
      <c r="X1262" s="160"/>
    </row>
    <row r="1263" spans="1:24" ht="12.75" x14ac:dyDescent="0.2">
      <c r="A1263" s="189"/>
      <c r="B1263" s="162"/>
      <c r="C1263" s="158"/>
      <c r="D1263" s="160" t="str">
        <f t="shared" si="95"/>
        <v/>
      </c>
      <c r="E1263" s="164"/>
      <c r="F1263" s="164"/>
      <c r="G1263" s="160"/>
      <c r="H1263" s="159"/>
      <c r="I1263" s="159"/>
      <c r="J1263" s="160"/>
      <c r="K1263" s="160"/>
      <c r="L1263" s="161"/>
      <c r="M1263" s="161"/>
      <c r="N1263" s="160">
        <f t="shared" ca="1" si="94"/>
        <v>46187</v>
      </c>
      <c r="O1263" s="162" t="str">
        <f t="shared" ca="1" si="96"/>
        <v>VENCIDA</v>
      </c>
      <c r="P1263" s="159"/>
      <c r="Q1263" s="163"/>
      <c r="R1263" s="160"/>
      <c r="S1263" s="160"/>
      <c r="T1263" s="160"/>
      <c r="U1263" s="160"/>
      <c r="V1263" s="160"/>
      <c r="W1263" s="160"/>
      <c r="X1263" s="160"/>
    </row>
    <row r="1264" spans="1:24" ht="12.75" x14ac:dyDescent="0.2">
      <c r="A1264" s="189"/>
      <c r="B1264" s="162"/>
      <c r="C1264" s="158"/>
      <c r="D1264" s="160" t="str">
        <f t="shared" si="95"/>
        <v/>
      </c>
      <c r="E1264" s="164"/>
      <c r="F1264" s="164"/>
      <c r="G1264" s="160"/>
      <c r="H1264" s="159"/>
      <c r="I1264" s="159"/>
      <c r="J1264" s="160"/>
      <c r="K1264" s="160"/>
      <c r="L1264" s="161"/>
      <c r="M1264" s="161"/>
      <c r="N1264" s="160">
        <f t="shared" ca="1" si="94"/>
        <v>46187</v>
      </c>
      <c r="O1264" s="162" t="str">
        <f t="shared" ca="1" si="96"/>
        <v>VENCIDA</v>
      </c>
      <c r="P1264" s="159"/>
      <c r="Q1264" s="163"/>
      <c r="R1264" s="160"/>
      <c r="S1264" s="160"/>
      <c r="T1264" s="160"/>
      <c r="U1264" s="160"/>
      <c r="V1264" s="160"/>
      <c r="W1264" s="160"/>
      <c r="X1264" s="160"/>
    </row>
    <row r="1265" spans="1:24" ht="12.75" x14ac:dyDescent="0.2">
      <c r="A1265" s="189"/>
      <c r="B1265" s="162"/>
      <c r="C1265" s="158"/>
      <c r="D1265" s="160" t="str">
        <f t="shared" si="95"/>
        <v/>
      </c>
      <c r="E1265" s="164"/>
      <c r="F1265" s="164"/>
      <c r="G1265" s="160"/>
      <c r="H1265" s="159"/>
      <c r="I1265" s="159"/>
      <c r="J1265" s="160"/>
      <c r="K1265" s="160"/>
      <c r="L1265" s="161"/>
      <c r="M1265" s="161"/>
      <c r="N1265" s="160">
        <f t="shared" ca="1" si="94"/>
        <v>46187</v>
      </c>
      <c r="O1265" s="162" t="str">
        <f t="shared" ca="1" si="96"/>
        <v>VENCIDA</v>
      </c>
      <c r="P1265" s="159"/>
      <c r="Q1265" s="163"/>
      <c r="R1265" s="160"/>
      <c r="S1265" s="160"/>
      <c r="T1265" s="160"/>
      <c r="U1265" s="160"/>
      <c r="V1265" s="160"/>
      <c r="W1265" s="160"/>
      <c r="X1265" s="160"/>
    </row>
    <row r="1266" spans="1:24" ht="12.75" x14ac:dyDescent="0.2">
      <c r="A1266" s="189"/>
      <c r="B1266" s="162"/>
      <c r="C1266" s="158"/>
      <c r="D1266" s="160" t="str">
        <f t="shared" si="95"/>
        <v/>
      </c>
      <c r="E1266" s="164"/>
      <c r="F1266" s="164"/>
      <c r="G1266" s="160"/>
      <c r="H1266" s="159"/>
      <c r="I1266" s="159"/>
      <c r="J1266" s="160"/>
      <c r="K1266" s="160"/>
      <c r="L1266" s="161"/>
      <c r="M1266" s="161"/>
      <c r="N1266" s="160">
        <f t="shared" ca="1" si="94"/>
        <v>46187</v>
      </c>
      <c r="O1266" s="162" t="str">
        <f t="shared" ca="1" si="96"/>
        <v>VENCIDA</v>
      </c>
      <c r="P1266" s="159"/>
      <c r="Q1266" s="163"/>
      <c r="R1266" s="160"/>
      <c r="S1266" s="160"/>
      <c r="T1266" s="160"/>
      <c r="U1266" s="160"/>
      <c r="V1266" s="160"/>
      <c r="W1266" s="160"/>
      <c r="X1266" s="160"/>
    </row>
    <row r="1267" spans="1:24" ht="12.75" x14ac:dyDescent="0.2">
      <c r="A1267" s="189"/>
      <c r="B1267" s="162"/>
      <c r="C1267" s="158"/>
      <c r="D1267" s="160" t="str">
        <f t="shared" si="95"/>
        <v/>
      </c>
      <c r="E1267" s="164"/>
      <c r="F1267" s="164"/>
      <c r="G1267" s="160"/>
      <c r="H1267" s="159"/>
      <c r="I1267" s="159"/>
      <c r="J1267" s="160"/>
      <c r="K1267" s="160"/>
      <c r="L1267" s="161"/>
      <c r="M1267" s="161"/>
      <c r="N1267" s="160">
        <f t="shared" ca="1" si="94"/>
        <v>46187</v>
      </c>
      <c r="O1267" s="162" t="str">
        <f t="shared" ca="1" si="96"/>
        <v>VENCIDA</v>
      </c>
      <c r="P1267" s="159"/>
      <c r="Q1267" s="163"/>
      <c r="R1267" s="160"/>
      <c r="S1267" s="160"/>
      <c r="T1267" s="160"/>
      <c r="U1267" s="160"/>
      <c r="V1267" s="160"/>
      <c r="W1267" s="160"/>
      <c r="X1267" s="160"/>
    </row>
    <row r="1268" spans="1:24" ht="12.75" x14ac:dyDescent="0.2">
      <c r="A1268" s="189"/>
      <c r="B1268" s="162"/>
      <c r="C1268" s="158"/>
      <c r="D1268" s="160" t="str">
        <f t="shared" si="95"/>
        <v/>
      </c>
      <c r="E1268" s="164"/>
      <c r="F1268" s="164"/>
      <c r="G1268" s="160"/>
      <c r="H1268" s="159"/>
      <c r="I1268" s="159"/>
      <c r="J1268" s="160"/>
      <c r="K1268" s="160"/>
      <c r="L1268" s="161"/>
      <c r="M1268" s="161"/>
      <c r="N1268" s="160">
        <f t="shared" ca="1" si="94"/>
        <v>46187</v>
      </c>
      <c r="O1268" s="162" t="str">
        <f t="shared" ca="1" si="96"/>
        <v>VENCIDA</v>
      </c>
      <c r="P1268" s="159"/>
      <c r="Q1268" s="163"/>
      <c r="R1268" s="160"/>
      <c r="S1268" s="160"/>
      <c r="T1268" s="160"/>
      <c r="U1268" s="160"/>
      <c r="V1268" s="160"/>
      <c r="W1268" s="160"/>
      <c r="X1268" s="160"/>
    </row>
    <row r="1269" spans="1:24" ht="12.75" x14ac:dyDescent="0.2">
      <c r="A1269" s="189"/>
      <c r="B1269" s="162"/>
      <c r="C1269" s="158"/>
      <c r="D1269" s="160" t="str">
        <f t="shared" si="95"/>
        <v/>
      </c>
      <c r="E1269" s="164"/>
      <c r="F1269" s="164"/>
      <c r="G1269" s="160"/>
      <c r="H1269" s="159"/>
      <c r="I1269" s="159"/>
      <c r="J1269" s="160"/>
      <c r="K1269" s="160"/>
      <c r="L1269" s="161"/>
      <c r="M1269" s="161"/>
      <c r="N1269" s="160">
        <f t="shared" ca="1" si="94"/>
        <v>46187</v>
      </c>
      <c r="O1269" s="162" t="str">
        <f t="shared" ca="1" si="96"/>
        <v>VENCIDA</v>
      </c>
      <c r="P1269" s="159"/>
      <c r="Q1269" s="163"/>
      <c r="R1269" s="160"/>
      <c r="S1269" s="160"/>
      <c r="T1269" s="160"/>
      <c r="U1269" s="160"/>
      <c r="V1269" s="160"/>
      <c r="W1269" s="160"/>
      <c r="X1269" s="160"/>
    </row>
    <row r="1270" spans="1:24" ht="12.75" x14ac:dyDescent="0.2">
      <c r="A1270" s="189"/>
      <c r="B1270" s="162"/>
      <c r="C1270" s="158"/>
      <c r="D1270" s="160" t="str">
        <f t="shared" si="95"/>
        <v/>
      </c>
      <c r="E1270" s="164"/>
      <c r="F1270" s="164"/>
      <c r="G1270" s="160"/>
      <c r="H1270" s="159"/>
      <c r="I1270" s="159"/>
      <c r="J1270" s="160"/>
      <c r="K1270" s="160"/>
      <c r="L1270" s="161"/>
      <c r="M1270" s="161"/>
      <c r="N1270" s="160">
        <f t="shared" ca="1" si="94"/>
        <v>46187</v>
      </c>
      <c r="O1270" s="162" t="str">
        <f t="shared" ca="1" si="96"/>
        <v>VENCIDA</v>
      </c>
      <c r="P1270" s="159"/>
      <c r="Q1270" s="163"/>
      <c r="R1270" s="160"/>
      <c r="S1270" s="160"/>
      <c r="T1270" s="160"/>
      <c r="U1270" s="160"/>
      <c r="V1270" s="160"/>
      <c r="W1270" s="160"/>
      <c r="X1270" s="160"/>
    </row>
    <row r="1271" spans="1:24" ht="12.75" x14ac:dyDescent="0.2">
      <c r="A1271" s="189"/>
      <c r="B1271" s="162"/>
      <c r="C1271" s="158"/>
      <c r="D1271" s="160" t="str">
        <f t="shared" si="95"/>
        <v/>
      </c>
      <c r="E1271" s="164"/>
      <c r="F1271" s="164"/>
      <c r="G1271" s="160"/>
      <c r="H1271" s="159"/>
      <c r="I1271" s="159"/>
      <c r="J1271" s="160"/>
      <c r="K1271" s="160"/>
      <c r="L1271" s="161"/>
      <c r="M1271" s="161"/>
      <c r="N1271" s="160">
        <f t="shared" ca="1" si="94"/>
        <v>46187</v>
      </c>
      <c r="O1271" s="162" t="str">
        <f t="shared" ca="1" si="96"/>
        <v>VENCIDA</v>
      </c>
      <c r="P1271" s="159"/>
      <c r="Q1271" s="163"/>
      <c r="R1271" s="160"/>
      <c r="S1271" s="160"/>
      <c r="T1271" s="160"/>
      <c r="U1271" s="160"/>
      <c r="V1271" s="160"/>
      <c r="W1271" s="160"/>
      <c r="X1271" s="160"/>
    </row>
    <row r="1272" spans="1:24" ht="12.75" x14ac:dyDescent="0.2">
      <c r="A1272" s="189"/>
      <c r="B1272" s="162"/>
      <c r="C1272" s="158"/>
      <c r="D1272" s="160" t="str">
        <f t="shared" si="95"/>
        <v/>
      </c>
      <c r="E1272" s="164"/>
      <c r="F1272" s="164"/>
      <c r="G1272" s="160"/>
      <c r="H1272" s="159"/>
      <c r="I1272" s="159"/>
      <c r="J1272" s="160"/>
      <c r="K1272" s="160"/>
      <c r="L1272" s="161"/>
      <c r="M1272" s="161"/>
      <c r="N1272" s="160">
        <f t="shared" ca="1" si="94"/>
        <v>46187</v>
      </c>
      <c r="O1272" s="162" t="str">
        <f t="shared" ca="1" si="96"/>
        <v>VENCIDA</v>
      </c>
      <c r="P1272" s="159"/>
      <c r="Q1272" s="163"/>
      <c r="R1272" s="160"/>
      <c r="S1272" s="160"/>
      <c r="T1272" s="160"/>
      <c r="U1272" s="160"/>
      <c r="V1272" s="160"/>
      <c r="W1272" s="160"/>
      <c r="X1272" s="160"/>
    </row>
    <row r="1273" spans="1:24" ht="12.75" x14ac:dyDescent="0.2">
      <c r="A1273" s="189"/>
      <c r="B1273" s="162"/>
      <c r="C1273" s="158"/>
      <c r="D1273" s="160" t="str">
        <f t="shared" si="95"/>
        <v/>
      </c>
      <c r="E1273" s="164"/>
      <c r="F1273" s="164"/>
      <c r="G1273" s="160"/>
      <c r="H1273" s="159"/>
      <c r="I1273" s="159"/>
      <c r="J1273" s="160"/>
      <c r="K1273" s="160"/>
      <c r="L1273" s="161"/>
      <c r="M1273" s="161"/>
      <c r="N1273" s="160">
        <f t="shared" ca="1" si="94"/>
        <v>46187</v>
      </c>
      <c r="O1273" s="162" t="str">
        <f t="shared" ca="1" si="96"/>
        <v>VENCIDA</v>
      </c>
      <c r="P1273" s="159"/>
      <c r="Q1273" s="163"/>
      <c r="R1273" s="160"/>
      <c r="S1273" s="160"/>
      <c r="T1273" s="160"/>
      <c r="U1273" s="160"/>
      <c r="V1273" s="160"/>
      <c r="W1273" s="160"/>
      <c r="X1273" s="160"/>
    </row>
    <row r="1274" spans="1:24" ht="12.75" x14ac:dyDescent="0.2">
      <c r="A1274" s="189"/>
      <c r="B1274" s="162"/>
      <c r="C1274" s="158"/>
      <c r="D1274" s="160" t="str">
        <f t="shared" si="95"/>
        <v/>
      </c>
      <c r="E1274" s="164"/>
      <c r="F1274" s="164"/>
      <c r="G1274" s="160"/>
      <c r="H1274" s="159"/>
      <c r="I1274" s="159"/>
      <c r="J1274" s="160"/>
      <c r="K1274" s="160"/>
      <c r="L1274" s="161"/>
      <c r="M1274" s="161"/>
      <c r="N1274" s="160">
        <f t="shared" ca="1" si="94"/>
        <v>46187</v>
      </c>
      <c r="O1274" s="162" t="str">
        <f t="shared" ca="1" si="96"/>
        <v>VENCIDA</v>
      </c>
      <c r="P1274" s="159"/>
      <c r="Q1274" s="163"/>
      <c r="R1274" s="160"/>
      <c r="S1274" s="160"/>
      <c r="T1274" s="160"/>
      <c r="U1274" s="160"/>
      <c r="V1274" s="160"/>
      <c r="W1274" s="160"/>
      <c r="X1274" s="160"/>
    </row>
    <row r="1275" spans="1:24" ht="12.75" x14ac:dyDescent="0.2">
      <c r="A1275" s="189"/>
      <c r="B1275" s="162"/>
      <c r="C1275" s="158"/>
      <c r="D1275" s="160" t="str">
        <f t="shared" si="95"/>
        <v/>
      </c>
      <c r="E1275" s="164"/>
      <c r="F1275" s="164"/>
      <c r="G1275" s="160"/>
      <c r="H1275" s="159"/>
      <c r="I1275" s="159"/>
      <c r="J1275" s="160"/>
      <c r="K1275" s="160"/>
      <c r="L1275" s="161"/>
      <c r="M1275" s="161"/>
      <c r="N1275" s="160">
        <f t="shared" ca="1" si="94"/>
        <v>46187</v>
      </c>
      <c r="O1275" s="162" t="str">
        <f t="shared" ca="1" si="96"/>
        <v>VENCIDA</v>
      </c>
      <c r="P1275" s="159"/>
      <c r="Q1275" s="163"/>
      <c r="R1275" s="160"/>
      <c r="S1275" s="160"/>
      <c r="T1275" s="160"/>
      <c r="U1275" s="160"/>
      <c r="V1275" s="160"/>
      <c r="W1275" s="160"/>
      <c r="X1275" s="160"/>
    </row>
    <row r="1276" spans="1:24" ht="12.75" x14ac:dyDescent="0.2">
      <c r="A1276" s="189"/>
      <c r="B1276" s="162"/>
      <c r="C1276" s="158"/>
      <c r="D1276" s="160" t="str">
        <f t="shared" si="95"/>
        <v/>
      </c>
      <c r="E1276" s="164"/>
      <c r="F1276" s="164"/>
      <c r="G1276" s="160"/>
      <c r="H1276" s="159"/>
      <c r="I1276" s="159"/>
      <c r="J1276" s="160"/>
      <c r="K1276" s="160"/>
      <c r="L1276" s="161"/>
      <c r="M1276" s="161"/>
      <c r="N1276" s="160">
        <f t="shared" ca="1" si="94"/>
        <v>46187</v>
      </c>
      <c r="O1276" s="162" t="str">
        <f t="shared" ca="1" si="96"/>
        <v>VENCIDA</v>
      </c>
      <c r="P1276" s="159"/>
      <c r="Q1276" s="163"/>
      <c r="R1276" s="160"/>
      <c r="S1276" s="160"/>
      <c r="T1276" s="160"/>
      <c r="U1276" s="160"/>
      <c r="V1276" s="160"/>
      <c r="W1276" s="160"/>
      <c r="X1276" s="160"/>
    </row>
    <row r="1277" spans="1:24" ht="12.75" x14ac:dyDescent="0.2">
      <c r="A1277" s="189"/>
      <c r="B1277" s="162"/>
      <c r="C1277" s="158"/>
      <c r="D1277" s="160" t="str">
        <f t="shared" si="95"/>
        <v/>
      </c>
      <c r="E1277" s="164"/>
      <c r="F1277" s="164"/>
      <c r="G1277" s="160"/>
      <c r="H1277" s="159"/>
      <c r="I1277" s="159"/>
      <c r="J1277" s="160"/>
      <c r="K1277" s="160"/>
      <c r="L1277" s="161"/>
      <c r="M1277" s="161"/>
      <c r="N1277" s="160">
        <f t="shared" ca="1" si="94"/>
        <v>46187</v>
      </c>
      <c r="O1277" s="162" t="str">
        <f t="shared" ca="1" si="96"/>
        <v>VENCIDA</v>
      </c>
      <c r="P1277" s="159"/>
      <c r="Q1277" s="163"/>
      <c r="R1277" s="160"/>
      <c r="S1277" s="160"/>
      <c r="T1277" s="160"/>
      <c r="U1277" s="160"/>
      <c r="V1277" s="160"/>
      <c r="W1277" s="160"/>
      <c r="X1277" s="160"/>
    </row>
    <row r="1278" spans="1:24" ht="12.75" x14ac:dyDescent="0.2">
      <c r="A1278" s="189"/>
      <c r="B1278" s="162"/>
      <c r="C1278" s="158"/>
      <c r="D1278" s="160" t="str">
        <f t="shared" si="95"/>
        <v/>
      </c>
      <c r="E1278" s="164"/>
      <c r="F1278" s="164"/>
      <c r="G1278" s="160"/>
      <c r="H1278" s="159"/>
      <c r="I1278" s="159"/>
      <c r="J1278" s="160"/>
      <c r="K1278" s="160"/>
      <c r="L1278" s="161"/>
      <c r="M1278" s="161"/>
      <c r="N1278" s="160">
        <f t="shared" ca="1" si="94"/>
        <v>46187</v>
      </c>
      <c r="O1278" s="162" t="str">
        <f t="shared" ca="1" si="96"/>
        <v>VENCIDA</v>
      </c>
      <c r="P1278" s="159"/>
      <c r="Q1278" s="163"/>
      <c r="R1278" s="160"/>
      <c r="S1278" s="160"/>
      <c r="T1278" s="160"/>
      <c r="U1278" s="160"/>
      <c r="V1278" s="160"/>
      <c r="W1278" s="160"/>
      <c r="X1278" s="160"/>
    </row>
    <row r="1279" spans="1:24" ht="12.75" x14ac:dyDescent="0.2">
      <c r="A1279" s="189"/>
      <c r="B1279" s="162"/>
      <c r="C1279" s="158"/>
      <c r="D1279" s="160" t="str">
        <f t="shared" si="95"/>
        <v/>
      </c>
      <c r="E1279" s="164"/>
      <c r="F1279" s="164"/>
      <c r="G1279" s="160"/>
      <c r="H1279" s="159"/>
      <c r="I1279" s="159"/>
      <c r="J1279" s="160"/>
      <c r="K1279" s="160"/>
      <c r="L1279" s="161"/>
      <c r="M1279" s="161"/>
      <c r="N1279" s="160">
        <f t="shared" ca="1" si="94"/>
        <v>46187</v>
      </c>
      <c r="O1279" s="162" t="str">
        <f t="shared" ca="1" si="96"/>
        <v>VENCIDA</v>
      </c>
      <c r="P1279" s="159"/>
      <c r="Q1279" s="163"/>
      <c r="R1279" s="160"/>
      <c r="S1279" s="160"/>
      <c r="T1279" s="160"/>
      <c r="U1279" s="160"/>
      <c r="V1279" s="160"/>
      <c r="W1279" s="160"/>
      <c r="X1279" s="160"/>
    </row>
    <row r="1280" spans="1:24" ht="12.75" x14ac:dyDescent="0.2">
      <c r="A1280" s="189"/>
      <c r="B1280" s="162"/>
      <c r="C1280" s="158"/>
      <c r="D1280" s="160" t="str">
        <f t="shared" si="95"/>
        <v/>
      </c>
      <c r="E1280" s="164"/>
      <c r="F1280" s="164"/>
      <c r="G1280" s="160"/>
      <c r="H1280" s="159"/>
      <c r="I1280" s="159"/>
      <c r="J1280" s="160"/>
      <c r="K1280" s="160"/>
      <c r="L1280" s="161"/>
      <c r="M1280" s="161"/>
      <c r="N1280" s="160">
        <f t="shared" ca="1" si="94"/>
        <v>46187</v>
      </c>
      <c r="O1280" s="162" t="str">
        <f t="shared" ca="1" si="96"/>
        <v>VENCIDA</v>
      </c>
      <c r="P1280" s="159"/>
      <c r="Q1280" s="163"/>
      <c r="R1280" s="160"/>
      <c r="S1280" s="160"/>
      <c r="T1280" s="160"/>
      <c r="U1280" s="160"/>
      <c r="V1280" s="160"/>
      <c r="W1280" s="160"/>
      <c r="X1280" s="160"/>
    </row>
    <row r="1281" spans="1:24" ht="12.75" x14ac:dyDescent="0.2">
      <c r="A1281" s="189"/>
      <c r="B1281" s="162"/>
      <c r="C1281" s="158"/>
      <c r="D1281" s="160" t="str">
        <f t="shared" si="95"/>
        <v/>
      </c>
      <c r="E1281" s="164"/>
      <c r="F1281" s="164"/>
      <c r="G1281" s="160"/>
      <c r="H1281" s="159"/>
      <c r="I1281" s="159"/>
      <c r="J1281" s="160"/>
      <c r="K1281" s="160"/>
      <c r="L1281" s="161"/>
      <c r="M1281" s="161"/>
      <c r="N1281" s="160">
        <f t="shared" ca="1" si="94"/>
        <v>46187</v>
      </c>
      <c r="O1281" s="162" t="str">
        <f t="shared" ca="1" si="96"/>
        <v>VENCIDA</v>
      </c>
      <c r="P1281" s="159"/>
      <c r="Q1281" s="163"/>
      <c r="R1281" s="160"/>
      <c r="S1281" s="160"/>
      <c r="T1281" s="160"/>
      <c r="U1281" s="160"/>
      <c r="V1281" s="160"/>
      <c r="W1281" s="160"/>
      <c r="X1281" s="160"/>
    </row>
    <row r="1282" spans="1:24" ht="12.75" x14ac:dyDescent="0.2">
      <c r="A1282" s="189"/>
      <c r="B1282" s="162"/>
      <c r="C1282" s="158"/>
      <c r="D1282" s="160" t="str">
        <f t="shared" si="95"/>
        <v/>
      </c>
      <c r="E1282" s="164"/>
      <c r="F1282" s="164"/>
      <c r="G1282" s="160"/>
      <c r="H1282" s="159"/>
      <c r="I1282" s="159"/>
      <c r="J1282" s="160"/>
      <c r="K1282" s="160"/>
      <c r="L1282" s="161"/>
      <c r="M1282" s="161"/>
      <c r="N1282" s="160">
        <f t="shared" ca="1" si="94"/>
        <v>46187</v>
      </c>
      <c r="O1282" s="162" t="str">
        <f t="shared" ca="1" si="96"/>
        <v>VENCIDA</v>
      </c>
      <c r="P1282" s="159"/>
      <c r="Q1282" s="163"/>
      <c r="R1282" s="160"/>
      <c r="S1282" s="160"/>
      <c r="T1282" s="160"/>
      <c r="U1282" s="160"/>
      <c r="V1282" s="160"/>
      <c r="W1282" s="160"/>
      <c r="X1282" s="160"/>
    </row>
    <row r="1283" spans="1:24" ht="12.75" x14ac:dyDescent="0.2">
      <c r="A1283" s="189"/>
      <c r="B1283" s="162"/>
      <c r="C1283" s="158"/>
      <c r="D1283" s="160" t="str">
        <f t="shared" si="95"/>
        <v/>
      </c>
      <c r="E1283" s="164"/>
      <c r="F1283" s="164"/>
      <c r="G1283" s="160"/>
      <c r="H1283" s="159"/>
      <c r="I1283" s="159"/>
      <c r="J1283" s="160"/>
      <c r="K1283" s="160"/>
      <c r="L1283" s="161"/>
      <c r="M1283" s="161"/>
      <c r="N1283" s="160">
        <f t="shared" ca="1" si="94"/>
        <v>46187</v>
      </c>
      <c r="O1283" s="162" t="str">
        <f t="shared" ca="1" si="96"/>
        <v>VENCIDA</v>
      </c>
      <c r="P1283" s="159"/>
      <c r="Q1283" s="163"/>
      <c r="R1283" s="160"/>
      <c r="S1283" s="160"/>
      <c r="T1283" s="160"/>
      <c r="U1283" s="160"/>
      <c r="V1283" s="160"/>
      <c r="W1283" s="160"/>
      <c r="X1283" s="160"/>
    </row>
    <row r="1284" spans="1:24" ht="12.75" x14ac:dyDescent="0.2">
      <c r="A1284" s="189"/>
      <c r="B1284" s="162"/>
      <c r="C1284" s="158"/>
      <c r="D1284" s="160" t="str">
        <f t="shared" si="95"/>
        <v/>
      </c>
      <c r="E1284" s="164"/>
      <c r="F1284" s="164"/>
      <c r="G1284" s="160"/>
      <c r="H1284" s="159"/>
      <c r="I1284" s="159"/>
      <c r="J1284" s="160"/>
      <c r="K1284" s="160"/>
      <c r="L1284" s="161"/>
      <c r="M1284" s="161"/>
      <c r="N1284" s="160">
        <f t="shared" ca="1" si="94"/>
        <v>46187</v>
      </c>
      <c r="O1284" s="162" t="str">
        <f t="shared" ca="1" si="96"/>
        <v>VENCIDA</v>
      </c>
      <c r="P1284" s="159"/>
      <c r="Q1284" s="163"/>
      <c r="R1284" s="160"/>
      <c r="S1284" s="160"/>
      <c r="T1284" s="160"/>
      <c r="U1284" s="160"/>
      <c r="V1284" s="160"/>
      <c r="W1284" s="160"/>
      <c r="X1284" s="160"/>
    </row>
    <row r="1285" spans="1:24" ht="12.75" x14ac:dyDescent="0.2">
      <c r="A1285" s="189"/>
      <c r="B1285" s="162"/>
      <c r="C1285" s="158"/>
      <c r="D1285" s="160" t="str">
        <f t="shared" ref="D1285:D1299" si="97">CONCATENATE(B1285,C1285)</f>
        <v/>
      </c>
      <c r="E1285" s="164"/>
      <c r="F1285" s="164"/>
      <c r="G1285" s="160"/>
      <c r="H1285" s="159"/>
      <c r="I1285" s="159"/>
      <c r="J1285" s="160"/>
      <c r="K1285" s="160"/>
      <c r="L1285" s="161"/>
      <c r="M1285" s="161"/>
      <c r="N1285" s="160">
        <f t="shared" ca="1" si="94"/>
        <v>46187</v>
      </c>
      <c r="O1285" s="162" t="str">
        <f t="shared" ref="O1285:O1299" ca="1" si="98">IF(N1285&lt;-5,"OK","VENCIDA")</f>
        <v>VENCIDA</v>
      </c>
      <c r="P1285" s="159"/>
      <c r="Q1285" s="163"/>
      <c r="R1285" s="160"/>
      <c r="S1285" s="160"/>
      <c r="T1285" s="160"/>
      <c r="U1285" s="160"/>
      <c r="V1285" s="160"/>
      <c r="W1285" s="160"/>
      <c r="X1285" s="160"/>
    </row>
    <row r="1286" spans="1:24" ht="12.75" x14ac:dyDescent="0.2">
      <c r="A1286" s="189"/>
      <c r="B1286" s="162"/>
      <c r="C1286" s="158"/>
      <c r="D1286" s="160" t="str">
        <f t="shared" si="97"/>
        <v/>
      </c>
      <c r="E1286" s="164"/>
      <c r="F1286" s="164"/>
      <c r="G1286" s="160"/>
      <c r="H1286" s="159"/>
      <c r="I1286" s="159"/>
      <c r="J1286" s="160"/>
      <c r="K1286" s="160"/>
      <c r="L1286" s="161"/>
      <c r="M1286" s="161"/>
      <c r="N1286" s="160">
        <f t="shared" ca="1" si="94"/>
        <v>46187</v>
      </c>
      <c r="O1286" s="162" t="str">
        <f t="shared" ca="1" si="98"/>
        <v>VENCIDA</v>
      </c>
      <c r="P1286" s="159"/>
      <c r="Q1286" s="163"/>
      <c r="R1286" s="160"/>
      <c r="S1286" s="160"/>
      <c r="T1286" s="160"/>
      <c r="U1286" s="160"/>
      <c r="V1286" s="160"/>
      <c r="W1286" s="160"/>
      <c r="X1286" s="160"/>
    </row>
    <row r="1287" spans="1:24" ht="12.75" x14ac:dyDescent="0.2">
      <c r="A1287" s="189"/>
      <c r="B1287" s="162"/>
      <c r="C1287" s="158"/>
      <c r="D1287" s="160" t="str">
        <f t="shared" si="97"/>
        <v/>
      </c>
      <c r="E1287" s="164"/>
      <c r="F1287" s="164"/>
      <c r="G1287" s="160"/>
      <c r="H1287" s="159"/>
      <c r="I1287" s="159"/>
      <c r="J1287" s="160"/>
      <c r="K1287" s="160"/>
      <c r="L1287" s="161"/>
      <c r="M1287" s="161"/>
      <c r="N1287" s="160">
        <f t="shared" ca="1" si="94"/>
        <v>46187</v>
      </c>
      <c r="O1287" s="162" t="str">
        <f t="shared" ca="1" si="98"/>
        <v>VENCIDA</v>
      </c>
      <c r="P1287" s="159"/>
      <c r="Q1287" s="163"/>
      <c r="R1287" s="160"/>
      <c r="S1287" s="160"/>
      <c r="T1287" s="160"/>
      <c r="U1287" s="160"/>
      <c r="V1287" s="160"/>
      <c r="W1287" s="160"/>
      <c r="X1287" s="160"/>
    </row>
    <row r="1288" spans="1:24" ht="12.75" x14ac:dyDescent="0.2">
      <c r="A1288" s="189"/>
      <c r="B1288" s="162"/>
      <c r="C1288" s="158"/>
      <c r="D1288" s="160" t="str">
        <f t="shared" si="97"/>
        <v/>
      </c>
      <c r="E1288" s="164"/>
      <c r="F1288" s="164"/>
      <c r="G1288" s="160"/>
      <c r="H1288" s="159"/>
      <c r="I1288" s="159"/>
      <c r="J1288" s="160"/>
      <c r="K1288" s="160"/>
      <c r="L1288" s="161"/>
      <c r="M1288" s="161"/>
      <c r="N1288" s="160">
        <f t="shared" ca="1" si="94"/>
        <v>46187</v>
      </c>
      <c r="O1288" s="162" t="str">
        <f t="shared" ca="1" si="98"/>
        <v>VENCIDA</v>
      </c>
      <c r="P1288" s="159"/>
      <c r="Q1288" s="163"/>
      <c r="R1288" s="160"/>
      <c r="S1288" s="160"/>
      <c r="T1288" s="160"/>
      <c r="U1288" s="160"/>
      <c r="V1288" s="160"/>
      <c r="W1288" s="160"/>
      <c r="X1288" s="160"/>
    </row>
    <row r="1289" spans="1:24" ht="12.75" x14ac:dyDescent="0.2">
      <c r="A1289" s="189"/>
      <c r="B1289" s="162"/>
      <c r="C1289" s="158"/>
      <c r="D1289" s="160" t="str">
        <f t="shared" si="97"/>
        <v/>
      </c>
      <c r="E1289" s="164"/>
      <c r="F1289" s="164"/>
      <c r="G1289" s="160"/>
      <c r="H1289" s="159"/>
      <c r="I1289" s="159"/>
      <c r="J1289" s="160"/>
      <c r="K1289" s="160"/>
      <c r="L1289" s="161"/>
      <c r="M1289" s="161"/>
      <c r="N1289" s="160">
        <f t="shared" ca="1" si="94"/>
        <v>46187</v>
      </c>
      <c r="O1289" s="162" t="str">
        <f t="shared" ca="1" si="98"/>
        <v>VENCIDA</v>
      </c>
      <c r="P1289" s="159"/>
      <c r="Q1289" s="163"/>
      <c r="R1289" s="160"/>
      <c r="S1289" s="160"/>
      <c r="T1289" s="160"/>
      <c r="U1289" s="160"/>
      <c r="V1289" s="160"/>
      <c r="W1289" s="160"/>
      <c r="X1289" s="160"/>
    </row>
    <row r="1290" spans="1:24" ht="12.75" x14ac:dyDescent="0.2">
      <c r="A1290" s="189"/>
      <c r="B1290" s="162"/>
      <c r="C1290" s="158"/>
      <c r="D1290" s="160" t="str">
        <f t="shared" si="97"/>
        <v/>
      </c>
      <c r="E1290" s="164"/>
      <c r="F1290" s="164"/>
      <c r="G1290" s="160"/>
      <c r="H1290" s="159"/>
      <c r="I1290" s="159"/>
      <c r="J1290" s="160"/>
      <c r="K1290" s="160"/>
      <c r="L1290" s="161"/>
      <c r="M1290" s="161"/>
      <c r="N1290" s="160">
        <f t="shared" ca="1" si="94"/>
        <v>46187</v>
      </c>
      <c r="O1290" s="162" t="str">
        <f t="shared" ca="1" si="98"/>
        <v>VENCIDA</v>
      </c>
      <c r="P1290" s="159"/>
      <c r="Q1290" s="163"/>
      <c r="R1290" s="160"/>
      <c r="S1290" s="160"/>
      <c r="T1290" s="160"/>
      <c r="U1290" s="160"/>
      <c r="V1290" s="160"/>
      <c r="W1290" s="160"/>
      <c r="X1290" s="160"/>
    </row>
    <row r="1291" spans="1:24" ht="12.75" x14ac:dyDescent="0.2">
      <c r="A1291" s="189"/>
      <c r="B1291" s="162"/>
      <c r="C1291" s="158"/>
      <c r="D1291" s="160" t="str">
        <f t="shared" si="97"/>
        <v/>
      </c>
      <c r="E1291" s="164"/>
      <c r="F1291" s="164"/>
      <c r="G1291" s="160"/>
      <c r="H1291" s="159"/>
      <c r="I1291" s="159"/>
      <c r="J1291" s="160"/>
      <c r="K1291" s="160"/>
      <c r="L1291" s="161"/>
      <c r="M1291" s="161"/>
      <c r="N1291" s="160">
        <f t="shared" ca="1" si="94"/>
        <v>46187</v>
      </c>
      <c r="O1291" s="162" t="str">
        <f t="shared" ca="1" si="98"/>
        <v>VENCIDA</v>
      </c>
      <c r="P1291" s="159"/>
      <c r="Q1291" s="163"/>
      <c r="R1291" s="160"/>
      <c r="S1291" s="160"/>
      <c r="T1291" s="160"/>
      <c r="U1291" s="160"/>
      <c r="V1291" s="160"/>
      <c r="W1291" s="160"/>
      <c r="X1291" s="160"/>
    </row>
    <row r="1292" spans="1:24" ht="12.75" x14ac:dyDescent="0.2">
      <c r="A1292" s="189"/>
      <c r="B1292" s="162"/>
      <c r="C1292" s="158"/>
      <c r="D1292" s="160" t="str">
        <f t="shared" si="97"/>
        <v/>
      </c>
      <c r="E1292" s="164"/>
      <c r="F1292" s="164"/>
      <c r="G1292" s="160"/>
      <c r="H1292" s="159"/>
      <c r="I1292" s="159"/>
      <c r="J1292" s="160"/>
      <c r="K1292" s="160"/>
      <c r="L1292" s="161"/>
      <c r="M1292" s="161"/>
      <c r="N1292" s="160">
        <f t="shared" ca="1" si="94"/>
        <v>46187</v>
      </c>
      <c r="O1292" s="162" t="str">
        <f t="shared" ca="1" si="98"/>
        <v>VENCIDA</v>
      </c>
      <c r="P1292" s="159"/>
      <c r="Q1292" s="163"/>
      <c r="R1292" s="160"/>
      <c r="S1292" s="160"/>
      <c r="T1292" s="160"/>
      <c r="U1292" s="160"/>
      <c r="V1292" s="160"/>
      <c r="W1292" s="160"/>
      <c r="X1292" s="160"/>
    </row>
    <row r="1293" spans="1:24" ht="12.75" x14ac:dyDescent="0.2">
      <c r="A1293" s="189"/>
      <c r="B1293" s="162"/>
      <c r="C1293" s="158"/>
      <c r="D1293" s="160" t="str">
        <f t="shared" si="97"/>
        <v/>
      </c>
      <c r="E1293" s="164"/>
      <c r="F1293" s="164"/>
      <c r="G1293" s="160"/>
      <c r="H1293" s="159"/>
      <c r="I1293" s="159"/>
      <c r="J1293" s="160"/>
      <c r="K1293" s="160"/>
      <c r="L1293" s="161"/>
      <c r="M1293" s="161"/>
      <c r="N1293" s="160">
        <f t="shared" ca="1" si="94"/>
        <v>46187</v>
      </c>
      <c r="O1293" s="162" t="str">
        <f t="shared" ca="1" si="98"/>
        <v>VENCIDA</v>
      </c>
      <c r="P1293" s="159"/>
      <c r="Q1293" s="163"/>
      <c r="R1293" s="160"/>
      <c r="S1293" s="160"/>
      <c r="T1293" s="160"/>
      <c r="U1293" s="160"/>
      <c r="V1293" s="160"/>
      <c r="W1293" s="160"/>
      <c r="X1293" s="160"/>
    </row>
    <row r="1294" spans="1:24" ht="12.75" x14ac:dyDescent="0.2">
      <c r="A1294" s="189"/>
      <c r="B1294" s="162"/>
      <c r="C1294" s="158"/>
      <c r="D1294" s="160" t="str">
        <f t="shared" si="97"/>
        <v/>
      </c>
      <c r="E1294" s="164"/>
      <c r="F1294" s="164"/>
      <c r="G1294" s="160"/>
      <c r="H1294" s="159"/>
      <c r="I1294" s="159"/>
      <c r="J1294" s="160"/>
      <c r="K1294" s="160"/>
      <c r="L1294" s="161"/>
      <c r="M1294" s="161"/>
      <c r="N1294" s="160">
        <f t="shared" ca="1" si="94"/>
        <v>46187</v>
      </c>
      <c r="O1294" s="162" t="str">
        <f t="shared" ca="1" si="98"/>
        <v>VENCIDA</v>
      </c>
      <c r="P1294" s="159"/>
      <c r="Q1294" s="163"/>
      <c r="R1294" s="160"/>
      <c r="S1294" s="160"/>
      <c r="T1294" s="160"/>
      <c r="U1294" s="160"/>
      <c r="V1294" s="160"/>
      <c r="W1294" s="160"/>
      <c r="X1294" s="160"/>
    </row>
    <row r="1295" spans="1:24" ht="12.75" x14ac:dyDescent="0.2">
      <c r="A1295" s="189"/>
      <c r="B1295" s="162"/>
      <c r="C1295" s="158"/>
      <c r="D1295" s="160" t="str">
        <f t="shared" si="97"/>
        <v/>
      </c>
      <c r="E1295" s="164"/>
      <c r="F1295" s="164"/>
      <c r="G1295" s="160"/>
      <c r="H1295" s="159"/>
      <c r="I1295" s="159"/>
      <c r="J1295" s="160"/>
      <c r="K1295" s="160"/>
      <c r="L1295" s="161"/>
      <c r="M1295" s="161"/>
      <c r="N1295" s="160">
        <f t="shared" ca="1" si="94"/>
        <v>46187</v>
      </c>
      <c r="O1295" s="162" t="str">
        <f t="shared" ca="1" si="98"/>
        <v>VENCIDA</v>
      </c>
      <c r="P1295" s="159"/>
      <c r="Q1295" s="163"/>
      <c r="R1295" s="160"/>
      <c r="S1295" s="160"/>
      <c r="T1295" s="160"/>
      <c r="U1295" s="160"/>
      <c r="V1295" s="160"/>
      <c r="W1295" s="160"/>
      <c r="X1295" s="160"/>
    </row>
    <row r="1296" spans="1:24" ht="12.75" x14ac:dyDescent="0.2">
      <c r="A1296" s="189"/>
      <c r="B1296" s="162"/>
      <c r="C1296" s="158"/>
      <c r="D1296" s="160" t="str">
        <f t="shared" si="97"/>
        <v/>
      </c>
      <c r="E1296" s="164"/>
      <c r="F1296" s="164"/>
      <c r="G1296" s="160"/>
      <c r="H1296" s="159"/>
      <c r="I1296" s="159"/>
      <c r="J1296" s="160"/>
      <c r="K1296" s="160"/>
      <c r="L1296" s="161"/>
      <c r="M1296" s="161"/>
      <c r="N1296" s="160">
        <f t="shared" ca="1" si="94"/>
        <v>46187</v>
      </c>
      <c r="O1296" s="162" t="str">
        <f t="shared" ca="1" si="98"/>
        <v>VENCIDA</v>
      </c>
      <c r="P1296" s="159"/>
      <c r="Q1296" s="163"/>
      <c r="R1296" s="160"/>
      <c r="S1296" s="160"/>
      <c r="T1296" s="160"/>
      <c r="U1296" s="160"/>
      <c r="V1296" s="160"/>
      <c r="W1296" s="160"/>
      <c r="X1296" s="160"/>
    </row>
    <row r="1297" spans="1:24" ht="12.75" x14ac:dyDescent="0.2">
      <c r="A1297" s="189"/>
      <c r="B1297" s="162"/>
      <c r="C1297" s="158"/>
      <c r="D1297" s="160" t="str">
        <f t="shared" si="97"/>
        <v/>
      </c>
      <c r="E1297" s="164"/>
      <c r="F1297" s="164"/>
      <c r="G1297" s="160"/>
      <c r="H1297" s="159"/>
      <c r="I1297" s="159"/>
      <c r="J1297" s="160"/>
      <c r="K1297" s="160"/>
      <c r="L1297" s="161"/>
      <c r="M1297" s="161"/>
      <c r="N1297" s="160">
        <f t="shared" ca="1" si="94"/>
        <v>46187</v>
      </c>
      <c r="O1297" s="162" t="str">
        <f t="shared" ca="1" si="98"/>
        <v>VENCIDA</v>
      </c>
      <c r="P1297" s="159"/>
      <c r="Q1297" s="163"/>
      <c r="R1297" s="160"/>
      <c r="S1297" s="160"/>
      <c r="T1297" s="160"/>
      <c r="U1297" s="160"/>
      <c r="V1297" s="160"/>
      <c r="W1297" s="160"/>
      <c r="X1297" s="160"/>
    </row>
    <row r="1298" spans="1:24" ht="12.75" x14ac:dyDescent="0.2">
      <c r="A1298" s="189"/>
      <c r="B1298" s="162"/>
      <c r="C1298" s="158"/>
      <c r="D1298" s="160" t="str">
        <f t="shared" si="97"/>
        <v/>
      </c>
      <c r="E1298" s="164"/>
      <c r="F1298" s="164"/>
      <c r="G1298" s="160"/>
      <c r="H1298" s="159"/>
      <c r="I1298" s="159"/>
      <c r="J1298" s="160"/>
      <c r="K1298" s="160"/>
      <c r="L1298" s="161"/>
      <c r="M1298" s="161"/>
      <c r="N1298" s="160">
        <f t="shared" ca="1" si="94"/>
        <v>46187</v>
      </c>
      <c r="O1298" s="162" t="str">
        <f t="shared" ca="1" si="98"/>
        <v>VENCIDA</v>
      </c>
      <c r="P1298" s="159"/>
      <c r="Q1298" s="163"/>
      <c r="R1298" s="160"/>
      <c r="S1298" s="160"/>
      <c r="T1298" s="160"/>
      <c r="U1298" s="160"/>
      <c r="V1298" s="160"/>
      <c r="W1298" s="160"/>
      <c r="X1298" s="160"/>
    </row>
    <row r="1299" spans="1:24" ht="12.75" x14ac:dyDescent="0.2">
      <c r="A1299" s="218"/>
      <c r="B1299" s="219"/>
      <c r="C1299" s="220"/>
      <c r="D1299" s="221" t="str">
        <f t="shared" si="97"/>
        <v/>
      </c>
      <c r="E1299" s="222"/>
      <c r="F1299" s="222"/>
      <c r="G1299" s="221"/>
      <c r="H1299" s="223"/>
      <c r="I1299" s="223"/>
      <c r="J1299" s="221"/>
      <c r="K1299" s="221"/>
      <c r="L1299" s="224"/>
      <c r="M1299" s="224"/>
      <c r="N1299" s="221">
        <f t="shared" ca="1" si="94"/>
        <v>46187</v>
      </c>
      <c r="O1299" s="219" t="str">
        <f t="shared" ca="1" si="98"/>
        <v>VENCIDA</v>
      </c>
      <c r="P1299" s="223"/>
      <c r="Q1299" s="225"/>
      <c r="R1299" s="221"/>
      <c r="S1299" s="221"/>
      <c r="T1299" s="221"/>
      <c r="U1299" s="221"/>
      <c r="V1299" s="221"/>
      <c r="W1299" s="221"/>
      <c r="X1299" s="221"/>
    </row>
    <row r="1300" spans="1:24" ht="12.75" x14ac:dyDescent="0.2">
      <c r="A1300" s="189"/>
      <c r="B1300" s="162"/>
      <c r="C1300" s="158"/>
      <c r="D1300" s="160" t="str">
        <f>CONCATENATE(B1300,C1300)</f>
        <v/>
      </c>
      <c r="E1300" s="164"/>
      <c r="F1300" s="164"/>
      <c r="G1300" s="160"/>
      <c r="H1300" s="159"/>
      <c r="I1300" s="159"/>
      <c r="J1300" s="160"/>
      <c r="K1300" s="160"/>
      <c r="L1300" s="161"/>
      <c r="M1300" s="161"/>
      <c r="N1300" s="161">
        <f ca="1">TODAY()-M1300</f>
        <v>46187</v>
      </c>
      <c r="O1300" s="162" t="str">
        <f ca="1">IF(N1300&lt;-5,"OK","VENCIDA")</f>
        <v>VENCIDA</v>
      </c>
      <c r="P1300" s="159"/>
      <c r="Q1300" s="163"/>
      <c r="R1300" s="160"/>
      <c r="S1300" s="160"/>
      <c r="T1300" s="160"/>
      <c r="U1300" s="160"/>
      <c r="V1300" s="160"/>
      <c r="W1300" s="160"/>
      <c r="X1300" s="160"/>
    </row>
    <row r="1301" spans="1:24" x14ac:dyDescent="0.2">
      <c r="N1301" s="37">
        <f t="shared" ca="1" si="94"/>
        <v>46187</v>
      </c>
    </row>
    <row r="1302" spans="1:24" x14ac:dyDescent="0.2">
      <c r="N1302" s="37">
        <f t="shared" ca="1" si="94"/>
        <v>46187</v>
      </c>
    </row>
    <row r="1303" spans="1:24" x14ac:dyDescent="0.2">
      <c r="N1303" s="37">
        <f t="shared" ca="1" si="94"/>
        <v>46187</v>
      </c>
    </row>
    <row r="1304" spans="1:24" x14ac:dyDescent="0.2">
      <c r="N1304" s="37">
        <f t="shared" ca="1" si="94"/>
        <v>46187</v>
      </c>
    </row>
    <row r="1305" spans="1:24" x14ac:dyDescent="0.2">
      <c r="N1305" s="37">
        <f t="shared" ref="N1305:N1326" ca="1" si="99">TODAY()-M1305</f>
        <v>46187</v>
      </c>
    </row>
    <row r="1306" spans="1:24" x14ac:dyDescent="0.2">
      <c r="N1306" s="37">
        <f t="shared" ca="1" si="99"/>
        <v>46187</v>
      </c>
    </row>
    <row r="1307" spans="1:24" x14ac:dyDescent="0.2">
      <c r="N1307" s="37">
        <f t="shared" ca="1" si="99"/>
        <v>46187</v>
      </c>
    </row>
    <row r="1308" spans="1:24" x14ac:dyDescent="0.2">
      <c r="N1308" s="37">
        <f t="shared" ca="1" si="99"/>
        <v>46187</v>
      </c>
    </row>
    <row r="1309" spans="1:24" x14ac:dyDescent="0.2">
      <c r="N1309" s="37">
        <f t="shared" ca="1" si="99"/>
        <v>46187</v>
      </c>
    </row>
    <row r="1310" spans="1:24" x14ac:dyDescent="0.2">
      <c r="N1310" s="37">
        <f t="shared" ca="1" si="99"/>
        <v>46187</v>
      </c>
    </row>
    <row r="1311" spans="1:24" x14ac:dyDescent="0.2">
      <c r="N1311" s="37">
        <f t="shared" ca="1" si="99"/>
        <v>46187</v>
      </c>
    </row>
    <row r="1312" spans="1:24" x14ac:dyDescent="0.2">
      <c r="N1312" s="37">
        <f t="shared" ca="1" si="99"/>
        <v>46187</v>
      </c>
    </row>
    <row r="1313" spans="14:14" x14ac:dyDescent="0.2">
      <c r="N1313" s="37">
        <f t="shared" ca="1" si="99"/>
        <v>46187</v>
      </c>
    </row>
    <row r="1314" spans="14:14" x14ac:dyDescent="0.2">
      <c r="N1314" s="37">
        <f t="shared" ca="1" si="99"/>
        <v>46187</v>
      </c>
    </row>
    <row r="1315" spans="14:14" x14ac:dyDescent="0.2">
      <c r="N1315" s="37">
        <f t="shared" ca="1" si="99"/>
        <v>46187</v>
      </c>
    </row>
    <row r="1316" spans="14:14" x14ac:dyDescent="0.2">
      <c r="N1316" s="37">
        <f t="shared" ca="1" si="99"/>
        <v>46187</v>
      </c>
    </row>
    <row r="1317" spans="14:14" x14ac:dyDescent="0.2">
      <c r="N1317" s="37">
        <f t="shared" ca="1" si="99"/>
        <v>46187</v>
      </c>
    </row>
    <row r="1318" spans="14:14" x14ac:dyDescent="0.2">
      <c r="N1318" s="37">
        <f t="shared" ca="1" si="99"/>
        <v>46187</v>
      </c>
    </row>
    <row r="1319" spans="14:14" x14ac:dyDescent="0.2">
      <c r="N1319" s="37">
        <f t="shared" ca="1" si="99"/>
        <v>46187</v>
      </c>
    </row>
    <row r="1320" spans="14:14" x14ac:dyDescent="0.2">
      <c r="N1320" s="37">
        <f t="shared" ca="1" si="99"/>
        <v>46187</v>
      </c>
    </row>
    <row r="1321" spans="14:14" x14ac:dyDescent="0.2">
      <c r="N1321" s="37">
        <f t="shared" ca="1" si="99"/>
        <v>46187</v>
      </c>
    </row>
    <row r="1322" spans="14:14" x14ac:dyDescent="0.2">
      <c r="N1322" s="37">
        <f t="shared" ca="1" si="99"/>
        <v>46187</v>
      </c>
    </row>
    <row r="1323" spans="14:14" x14ac:dyDescent="0.2">
      <c r="N1323" s="37">
        <f t="shared" ca="1" si="99"/>
        <v>46187</v>
      </c>
    </row>
    <row r="1324" spans="14:14" x14ac:dyDescent="0.2">
      <c r="N1324" s="37">
        <f t="shared" ca="1" si="99"/>
        <v>46187</v>
      </c>
    </row>
    <row r="1325" spans="14:14" x14ac:dyDescent="0.2">
      <c r="N1325" s="37">
        <f t="shared" ca="1" si="99"/>
        <v>46187</v>
      </c>
    </row>
    <row r="1326" spans="14:14" x14ac:dyDescent="0.2">
      <c r="N1326" s="37">
        <f t="shared" ca="1" si="99"/>
        <v>46187</v>
      </c>
    </row>
  </sheetData>
  <phoneticPr fontId="10" type="noConversion"/>
  <conditionalFormatting sqref="O2:O1224 O1226:O1300">
    <cfRule type="cellIs" dxfId="17" priority="75" stopIfTrue="1" operator="equal">
      <formula>"VENCIDA"</formula>
    </cfRule>
  </conditionalFormatting>
  <conditionalFormatting sqref="O2:O1224 O1226:O1300">
    <cfRule type="cellIs" dxfId="16" priority="73" stopIfTrue="1" operator="equal">
      <formula>"OK"</formula>
    </cfRule>
    <cfRule type="cellIs" dxfId="15" priority="74" stopIfTrue="1" operator="equal">
      <formula>"En trámite"</formula>
    </cfRule>
  </conditionalFormatting>
  <conditionalFormatting sqref="O1093:O1094">
    <cfRule type="cellIs" dxfId="14" priority="15" stopIfTrue="1" operator="equal">
      <formula>"VENCIDA"</formula>
    </cfRule>
  </conditionalFormatting>
  <conditionalFormatting sqref="O1093:O1094">
    <cfRule type="cellIs" dxfId="13" priority="13" stopIfTrue="1" operator="equal">
      <formula>"OK"</formula>
    </cfRule>
    <cfRule type="cellIs" dxfId="12" priority="14" stopIfTrue="1" operator="equal">
      <formula>"En trámite"</formula>
    </cfRule>
  </conditionalFormatting>
  <conditionalFormatting sqref="O1099">
    <cfRule type="cellIs" dxfId="11" priority="10" stopIfTrue="1" operator="equal">
      <formula>"OK"</formula>
    </cfRule>
    <cfRule type="cellIs" dxfId="10" priority="11" stopIfTrue="1" operator="equal">
      <formula>"En trámite"</formula>
    </cfRule>
  </conditionalFormatting>
  <conditionalFormatting sqref="O1099">
    <cfRule type="cellIs" dxfId="9" priority="12" stopIfTrue="1" operator="equal">
      <formula>"VENCIDA"</formula>
    </cfRule>
  </conditionalFormatting>
  <conditionalFormatting sqref="O1211:O1220">
    <cfRule type="cellIs" dxfId="8" priority="9" stopIfTrue="1" operator="equal">
      <formula>"VENCIDA"</formula>
    </cfRule>
  </conditionalFormatting>
  <conditionalFormatting sqref="O1211:O1220">
    <cfRule type="cellIs" dxfId="7" priority="7" stopIfTrue="1" operator="equal">
      <formula>"OK"</formula>
    </cfRule>
    <cfRule type="cellIs" dxfId="6" priority="8" stopIfTrue="1" operator="equal">
      <formula>"En trámite"</formula>
    </cfRule>
  </conditionalFormatting>
  <conditionalFormatting sqref="O1225">
    <cfRule type="cellIs" dxfId="5" priority="6" stopIfTrue="1" operator="equal">
      <formula>"VENCIDA"</formula>
    </cfRule>
  </conditionalFormatting>
  <conditionalFormatting sqref="O1225">
    <cfRule type="cellIs" dxfId="4" priority="4" stopIfTrue="1" operator="equal">
      <formula>"OK"</formula>
    </cfRule>
    <cfRule type="cellIs" dxfId="3" priority="5" stopIfTrue="1" operator="equal">
      <formula>"En trámite"</formula>
    </cfRule>
  </conditionalFormatting>
  <conditionalFormatting sqref="O1225">
    <cfRule type="cellIs" dxfId="2" priority="3" stopIfTrue="1" operator="equal">
      <formula>"VENCIDA"</formula>
    </cfRule>
  </conditionalFormatting>
  <conditionalFormatting sqref="O1225">
    <cfRule type="cellIs" dxfId="1" priority="1" stopIfTrue="1" operator="equal">
      <formula>"OK"</formula>
    </cfRule>
    <cfRule type="cellIs" dxfId="0" priority="2" stopIfTrue="1" operator="equal">
      <formula>"En trámite"</formula>
    </cfRule>
  </conditionalFormatting>
  <hyperlinks>
    <hyperlink ref="E360" r:id="rId1"/>
    <hyperlink ref="E415" r:id="rId2"/>
    <hyperlink ref="E495" r:id="rId3"/>
    <hyperlink ref="E493" r:id="rId4"/>
    <hyperlink ref="E494" r:id="rId5"/>
    <hyperlink ref="E492" r:id="rId6"/>
    <hyperlink ref="E67" r:id="rId7"/>
    <hyperlink ref="E359" r:id="rId8"/>
    <hyperlink ref="E452" r:id="rId9" display="GUTIERREZ MENDOZA"/>
    <hyperlink ref="E532" r:id="rId10"/>
    <hyperlink ref="E436" r:id="rId11"/>
    <hyperlink ref="D511" r:id="rId12" display="C:\Users\esalas\AppData\Roaming\Microsoft\Excel\scam licencias\550-gomez chino isauro.pdf"/>
    <hyperlink ref="E111" r:id="rId13"/>
  </hyperlinks>
  <printOptions horizontalCentered="1" verticalCentered="1"/>
  <pageMargins left="0.39370078740157483" right="0.39370078740157483" top="0.39370078740157483" bottom="0.39370078740157483" header="0" footer="0"/>
  <pageSetup paperSize="9" scale="39" fitToHeight="0" orientation="landscape" r:id="rId14"/>
  <headerFooter alignWithMargins="0"/>
  <rowBreaks count="6" manualBreakCount="6">
    <brk id="427" max="16383" man="1"/>
    <brk id="462" max="16383" man="1"/>
    <brk id="542" max="16383" man="1"/>
    <brk id="582" max="16383" man="1"/>
    <brk id="662" max="16383" man="1"/>
    <brk id="813" max="16383" man="1"/>
  </rowBreaks>
  <customProperties>
    <customPr name="EpmWorksheetKeyString_GUID" r:id="rId15"/>
  </customPropertie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O91"/>
  <sheetViews>
    <sheetView showGridLines="0" view="pageBreakPreview" topLeftCell="A16" zoomScaleNormal="100" zoomScaleSheetLayoutView="100" workbookViewId="0">
      <selection activeCell="AK25" sqref="AK25"/>
    </sheetView>
  </sheetViews>
  <sheetFormatPr baseColWidth="10" defaultRowHeight="12.75" x14ac:dyDescent="0.2"/>
  <cols>
    <col min="1" max="1" width="3.5703125" customWidth="1"/>
    <col min="2" max="2" width="1.42578125" customWidth="1"/>
    <col min="3" max="4" width="3" customWidth="1"/>
    <col min="5" max="5" width="6.5703125" customWidth="1"/>
    <col min="6" max="6" width="1" customWidth="1"/>
    <col min="7" max="17" width="3" customWidth="1"/>
    <col min="18" max="18" width="2.5703125" customWidth="1"/>
    <col min="19" max="33" width="3" customWidth="1"/>
    <col min="34" max="34" width="4.140625" customWidth="1"/>
    <col min="35" max="35" width="3.85546875" customWidth="1"/>
  </cols>
  <sheetData>
    <row r="1" spans="1:41" ht="13.5" thickBot="1" x14ac:dyDescent="0.25">
      <c r="A1" s="229"/>
    </row>
    <row r="2" spans="1:41" ht="14.25" customHeight="1" thickTop="1" thickBot="1" x14ac:dyDescent="0.25">
      <c r="B2" s="23"/>
      <c r="C2" s="24"/>
      <c r="D2" s="24"/>
      <c r="E2" s="24"/>
      <c r="F2" s="24"/>
      <c r="G2" s="259" t="s">
        <v>2783</v>
      </c>
      <c r="H2" s="259"/>
      <c r="I2" s="259"/>
      <c r="J2" s="259"/>
      <c r="K2" s="259"/>
      <c r="L2" s="259"/>
      <c r="M2" s="259"/>
      <c r="N2" s="259"/>
      <c r="O2" s="259"/>
      <c r="P2" s="259"/>
      <c r="Q2" s="260"/>
      <c r="R2" s="1"/>
      <c r="S2" s="263" t="str">
        <f>VLOOKUP($B4,'Base de datos'!$A$1:$AI$6616,16,FALSE)</f>
        <v>CARGADOR FRONTAL</v>
      </c>
      <c r="T2" s="264"/>
      <c r="U2" s="264"/>
      <c r="V2" s="264"/>
      <c r="W2" s="264"/>
      <c r="X2" s="264"/>
      <c r="Y2" s="264"/>
      <c r="Z2" s="264"/>
      <c r="AA2" s="264"/>
      <c r="AB2" s="264"/>
      <c r="AC2" s="264"/>
      <c r="AD2" s="264"/>
      <c r="AE2" s="264"/>
      <c r="AF2" s="264"/>
      <c r="AG2" s="264"/>
      <c r="AH2" s="265"/>
    </row>
    <row r="3" spans="1:41" ht="13.5" thickBot="1" x14ac:dyDescent="0.25">
      <c r="B3" s="25"/>
      <c r="C3" s="26"/>
      <c r="D3" s="26"/>
      <c r="E3" s="26"/>
      <c r="F3" s="26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2"/>
      <c r="R3" s="1"/>
      <c r="S3" s="266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267"/>
      <c r="AE3" s="267"/>
      <c r="AF3" s="267"/>
      <c r="AG3" s="267"/>
      <c r="AH3" s="268"/>
      <c r="AJ3" s="54">
        <v>1274</v>
      </c>
      <c r="AL3" s="55"/>
    </row>
    <row r="4" spans="1:41" ht="13.5" thickTop="1" x14ac:dyDescent="0.2">
      <c r="B4" s="2">
        <f>+AJ3</f>
        <v>1274</v>
      </c>
      <c r="C4" s="269" t="s">
        <v>7</v>
      </c>
      <c r="D4" s="269"/>
      <c r="E4" s="269"/>
      <c r="F4" s="3" t="s">
        <v>0</v>
      </c>
      <c r="G4" s="270" t="str">
        <f>VLOOKUP($B4,'Base de datos'!$A$1:$AI$6616,4,FALSE)</f>
        <v>SUPERMIX1274</v>
      </c>
      <c r="H4" s="270"/>
      <c r="I4" s="270"/>
      <c r="J4" s="270"/>
      <c r="K4" s="35"/>
      <c r="L4" s="35"/>
      <c r="M4" s="35"/>
      <c r="N4" s="3"/>
      <c r="O4" s="3"/>
      <c r="P4" s="3"/>
      <c r="Q4" s="4"/>
      <c r="R4" s="1"/>
      <c r="S4" s="14"/>
      <c r="T4" s="15"/>
      <c r="U4" s="15"/>
      <c r="V4" s="15"/>
      <c r="W4" s="15"/>
      <c r="X4" s="16"/>
      <c r="Y4" s="15"/>
      <c r="Z4" s="15"/>
      <c r="AA4" s="29"/>
      <c r="AB4" s="15"/>
      <c r="AC4" s="15"/>
      <c r="AD4" s="15"/>
      <c r="AE4" s="15"/>
      <c r="AF4" s="17"/>
      <c r="AG4" s="16"/>
      <c r="AH4" s="30"/>
    </row>
    <row r="5" spans="1:41" x14ac:dyDescent="0.2">
      <c r="B5" s="28">
        <v>1105</v>
      </c>
      <c r="C5" s="239" t="s">
        <v>1</v>
      </c>
      <c r="D5" s="239"/>
      <c r="E5" s="239"/>
      <c r="F5" s="3" t="s">
        <v>0</v>
      </c>
      <c r="G5" s="271" t="str">
        <f>VLOOKUP($B4,'Base de datos'!$A$1:$AI$6616,5,FALSE)</f>
        <v>APAZA CHAMBI</v>
      </c>
      <c r="H5" s="271" t="e">
        <f>VLOOKUP(#REF!,'Base de datos'!#REF!,4,FALSE)</f>
        <v>#REF!</v>
      </c>
      <c r="I5" s="271" t="e">
        <f>VLOOKUP(#REF!,'Base de datos'!#REF!,4,FALSE)</f>
        <v>#REF!</v>
      </c>
      <c r="J5" s="271" t="e">
        <f>VLOOKUP(#REF!,'Base de datos'!#REF!,4,FALSE)</f>
        <v>#REF!</v>
      </c>
      <c r="K5" s="271" t="e">
        <f>VLOOKUP(#REF!,'Base de datos'!#REF!,4,FALSE)</f>
        <v>#REF!</v>
      </c>
      <c r="L5" s="271" t="e">
        <f>VLOOKUP(#REF!,'Base de datos'!#REF!,4,FALSE)</f>
        <v>#REF!</v>
      </c>
      <c r="M5" s="271" t="e">
        <f>VLOOKUP(#REF!,'Base de datos'!#REF!,4,FALSE)</f>
        <v>#REF!</v>
      </c>
      <c r="O5" s="3"/>
      <c r="P5" s="1"/>
      <c r="Q5" s="4"/>
      <c r="R5" s="1"/>
      <c r="S5" s="5"/>
      <c r="T5" s="6"/>
      <c r="U5" s="6"/>
      <c r="V5" s="6"/>
      <c r="W5" s="6"/>
      <c r="X5" s="7"/>
      <c r="Y5" s="6"/>
      <c r="Z5" s="6"/>
      <c r="AA5" s="3"/>
      <c r="AB5" s="6"/>
      <c r="AC5" s="6"/>
      <c r="AD5" s="6"/>
      <c r="AE5" s="6"/>
      <c r="AF5" s="8"/>
      <c r="AG5" s="7"/>
      <c r="AH5" s="4"/>
    </row>
    <row r="6" spans="1:41" x14ac:dyDescent="0.2">
      <c r="B6" s="5"/>
      <c r="C6" s="239" t="s">
        <v>2</v>
      </c>
      <c r="D6" s="239"/>
      <c r="E6" s="239"/>
      <c r="F6" s="3" t="s">
        <v>0</v>
      </c>
      <c r="G6" s="272" t="str">
        <f>VLOOKUP($B4,'Base de datos'!$A$1:$AI$6616,6,FALSE)</f>
        <v>JUVENAL RICHARD</v>
      </c>
      <c r="H6" s="272"/>
      <c r="I6" s="272"/>
      <c r="J6" s="272"/>
      <c r="K6" s="272"/>
      <c r="L6" s="46"/>
      <c r="M6" s="273"/>
      <c r="N6" s="274"/>
      <c r="O6" s="274"/>
      <c r="P6" s="275"/>
      <c r="Q6" s="4"/>
      <c r="R6" s="1"/>
      <c r="S6" s="5"/>
      <c r="T6" s="6"/>
      <c r="U6" s="6"/>
      <c r="V6" s="6"/>
      <c r="W6" s="3"/>
      <c r="X6" s="9"/>
      <c r="Y6" s="3"/>
      <c r="Z6" s="3"/>
      <c r="AA6" s="3"/>
      <c r="AB6" s="3"/>
      <c r="AC6" s="3"/>
      <c r="AD6" s="6"/>
      <c r="AE6" s="6"/>
      <c r="AF6" s="8"/>
      <c r="AG6" s="7"/>
      <c r="AH6" s="4"/>
    </row>
    <row r="7" spans="1:41" ht="15" customHeight="1" x14ac:dyDescent="0.2">
      <c r="B7" s="5"/>
      <c r="C7" s="239" t="s">
        <v>3</v>
      </c>
      <c r="D7" s="239"/>
      <c r="E7" s="239"/>
      <c r="F7" s="3" t="s">
        <v>0</v>
      </c>
      <c r="G7" s="282" t="str">
        <f>VLOOKUP($B4,'Base de datos'!$A$1:$AI$6616,7,FALSE)</f>
        <v>O POSITIVO</v>
      </c>
      <c r="H7" s="282"/>
      <c r="I7" s="282"/>
      <c r="J7" s="282"/>
      <c r="K7" s="282"/>
      <c r="L7" s="46"/>
      <c r="M7" s="276"/>
      <c r="N7" s="277"/>
      <c r="O7" s="277"/>
      <c r="P7" s="278"/>
      <c r="Q7" s="1"/>
      <c r="R7" s="18"/>
      <c r="S7" s="5"/>
      <c r="T7" s="19"/>
      <c r="U7" s="20"/>
      <c r="V7" s="20"/>
      <c r="W7" s="20"/>
      <c r="X7" s="7"/>
      <c r="Y7" s="20"/>
      <c r="Z7" s="20"/>
      <c r="AA7" s="3"/>
      <c r="AB7" s="3"/>
      <c r="AC7" s="3"/>
      <c r="AD7" s="6"/>
      <c r="AE7" s="6"/>
      <c r="AF7" s="8"/>
      <c r="AG7" s="7"/>
      <c r="AH7" s="4"/>
    </row>
    <row r="8" spans="1:41" x14ac:dyDescent="0.2">
      <c r="B8" s="283" t="s">
        <v>2908</v>
      </c>
      <c r="C8" s="239"/>
      <c r="D8" s="239"/>
      <c r="E8" s="239"/>
      <c r="F8" s="3" t="s">
        <v>0</v>
      </c>
      <c r="G8" s="290">
        <f>VLOOKUP($B4,'Base de datos'!$A$1:$AI$6616,8,FALSE)</f>
        <v>40844633</v>
      </c>
      <c r="H8" s="290"/>
      <c r="I8" s="290"/>
      <c r="J8" s="290"/>
      <c r="K8" s="290"/>
      <c r="L8" s="46"/>
      <c r="M8" s="276"/>
      <c r="N8" s="277"/>
      <c r="O8" s="277"/>
      <c r="P8" s="278"/>
      <c r="Q8" s="4"/>
      <c r="R8" s="1"/>
      <c r="S8" s="5"/>
      <c r="T8" s="285"/>
      <c r="U8" s="285"/>
      <c r="V8" s="285"/>
      <c r="W8" s="285"/>
      <c r="X8" s="285"/>
      <c r="Y8" s="285"/>
      <c r="Z8" s="285"/>
      <c r="AA8" s="3"/>
      <c r="AB8" s="3"/>
      <c r="AC8" s="3"/>
      <c r="AD8" s="6"/>
      <c r="AE8" s="6"/>
      <c r="AF8" s="8"/>
      <c r="AG8" s="7"/>
      <c r="AH8" s="4"/>
    </row>
    <row r="9" spans="1:41" ht="13.5" thickBot="1" x14ac:dyDescent="0.25">
      <c r="B9" s="5"/>
      <c r="C9" s="239" t="s">
        <v>4</v>
      </c>
      <c r="D9" s="239"/>
      <c r="E9" s="239"/>
      <c r="F9" s="3" t="s">
        <v>0</v>
      </c>
      <c r="G9" s="286" t="str">
        <f>VLOOKUP($B4,'Base de datos'!$A$1:$AI$6616,10,FALSE)</f>
        <v>H40844633</v>
      </c>
      <c r="H9" s="286"/>
      <c r="I9" s="286"/>
      <c r="J9" s="286"/>
      <c r="K9" s="286"/>
      <c r="L9" s="46"/>
      <c r="M9" s="276"/>
      <c r="N9" s="277"/>
      <c r="O9" s="277"/>
      <c r="P9" s="278"/>
      <c r="Q9" s="4"/>
      <c r="R9" s="1"/>
      <c r="S9" s="5"/>
      <c r="T9" s="33"/>
      <c r="U9" s="33"/>
      <c r="V9" s="33"/>
      <c r="W9" s="51"/>
      <c r="X9" s="51"/>
      <c r="Y9" s="51"/>
      <c r="Z9" s="51"/>
      <c r="AA9" s="51"/>
      <c r="AB9" s="51"/>
      <c r="AC9" s="51"/>
      <c r="AD9" s="51"/>
      <c r="AE9" s="33"/>
      <c r="AF9" s="33"/>
      <c r="AG9" s="33"/>
      <c r="AH9" s="34"/>
    </row>
    <row r="10" spans="1:41" ht="15.75" customHeight="1" x14ac:dyDescent="0.2">
      <c r="B10" s="5"/>
      <c r="C10" s="239" t="s">
        <v>5</v>
      </c>
      <c r="D10" s="239"/>
      <c r="E10" s="239"/>
      <c r="F10" s="3" t="s">
        <v>0</v>
      </c>
      <c r="G10" s="284" t="str">
        <f>VLOOKUP($B4,'Base de datos'!$A$1:$AI$6616,11,FALSE)</f>
        <v>A 2B PROFESIONAL</v>
      </c>
      <c r="H10" s="284"/>
      <c r="I10" s="284"/>
      <c r="J10" s="284"/>
      <c r="K10" s="284"/>
      <c r="L10" s="46"/>
      <c r="M10" s="276"/>
      <c r="N10" s="277"/>
      <c r="O10" s="277"/>
      <c r="P10" s="278"/>
      <c r="Q10" s="4"/>
      <c r="R10" s="1"/>
      <c r="S10" s="5"/>
      <c r="T10" s="52"/>
      <c r="U10" s="52"/>
      <c r="V10" s="52"/>
      <c r="W10" s="288" t="s">
        <v>302</v>
      </c>
      <c r="X10" s="288"/>
      <c r="Y10" s="288"/>
      <c r="Z10" s="288"/>
      <c r="AA10" s="288"/>
      <c r="AB10" s="288"/>
      <c r="AC10" s="288"/>
      <c r="AD10" s="288"/>
      <c r="AE10" s="49"/>
      <c r="AF10" s="49"/>
      <c r="AG10" s="49"/>
      <c r="AH10" s="50"/>
    </row>
    <row r="11" spans="1:41" ht="15" customHeight="1" x14ac:dyDescent="0.2">
      <c r="B11" s="5"/>
      <c r="C11" s="31" t="s">
        <v>2782</v>
      </c>
      <c r="D11" s="31"/>
      <c r="E11" s="31"/>
      <c r="F11" s="3" t="s">
        <v>0</v>
      </c>
      <c r="G11" s="289" t="str">
        <f>VLOOKUP($B4,'Base de datos'!$A$1:$AI$6616,24,FALSE)</f>
        <v>AYUDANTE DE BOMBA</v>
      </c>
      <c r="H11" s="289"/>
      <c r="I11" s="289"/>
      <c r="J11" s="289"/>
      <c r="K11" s="289"/>
      <c r="L11" s="12"/>
      <c r="M11" s="279"/>
      <c r="N11" s="280"/>
      <c r="O11" s="280"/>
      <c r="P11" s="281"/>
      <c r="Q11" s="4"/>
      <c r="R11" s="1"/>
      <c r="S11" s="5"/>
      <c r="T11" s="32"/>
      <c r="U11" s="32"/>
      <c r="V11" s="32"/>
      <c r="W11" s="32"/>
      <c r="X11" s="32"/>
      <c r="Y11" s="32"/>
      <c r="Z11" s="32"/>
      <c r="AA11" s="3"/>
      <c r="AB11" s="49"/>
      <c r="AC11" s="49"/>
      <c r="AD11" s="49"/>
      <c r="AE11" s="49"/>
      <c r="AF11" s="49"/>
      <c r="AG11" s="49"/>
      <c r="AH11" s="50"/>
    </row>
    <row r="12" spans="1:41" x14ac:dyDescent="0.2">
      <c r="B12" s="5"/>
      <c r="C12" s="239" t="s">
        <v>2024</v>
      </c>
      <c r="D12" s="239"/>
      <c r="E12" s="239"/>
      <c r="F12" s="3" t="s">
        <v>0</v>
      </c>
      <c r="G12" s="240">
        <f>VLOOKUP($B4,'Base de datos'!$A$1:$AI$6616,12,FALSE)</f>
        <v>42797</v>
      </c>
      <c r="H12" s="240" t="e">
        <f>VLOOKUP(#REF!,'Base de datos'!#REF!,4,FALSE)</f>
        <v>#REF!</v>
      </c>
      <c r="I12" s="240" t="e">
        <f>VLOOKUP(#REF!,'Base de datos'!#REF!,4,FALSE)</f>
        <v>#REF!</v>
      </c>
      <c r="J12" s="12"/>
      <c r="K12" s="12"/>
      <c r="L12" s="12"/>
      <c r="M12" s="12"/>
      <c r="N12" s="11"/>
      <c r="O12" s="11"/>
      <c r="P12" s="11"/>
      <c r="Q12" s="4"/>
      <c r="R12" s="1"/>
      <c r="S12" s="291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292"/>
      <c r="AF12" s="292"/>
      <c r="AG12" s="292"/>
      <c r="AH12" s="293"/>
    </row>
    <row r="13" spans="1:41" ht="12.75" customHeight="1" x14ac:dyDescent="0.2">
      <c r="B13" s="5"/>
      <c r="C13" s="239" t="s">
        <v>2025</v>
      </c>
      <c r="D13" s="239"/>
      <c r="E13" s="239"/>
      <c r="F13" s="3" t="s">
        <v>0</v>
      </c>
      <c r="G13" s="240">
        <f>VLOOKUP($B4,'Base de datos'!$A$1:$AI$6616,13,FALSE)</f>
        <v>47038</v>
      </c>
      <c r="H13" s="240" t="e">
        <f>VLOOKUP(#REF!,'Base de datos'!#REF!,4,FALSE)</f>
        <v>#REF!</v>
      </c>
      <c r="I13" s="240" t="e">
        <f>VLOOKUP(#REF!,'Base de datos'!#REF!,4,FALSE)</f>
        <v>#REF!</v>
      </c>
      <c r="J13" s="10"/>
      <c r="K13" s="13"/>
      <c r="L13" s="47"/>
      <c r="M13" s="47"/>
      <c r="N13" s="47"/>
      <c r="O13" s="47"/>
      <c r="P13" s="47"/>
      <c r="Q13" s="48"/>
      <c r="R13" s="1"/>
      <c r="S13" s="243" t="str">
        <f>VLOOKUP($B4,'Base de datos'!$A$1:$AI$6525,17,FALSE)</f>
        <v>MANEJO DEFENSIVO - INDUCCIÓN DE SSMA</v>
      </c>
      <c r="T13" s="244"/>
      <c r="U13" s="244"/>
      <c r="V13" s="244"/>
      <c r="W13" s="244"/>
      <c r="X13" s="244"/>
      <c r="Y13" s="244"/>
      <c r="Z13" s="244"/>
      <c r="AA13" s="244"/>
      <c r="AB13" s="244"/>
      <c r="AC13" s="244"/>
      <c r="AD13" s="244"/>
      <c r="AE13" s="244"/>
      <c r="AF13" s="244"/>
      <c r="AG13" s="244"/>
      <c r="AH13" s="245"/>
    </row>
    <row r="14" spans="1:41" x14ac:dyDescent="0.2">
      <c r="B14" s="5"/>
      <c r="C14" s="252" t="s">
        <v>2026</v>
      </c>
      <c r="D14" s="252"/>
      <c r="E14" s="252"/>
      <c r="F14" s="3" t="s">
        <v>0</v>
      </c>
      <c r="G14" s="253">
        <f ca="1">TODAY()</f>
        <v>46187</v>
      </c>
      <c r="H14" s="253"/>
      <c r="I14" s="253"/>
      <c r="J14" s="253"/>
      <c r="K14" s="254" t="str">
        <f>VLOOKUP($B4,'Base de datos'!$A$1:$AI$6616,18,FALSE)</f>
        <v>SIN RESTRICCIONES</v>
      </c>
      <c r="L14" s="254"/>
      <c r="M14" s="254"/>
      <c r="N14" s="254"/>
      <c r="O14" s="254"/>
      <c r="P14" s="254"/>
      <c r="Q14" s="255"/>
      <c r="R14" s="1"/>
      <c r="S14" s="246"/>
      <c r="T14" s="247"/>
      <c r="U14" s="247"/>
      <c r="V14" s="247"/>
      <c r="W14" s="247"/>
      <c r="X14" s="247"/>
      <c r="Y14" s="247"/>
      <c r="Z14" s="247"/>
      <c r="AA14" s="247"/>
      <c r="AB14" s="247"/>
      <c r="AC14" s="247"/>
      <c r="AD14" s="247"/>
      <c r="AE14" s="247"/>
      <c r="AF14" s="247"/>
      <c r="AG14" s="247"/>
      <c r="AH14" s="248"/>
    </row>
    <row r="15" spans="1:41" ht="19.5" customHeight="1" thickBot="1" x14ac:dyDescent="0.25">
      <c r="B15" s="256" t="s">
        <v>2784</v>
      </c>
      <c r="C15" s="257"/>
      <c r="D15" s="257"/>
      <c r="E15" s="257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8"/>
      <c r="R15" s="1"/>
      <c r="S15" s="249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  <c r="AF15" s="250"/>
      <c r="AG15" s="250"/>
      <c r="AH15" s="251"/>
      <c r="AO15" t="s">
        <v>1436</v>
      </c>
    </row>
    <row r="16" spans="1:41" ht="14.25" thickTop="1" thickBot="1" x14ac:dyDescent="0.25"/>
    <row r="17" spans="2:36" ht="14.25" thickTop="1" thickBot="1" x14ac:dyDescent="0.25">
      <c r="B17" s="23"/>
      <c r="C17" s="24"/>
      <c r="D17" s="24"/>
      <c r="E17" s="24"/>
      <c r="F17" s="24"/>
      <c r="G17" s="259" t="s">
        <v>2783</v>
      </c>
      <c r="H17" s="259"/>
      <c r="I17" s="259"/>
      <c r="J17" s="259"/>
      <c r="K17" s="259"/>
      <c r="L17" s="259"/>
      <c r="M17" s="259"/>
      <c r="N17" s="259"/>
      <c r="O17" s="259"/>
      <c r="P17" s="259"/>
      <c r="Q17" s="260"/>
      <c r="R17" s="1"/>
      <c r="S17" s="263" t="str">
        <f>VLOOKUP($B19,'Base de datos'!$A$1:$AI$6616,16,FALSE)</f>
        <v>OPERADOR DE MIXER Y CAMIONETA</v>
      </c>
      <c r="T17" s="264"/>
      <c r="U17" s="264"/>
      <c r="V17" s="264"/>
      <c r="W17" s="264"/>
      <c r="X17" s="264"/>
      <c r="Y17" s="264"/>
      <c r="Z17" s="264"/>
      <c r="AA17" s="264"/>
      <c r="AB17" s="264"/>
      <c r="AC17" s="264"/>
      <c r="AD17" s="264"/>
      <c r="AE17" s="264"/>
      <c r="AF17" s="264"/>
      <c r="AG17" s="264"/>
      <c r="AH17" s="265"/>
      <c r="AJ17" s="53">
        <v>62</v>
      </c>
    </row>
    <row r="18" spans="2:36" ht="13.5" thickBot="1" x14ac:dyDescent="0.25">
      <c r="B18" s="25"/>
      <c r="C18" s="26"/>
      <c r="D18" s="26"/>
      <c r="E18" s="26"/>
      <c r="F18" s="26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2"/>
      <c r="R18" s="1"/>
      <c r="S18" s="266"/>
      <c r="T18" s="267"/>
      <c r="U18" s="267"/>
      <c r="V18" s="267"/>
      <c r="W18" s="267"/>
      <c r="X18" s="267"/>
      <c r="Y18" s="267"/>
      <c r="Z18" s="267"/>
      <c r="AA18" s="267"/>
      <c r="AB18" s="267"/>
      <c r="AC18" s="267"/>
      <c r="AD18" s="267"/>
      <c r="AE18" s="267"/>
      <c r="AF18" s="267"/>
      <c r="AG18" s="267"/>
      <c r="AH18" s="268"/>
    </row>
    <row r="19" spans="2:36" ht="13.5" customHeight="1" thickTop="1" x14ac:dyDescent="0.2">
      <c r="B19" s="2">
        <f>+AJ17</f>
        <v>62</v>
      </c>
      <c r="C19" s="269" t="s">
        <v>7</v>
      </c>
      <c r="D19" s="269"/>
      <c r="E19" s="269"/>
      <c r="F19" s="3" t="s">
        <v>0</v>
      </c>
      <c r="G19" s="270" t="str">
        <f>VLOOKUP($B19,'Base de datos'!$A$1:$AI$6616,4,FALSE)</f>
        <v>SUPERMIX62</v>
      </c>
      <c r="H19" s="270"/>
      <c r="I19" s="270"/>
      <c r="J19" s="270"/>
      <c r="K19" s="270"/>
      <c r="L19" s="35"/>
      <c r="M19" s="35"/>
      <c r="N19" s="3"/>
      <c r="O19" s="3"/>
      <c r="P19" s="3"/>
      <c r="Q19" s="4"/>
      <c r="R19" s="1"/>
      <c r="S19" s="14"/>
      <c r="T19" s="15"/>
      <c r="U19" s="15"/>
      <c r="V19" s="15"/>
      <c r="W19" s="15"/>
      <c r="X19" s="16"/>
      <c r="Y19" s="15"/>
      <c r="Z19" s="15"/>
      <c r="AA19" s="29"/>
      <c r="AB19" s="15"/>
      <c r="AC19" s="15"/>
      <c r="AD19" s="15"/>
      <c r="AE19" s="15"/>
      <c r="AF19" s="17"/>
      <c r="AG19" s="16"/>
      <c r="AH19" s="30"/>
    </row>
    <row r="20" spans="2:36" ht="12.75" customHeight="1" x14ac:dyDescent="0.2">
      <c r="B20" s="28"/>
      <c r="C20" s="239" t="s">
        <v>1</v>
      </c>
      <c r="D20" s="239"/>
      <c r="E20" s="239"/>
      <c r="F20" s="3" t="s">
        <v>0</v>
      </c>
      <c r="G20" s="271" t="str">
        <f>VLOOKUP($B19,'Base de datos'!$A$1:$AI$6616,5,FALSE)</f>
        <v>CALAPUJA CONDORI</v>
      </c>
      <c r="H20" s="271" t="e">
        <f>VLOOKUP(#REF!,'Base de datos'!#REF!,4,FALSE)</f>
        <v>#REF!</v>
      </c>
      <c r="I20" s="271" t="e">
        <f>VLOOKUP(#REF!,'Base de datos'!#REF!,4,FALSE)</f>
        <v>#REF!</v>
      </c>
      <c r="J20" s="271" t="e">
        <f>VLOOKUP(#REF!,'Base de datos'!#REF!,4,FALSE)</f>
        <v>#REF!</v>
      </c>
      <c r="K20" s="271" t="e">
        <f>VLOOKUP(#REF!,'Base de datos'!#REF!,4,FALSE)</f>
        <v>#REF!</v>
      </c>
      <c r="L20" s="271" t="e">
        <f>VLOOKUP(#REF!,'Base de datos'!#REF!,4,FALSE)</f>
        <v>#REF!</v>
      </c>
      <c r="M20" s="271" t="e">
        <f>VLOOKUP(#REF!,'Base de datos'!#REF!,4,FALSE)</f>
        <v>#REF!</v>
      </c>
      <c r="O20" s="3"/>
      <c r="P20" s="1"/>
      <c r="Q20" s="4"/>
      <c r="R20" s="1"/>
      <c r="S20" s="5"/>
      <c r="T20" s="6"/>
      <c r="U20" s="6"/>
      <c r="V20" s="6"/>
      <c r="W20" s="6"/>
      <c r="X20" s="7"/>
      <c r="Y20" s="6"/>
      <c r="Z20" s="6"/>
      <c r="AA20" s="3"/>
      <c r="AB20" s="6"/>
      <c r="AC20" s="6"/>
      <c r="AD20" s="6"/>
      <c r="AE20" s="6"/>
      <c r="AF20" s="8"/>
      <c r="AG20" s="7"/>
      <c r="AH20" s="4"/>
    </row>
    <row r="21" spans="2:36" x14ac:dyDescent="0.2">
      <c r="B21" s="5"/>
      <c r="C21" s="239" t="s">
        <v>2</v>
      </c>
      <c r="D21" s="239"/>
      <c r="E21" s="239"/>
      <c r="F21" s="3" t="s">
        <v>0</v>
      </c>
      <c r="G21" s="272" t="str">
        <f>VLOOKUP($B19,'Base de datos'!$A$1:$AI$6616,6,FALSE)</f>
        <v>HUGO MARTIN</v>
      </c>
      <c r="H21" s="272"/>
      <c r="I21" s="272"/>
      <c r="J21" s="272"/>
      <c r="K21" s="272"/>
      <c r="L21" s="46"/>
      <c r="M21" s="273"/>
      <c r="N21" s="274"/>
      <c r="O21" s="274"/>
      <c r="P21" s="275"/>
      <c r="Q21" s="4"/>
      <c r="R21" s="1"/>
      <c r="S21" s="5"/>
      <c r="T21" s="6"/>
      <c r="U21" s="6"/>
      <c r="V21" s="6"/>
      <c r="W21" s="3"/>
      <c r="X21" s="9"/>
      <c r="Y21" s="3"/>
      <c r="Z21" s="3"/>
      <c r="AA21" s="3"/>
      <c r="AB21" s="3"/>
      <c r="AC21" s="3"/>
      <c r="AD21" s="6"/>
      <c r="AE21" s="6"/>
      <c r="AF21" s="8"/>
      <c r="AG21" s="7"/>
      <c r="AH21" s="4"/>
    </row>
    <row r="22" spans="2:36" ht="15" customHeight="1" x14ac:dyDescent="0.2">
      <c r="B22" s="5"/>
      <c r="C22" s="239" t="s">
        <v>3</v>
      </c>
      <c r="D22" s="239"/>
      <c r="E22" s="239"/>
      <c r="F22" s="3" t="s">
        <v>0</v>
      </c>
      <c r="G22" s="282" t="str">
        <f>VLOOKUP($B19,'Base de datos'!$A$1:$AI$6616,7,FALSE)</f>
        <v>O Rh POSITIVO</v>
      </c>
      <c r="H22" s="282"/>
      <c r="I22" s="282"/>
      <c r="J22" s="282"/>
      <c r="K22" s="282"/>
      <c r="L22" s="46"/>
      <c r="M22" s="276"/>
      <c r="N22" s="277"/>
      <c r="O22" s="277"/>
      <c r="P22" s="278"/>
      <c r="Q22" s="1"/>
      <c r="R22" s="18"/>
      <c r="S22" s="5"/>
      <c r="T22" s="19"/>
      <c r="U22" s="20"/>
      <c r="V22" s="20"/>
      <c r="W22" s="20"/>
      <c r="X22" s="7"/>
      <c r="Y22" s="20"/>
      <c r="Z22" s="20"/>
      <c r="AA22" s="3"/>
      <c r="AB22" s="3"/>
      <c r="AC22" s="3"/>
      <c r="AD22" s="6"/>
      <c r="AE22" s="6"/>
      <c r="AF22" s="8"/>
      <c r="AG22" s="7"/>
      <c r="AH22" s="4"/>
    </row>
    <row r="23" spans="2:36" x14ac:dyDescent="0.2">
      <c r="B23" s="283" t="s">
        <v>2908</v>
      </c>
      <c r="C23" s="239"/>
      <c r="D23" s="239"/>
      <c r="E23" s="239"/>
      <c r="F23" s="3" t="s">
        <v>0</v>
      </c>
      <c r="G23" s="290">
        <f>VLOOKUP($B19,'Base de datos'!$A$1:$AI$6616,8,FALSE)</f>
        <v>29625075</v>
      </c>
      <c r="H23" s="290"/>
      <c r="I23" s="290"/>
      <c r="J23" s="290"/>
      <c r="K23" s="290"/>
      <c r="L23" s="46"/>
      <c r="M23" s="276"/>
      <c r="N23" s="277"/>
      <c r="O23" s="277"/>
      <c r="P23" s="278"/>
      <c r="Q23" s="4"/>
      <c r="R23" s="1"/>
      <c r="S23" s="5"/>
      <c r="T23" s="285"/>
      <c r="U23" s="285"/>
      <c r="V23" s="285"/>
      <c r="W23" s="285"/>
      <c r="X23" s="285"/>
      <c r="Y23" s="285"/>
      <c r="Z23" s="285"/>
      <c r="AA23" s="3"/>
      <c r="AB23" s="3"/>
      <c r="AC23" s="3"/>
      <c r="AD23" s="6"/>
      <c r="AE23" s="6"/>
      <c r="AF23" s="8"/>
      <c r="AG23" s="7"/>
      <c r="AH23" s="4"/>
    </row>
    <row r="24" spans="2:36" ht="13.5" thickBot="1" x14ac:dyDescent="0.25">
      <c r="B24" s="5"/>
      <c r="C24" s="239" t="s">
        <v>4</v>
      </c>
      <c r="D24" s="239"/>
      <c r="E24" s="239"/>
      <c r="F24" s="3" t="s">
        <v>0</v>
      </c>
      <c r="G24" s="286" t="str">
        <f>VLOOKUP($B19,'Base de datos'!$A$1:$AI$6616,10,FALSE)</f>
        <v>H29625075</v>
      </c>
      <c r="H24" s="286"/>
      <c r="I24" s="286"/>
      <c r="J24" s="286"/>
      <c r="K24" s="286"/>
      <c r="L24" s="46"/>
      <c r="M24" s="276"/>
      <c r="N24" s="277"/>
      <c r="O24" s="277"/>
      <c r="P24" s="278"/>
      <c r="Q24" s="4"/>
      <c r="R24" s="1"/>
      <c r="S24" s="5"/>
      <c r="T24" s="33"/>
      <c r="U24" s="33"/>
      <c r="V24" s="33"/>
      <c r="W24" s="51"/>
      <c r="X24" s="51"/>
      <c r="Y24" s="51"/>
      <c r="Z24" s="51"/>
      <c r="AA24" s="51"/>
      <c r="AB24" s="51"/>
      <c r="AC24" s="51"/>
      <c r="AD24" s="51"/>
      <c r="AE24" s="33"/>
      <c r="AF24" s="33"/>
      <c r="AG24" s="33"/>
      <c r="AH24" s="34"/>
    </row>
    <row r="25" spans="2:36" ht="15.75" customHeight="1" x14ac:dyDescent="0.2">
      <c r="B25" s="5"/>
      <c r="C25" s="239" t="s">
        <v>5</v>
      </c>
      <c r="D25" s="239"/>
      <c r="E25" s="239"/>
      <c r="F25" s="3" t="s">
        <v>0</v>
      </c>
      <c r="G25" s="284" t="str">
        <f>VLOOKUP($B19,'Base de datos'!$A$1:$AI$6616,11,FALSE)</f>
        <v>A3C PROFESIONAL</v>
      </c>
      <c r="H25" s="284"/>
      <c r="I25" s="284"/>
      <c r="J25" s="284"/>
      <c r="K25" s="284"/>
      <c r="L25" s="46"/>
      <c r="M25" s="276"/>
      <c r="N25" s="277"/>
      <c r="O25" s="277"/>
      <c r="P25" s="278"/>
      <c r="Q25" s="4"/>
      <c r="R25" s="1"/>
      <c r="S25" s="5"/>
      <c r="T25" s="52"/>
      <c r="U25" s="52"/>
      <c r="V25" s="52"/>
      <c r="W25" s="288" t="s">
        <v>302</v>
      </c>
      <c r="X25" s="288"/>
      <c r="Y25" s="288"/>
      <c r="Z25" s="288"/>
      <c r="AA25" s="288"/>
      <c r="AB25" s="288"/>
      <c r="AC25" s="288"/>
      <c r="AD25" s="288"/>
      <c r="AE25" s="49"/>
      <c r="AF25" s="49"/>
      <c r="AG25" s="49"/>
      <c r="AH25" s="50"/>
    </row>
    <row r="26" spans="2:36" ht="15" customHeight="1" x14ac:dyDescent="0.2">
      <c r="B26" s="5"/>
      <c r="C26" s="31" t="s">
        <v>2782</v>
      </c>
      <c r="D26" s="31"/>
      <c r="E26" s="31"/>
      <c r="F26" s="3" t="s">
        <v>0</v>
      </c>
      <c r="G26" s="289" t="str">
        <f>VLOOKUP($B19,'Base de datos'!$A$1:$AI$6616,24,FALSE)</f>
        <v>OPERADOR DE MIXER</v>
      </c>
      <c r="H26" s="289"/>
      <c r="I26" s="289"/>
      <c r="J26" s="289"/>
      <c r="K26" s="289"/>
      <c r="L26" s="12"/>
      <c r="M26" s="279"/>
      <c r="N26" s="280"/>
      <c r="O26" s="280"/>
      <c r="P26" s="281"/>
      <c r="Q26" s="4"/>
      <c r="R26" s="1"/>
      <c r="S26" s="5"/>
      <c r="T26" s="32"/>
      <c r="U26" s="32"/>
      <c r="V26" s="32"/>
      <c r="W26" s="32"/>
      <c r="X26" s="32"/>
      <c r="Y26" s="32"/>
      <c r="Z26" s="32"/>
      <c r="AA26" s="3"/>
      <c r="AB26" s="49"/>
      <c r="AC26" s="49"/>
      <c r="AD26" s="49"/>
      <c r="AE26" s="49"/>
      <c r="AF26" s="49"/>
      <c r="AG26" s="49"/>
      <c r="AH26" s="50"/>
    </row>
    <row r="27" spans="2:36" x14ac:dyDescent="0.2">
      <c r="B27" s="5"/>
      <c r="C27" s="239" t="s">
        <v>2024</v>
      </c>
      <c r="D27" s="239"/>
      <c r="E27" s="239"/>
      <c r="F27" s="3" t="s">
        <v>0</v>
      </c>
      <c r="G27" s="240">
        <f>VLOOKUP($B19,'Base de datos'!$A$1:$AI$6616,12,FALSE)</f>
        <v>40494</v>
      </c>
      <c r="H27" s="240" t="e">
        <f>VLOOKUP(#REF!,'Base de datos'!#REF!,4,FALSE)</f>
        <v>#REF!</v>
      </c>
      <c r="I27" s="240" t="e">
        <f>VLOOKUP(#REF!,'Base de datos'!#REF!,4,FALSE)</f>
        <v>#REF!</v>
      </c>
      <c r="J27" s="12"/>
      <c r="K27" s="12"/>
      <c r="L27" s="12"/>
      <c r="M27" s="12"/>
      <c r="N27" s="11"/>
      <c r="O27" s="11"/>
      <c r="P27" s="11"/>
      <c r="Q27" s="4"/>
      <c r="R27" s="1"/>
      <c r="S27" s="21"/>
      <c r="T27" s="22"/>
      <c r="U27" s="22"/>
      <c r="V27" s="22"/>
      <c r="W27" s="22"/>
      <c r="X27" s="22"/>
      <c r="Y27" s="22"/>
      <c r="Z27" s="22"/>
      <c r="AA27" s="22"/>
      <c r="AB27" s="241"/>
      <c r="AC27" s="241"/>
      <c r="AD27" s="241"/>
      <c r="AE27" s="241"/>
      <c r="AF27" s="241"/>
      <c r="AG27" s="241"/>
      <c r="AH27" s="242"/>
    </row>
    <row r="28" spans="2:36" x14ac:dyDescent="0.2">
      <c r="B28" s="5"/>
      <c r="C28" s="239" t="s">
        <v>2025</v>
      </c>
      <c r="D28" s="239"/>
      <c r="E28" s="239"/>
      <c r="F28" s="3" t="s">
        <v>0</v>
      </c>
      <c r="G28" s="240">
        <f>VLOOKUP($B19,'Base de datos'!$A$1:$AI$6616,13,FALSE)</f>
        <v>46673</v>
      </c>
      <c r="H28" s="240" t="e">
        <f>VLOOKUP(#REF!,'Base de datos'!#REF!,4,FALSE)</f>
        <v>#REF!</v>
      </c>
      <c r="I28" s="240" t="e">
        <f>VLOOKUP(#REF!,'Base de datos'!#REF!,4,FALSE)</f>
        <v>#REF!</v>
      </c>
      <c r="J28" s="10"/>
      <c r="K28" s="13"/>
      <c r="L28" s="47"/>
      <c r="M28" s="47"/>
      <c r="N28" s="47"/>
      <c r="O28" s="47"/>
      <c r="P28" s="47"/>
      <c r="Q28" s="48"/>
      <c r="R28" s="1"/>
      <c r="S28" s="243" t="str">
        <f>VLOOKUP($B19,'Base de datos'!$A$1:$AI$6525,17,FALSE)</f>
        <v>MANEJO DEFENSIVO - INDUCCIÓN DE SSMA</v>
      </c>
      <c r="T28" s="244"/>
      <c r="U28" s="244"/>
      <c r="V28" s="244"/>
      <c r="W28" s="244"/>
      <c r="X28" s="244"/>
      <c r="Y28" s="244"/>
      <c r="Z28" s="244"/>
      <c r="AA28" s="244"/>
      <c r="AB28" s="244"/>
      <c r="AC28" s="244"/>
      <c r="AD28" s="244"/>
      <c r="AE28" s="244"/>
      <c r="AF28" s="244"/>
      <c r="AG28" s="244"/>
      <c r="AH28" s="245"/>
    </row>
    <row r="29" spans="2:36" x14ac:dyDescent="0.2">
      <c r="B29" s="5"/>
      <c r="C29" s="252" t="s">
        <v>2026</v>
      </c>
      <c r="D29" s="252"/>
      <c r="E29" s="252"/>
      <c r="F29" s="3" t="s">
        <v>0</v>
      </c>
      <c r="G29" s="253">
        <f ca="1">TODAY()</f>
        <v>46187</v>
      </c>
      <c r="H29" s="253"/>
      <c r="I29" s="253"/>
      <c r="J29" s="253"/>
      <c r="K29" s="294" t="str">
        <f>VLOOKUP($B19,'Base de datos'!$A$1:$AI$6616,18,FALSE)</f>
        <v>CON LENTES</v>
      </c>
      <c r="L29" s="294"/>
      <c r="M29" s="294"/>
      <c r="N29" s="294"/>
      <c r="O29" s="294"/>
      <c r="P29" s="294"/>
      <c r="Q29" s="295"/>
      <c r="R29" s="1"/>
      <c r="S29" s="246"/>
      <c r="T29" s="247"/>
      <c r="U29" s="247"/>
      <c r="V29" s="247"/>
      <c r="W29" s="247"/>
      <c r="X29" s="247"/>
      <c r="Y29" s="247"/>
      <c r="Z29" s="247"/>
      <c r="AA29" s="247"/>
      <c r="AB29" s="247"/>
      <c r="AC29" s="247"/>
      <c r="AD29" s="247"/>
      <c r="AE29" s="247"/>
      <c r="AF29" s="247"/>
      <c r="AG29" s="247"/>
      <c r="AH29" s="248"/>
    </row>
    <row r="30" spans="2:36" ht="19.5" customHeight="1" thickBot="1" x14ac:dyDescent="0.25">
      <c r="B30" s="256" t="s">
        <v>2784</v>
      </c>
      <c r="C30" s="257"/>
      <c r="D30" s="25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8"/>
      <c r="R30" s="1"/>
      <c r="S30" s="249"/>
      <c r="T30" s="250"/>
      <c r="U30" s="250"/>
      <c r="V30" s="250"/>
      <c r="W30" s="250"/>
      <c r="X30" s="250"/>
      <c r="Y30" s="250"/>
      <c r="Z30" s="250"/>
      <c r="AA30" s="250"/>
      <c r="AB30" s="250"/>
      <c r="AC30" s="250"/>
      <c r="AD30" s="250"/>
      <c r="AE30" s="250"/>
      <c r="AF30" s="250"/>
      <c r="AG30" s="250"/>
      <c r="AH30" s="251"/>
    </row>
    <row r="31" spans="2:36" ht="14.25" thickTop="1" thickBot="1" x14ac:dyDescent="0.25"/>
    <row r="32" spans="2:36" ht="14.25" thickTop="1" thickBot="1" x14ac:dyDescent="0.25">
      <c r="B32" s="23"/>
      <c r="C32" s="24"/>
      <c r="D32" s="24"/>
      <c r="E32" s="24"/>
      <c r="F32" s="24"/>
      <c r="G32" s="259" t="s">
        <v>2783</v>
      </c>
      <c r="H32" s="259"/>
      <c r="I32" s="259"/>
      <c r="J32" s="259"/>
      <c r="K32" s="259"/>
      <c r="L32" s="259"/>
      <c r="M32" s="259"/>
      <c r="N32" s="259"/>
      <c r="O32" s="259"/>
      <c r="P32" s="259"/>
      <c r="Q32" s="260"/>
      <c r="R32" s="1"/>
      <c r="S32" s="263" t="str">
        <f>VLOOKUP($B34,'Base de datos'!$A$1:$AI$6616,16,FALSE)</f>
        <v>CAMIONETA</v>
      </c>
      <c r="T32" s="264"/>
      <c r="U32" s="264"/>
      <c r="V32" s="264"/>
      <c r="W32" s="264"/>
      <c r="X32" s="264"/>
      <c r="Y32" s="264"/>
      <c r="Z32" s="264"/>
      <c r="AA32" s="264"/>
      <c r="AB32" s="264"/>
      <c r="AC32" s="264"/>
      <c r="AD32" s="264"/>
      <c r="AE32" s="264"/>
      <c r="AF32" s="264"/>
      <c r="AG32" s="264"/>
      <c r="AH32" s="265"/>
      <c r="AJ32" s="53">
        <v>1270</v>
      </c>
    </row>
    <row r="33" spans="1:36" ht="13.5" thickBot="1" x14ac:dyDescent="0.25">
      <c r="A33" t="s">
        <v>1436</v>
      </c>
      <c r="B33" s="25"/>
      <c r="C33" s="26"/>
      <c r="D33" s="26"/>
      <c r="E33" s="26"/>
      <c r="F33" s="26"/>
      <c r="G33" s="261"/>
      <c r="H33" s="261"/>
      <c r="I33" s="261"/>
      <c r="J33" s="261"/>
      <c r="K33" s="261"/>
      <c r="L33" s="261"/>
      <c r="M33" s="261"/>
      <c r="N33" s="261"/>
      <c r="O33" s="261"/>
      <c r="P33" s="261"/>
      <c r="Q33" s="262"/>
      <c r="R33" s="1"/>
      <c r="S33" s="266"/>
      <c r="T33" s="267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267"/>
      <c r="AG33" s="267"/>
      <c r="AH33" s="268"/>
    </row>
    <row r="34" spans="1:36" ht="13.5" thickTop="1" x14ac:dyDescent="0.2">
      <c r="B34" s="2">
        <f>+AJ32</f>
        <v>1270</v>
      </c>
      <c r="C34" s="269" t="s">
        <v>7</v>
      </c>
      <c r="D34" s="269"/>
      <c r="E34" s="269"/>
      <c r="F34" s="3" t="s">
        <v>0</v>
      </c>
      <c r="G34" s="270" t="str">
        <f>VLOOKUP($B34,'Base de datos'!$A$1:$AI$6616,4,FALSE)</f>
        <v>SUPERMIX1270</v>
      </c>
      <c r="H34" s="270"/>
      <c r="I34" s="270"/>
      <c r="J34" s="270"/>
      <c r="K34" s="270"/>
      <c r="L34" s="270"/>
      <c r="M34" s="35"/>
      <c r="N34" s="3"/>
      <c r="O34" s="3"/>
      <c r="P34" s="3"/>
      <c r="Q34" s="4"/>
      <c r="R34" s="1"/>
      <c r="S34" s="14"/>
      <c r="T34" s="15"/>
      <c r="U34" s="15"/>
      <c r="V34" s="15"/>
      <c r="W34" s="15"/>
      <c r="X34" s="16"/>
      <c r="Y34" s="15"/>
      <c r="Z34" s="15"/>
      <c r="AA34" s="29"/>
      <c r="AB34" s="15"/>
      <c r="AC34" s="15"/>
      <c r="AD34" s="15"/>
      <c r="AE34" s="15"/>
      <c r="AF34" s="17"/>
      <c r="AG34" s="16"/>
      <c r="AH34" s="30"/>
    </row>
    <row r="35" spans="1:36" x14ac:dyDescent="0.2">
      <c r="B35" s="28"/>
      <c r="C35" s="239" t="s">
        <v>1</v>
      </c>
      <c r="D35" s="239"/>
      <c r="E35" s="239"/>
      <c r="F35" s="3" t="s">
        <v>0</v>
      </c>
      <c r="G35" s="271" t="str">
        <f>VLOOKUP($B34,'Base de datos'!$A$1:$AI$6616,5,FALSE)</f>
        <v>SOBENES POLAR</v>
      </c>
      <c r="H35" s="271" t="e">
        <f>VLOOKUP(#REF!,'Base de datos'!#REF!,4,FALSE)</f>
        <v>#REF!</v>
      </c>
      <c r="I35" s="271" t="e">
        <f>VLOOKUP(#REF!,'Base de datos'!#REF!,4,FALSE)</f>
        <v>#REF!</v>
      </c>
      <c r="J35" s="271" t="e">
        <f>VLOOKUP(#REF!,'Base de datos'!#REF!,4,FALSE)</f>
        <v>#REF!</v>
      </c>
      <c r="K35" s="271" t="e">
        <f>VLOOKUP(#REF!,'Base de datos'!#REF!,4,FALSE)</f>
        <v>#REF!</v>
      </c>
      <c r="L35" s="271" t="e">
        <f>VLOOKUP(#REF!,'Base de datos'!#REF!,4,FALSE)</f>
        <v>#REF!</v>
      </c>
      <c r="M35" s="271" t="e">
        <f>VLOOKUP(#REF!,'Base de datos'!#REF!,4,FALSE)</f>
        <v>#REF!</v>
      </c>
      <c r="O35" s="3"/>
      <c r="P35" s="1"/>
      <c r="Q35" s="4"/>
      <c r="R35" s="1"/>
      <c r="S35" s="5"/>
      <c r="T35" s="6"/>
      <c r="U35" s="6"/>
      <c r="V35" s="6"/>
      <c r="W35" s="6"/>
      <c r="X35" s="7"/>
      <c r="Y35" s="6"/>
      <c r="Z35" s="6"/>
      <c r="AA35" s="3"/>
      <c r="AB35" s="6"/>
      <c r="AC35" s="6"/>
      <c r="AD35" s="6"/>
      <c r="AE35" s="6"/>
      <c r="AF35" s="8"/>
      <c r="AG35" s="7"/>
      <c r="AH35" s="4"/>
    </row>
    <row r="36" spans="1:36" x14ac:dyDescent="0.2">
      <c r="B36" s="5"/>
      <c r="C36" s="239" t="s">
        <v>2</v>
      </c>
      <c r="D36" s="239"/>
      <c r="E36" s="239"/>
      <c r="F36" s="3" t="s">
        <v>0</v>
      </c>
      <c r="G36" s="272" t="str">
        <f>VLOOKUP($B34,'Base de datos'!$A$1:$AI$6616,6,FALSE)</f>
        <v>IGNACIO ALEJANDRO</v>
      </c>
      <c r="H36" s="272"/>
      <c r="I36" s="272"/>
      <c r="J36" s="272"/>
      <c r="K36" s="272"/>
      <c r="L36" s="46"/>
      <c r="M36" s="273"/>
      <c r="N36" s="274"/>
      <c r="O36" s="274"/>
      <c r="P36" s="275"/>
      <c r="Q36" s="4"/>
      <c r="R36" s="1"/>
      <c r="S36" s="5"/>
      <c r="T36" s="6"/>
      <c r="U36" s="6"/>
      <c r="V36" s="6"/>
      <c r="W36" s="3"/>
      <c r="X36" s="9"/>
      <c r="Y36" s="3"/>
      <c r="Z36" s="3"/>
      <c r="AA36" s="3"/>
      <c r="AB36" s="3"/>
      <c r="AC36" s="3"/>
      <c r="AD36" s="6"/>
      <c r="AE36" s="6"/>
      <c r="AF36" s="8"/>
      <c r="AG36" s="7"/>
      <c r="AH36" s="4"/>
    </row>
    <row r="37" spans="1:36" x14ac:dyDescent="0.2">
      <c r="B37" s="5"/>
      <c r="C37" s="239" t="s">
        <v>3</v>
      </c>
      <c r="D37" s="239"/>
      <c r="E37" s="239"/>
      <c r="F37" s="3" t="s">
        <v>0</v>
      </c>
      <c r="G37" s="282" t="str">
        <f>VLOOKUP($B34,'Base de datos'!$A$1:$AI$6616,7,FALSE)</f>
        <v>A POSITIVO</v>
      </c>
      <c r="H37" s="282"/>
      <c r="I37" s="282"/>
      <c r="J37" s="282"/>
      <c r="K37" s="282"/>
      <c r="L37" s="46"/>
      <c r="M37" s="276"/>
      <c r="N37" s="277"/>
      <c r="O37" s="277"/>
      <c r="P37" s="278"/>
      <c r="Q37" s="1"/>
      <c r="R37" s="18"/>
      <c r="S37" s="5"/>
      <c r="T37" s="19"/>
      <c r="U37" s="20"/>
      <c r="V37" s="20"/>
      <c r="W37" s="20"/>
      <c r="X37" s="7"/>
      <c r="Y37" s="20"/>
      <c r="Z37" s="20"/>
      <c r="AA37" s="3"/>
      <c r="AB37" s="3"/>
      <c r="AC37" s="3"/>
      <c r="AD37" s="6"/>
      <c r="AE37" s="6"/>
      <c r="AF37" s="8"/>
      <c r="AG37" s="7"/>
      <c r="AH37" s="4"/>
    </row>
    <row r="38" spans="1:36" x14ac:dyDescent="0.2">
      <c r="B38" s="283" t="s">
        <v>2908</v>
      </c>
      <c r="C38" s="239"/>
      <c r="D38" s="239"/>
      <c r="E38" s="239"/>
      <c r="F38" s="3" t="s">
        <v>0</v>
      </c>
      <c r="G38" s="284">
        <f>VLOOKUP($B34,'Base de datos'!$A$1:$AI$6616,8,FALSE)</f>
        <v>72670031</v>
      </c>
      <c r="H38" s="284"/>
      <c r="I38" s="284"/>
      <c r="J38" s="284"/>
      <c r="K38" s="284"/>
      <c r="L38" s="46"/>
      <c r="M38" s="276"/>
      <c r="N38" s="277"/>
      <c r="O38" s="277"/>
      <c r="P38" s="278"/>
      <c r="Q38" s="4"/>
      <c r="R38" s="1"/>
      <c r="S38" s="5"/>
      <c r="T38" s="285"/>
      <c r="U38" s="285"/>
      <c r="V38" s="285"/>
      <c r="W38" s="285"/>
      <c r="X38" s="285"/>
      <c r="Y38" s="285"/>
      <c r="Z38" s="285"/>
      <c r="AA38" s="3"/>
      <c r="AB38" s="3"/>
      <c r="AC38" s="3"/>
      <c r="AD38" s="6"/>
      <c r="AE38" s="6"/>
      <c r="AF38" s="8"/>
      <c r="AG38" s="7"/>
      <c r="AH38" s="4"/>
    </row>
    <row r="39" spans="1:36" ht="13.5" thickBot="1" x14ac:dyDescent="0.25">
      <c r="B39" s="5"/>
      <c r="C39" s="239" t="s">
        <v>4</v>
      </c>
      <c r="D39" s="239"/>
      <c r="E39" s="239"/>
      <c r="F39" s="3" t="s">
        <v>0</v>
      </c>
      <c r="G39" s="286" t="str">
        <f>VLOOKUP($B34,'Base de datos'!$A$1:$AI$6616,10,FALSE)</f>
        <v>H72670031</v>
      </c>
      <c r="H39" s="286"/>
      <c r="I39" s="286"/>
      <c r="J39" s="286"/>
      <c r="K39" s="286"/>
      <c r="L39" s="46"/>
      <c r="M39" s="276"/>
      <c r="N39" s="277"/>
      <c r="O39" s="277"/>
      <c r="P39" s="278"/>
      <c r="Q39" s="4"/>
      <c r="R39" s="1"/>
      <c r="S39" s="5"/>
      <c r="T39" s="33"/>
      <c r="U39" s="33"/>
      <c r="V39" s="33"/>
      <c r="W39" s="51"/>
      <c r="X39" s="51"/>
      <c r="Y39" s="51"/>
      <c r="Z39" s="51"/>
      <c r="AA39" s="51"/>
      <c r="AB39" s="51"/>
      <c r="AC39" s="51"/>
      <c r="AD39" s="51"/>
      <c r="AE39" s="33"/>
      <c r="AF39" s="33"/>
      <c r="AG39" s="33"/>
      <c r="AH39" s="34"/>
    </row>
    <row r="40" spans="1:36" x14ac:dyDescent="0.2">
      <c r="B40" s="5"/>
      <c r="C40" s="239" t="s">
        <v>5</v>
      </c>
      <c r="D40" s="239"/>
      <c r="E40" s="239"/>
      <c r="F40" s="3" t="s">
        <v>0</v>
      </c>
      <c r="G40" s="284" t="str">
        <f>VLOOKUP($B34,'Base de datos'!$A$1:$AI$6616,11,FALSE)</f>
        <v>A1</v>
      </c>
      <c r="H40" s="284"/>
      <c r="I40" s="284"/>
      <c r="J40" s="284"/>
      <c r="K40" s="284"/>
      <c r="L40" s="46"/>
      <c r="M40" s="276"/>
      <c r="N40" s="277"/>
      <c r="O40" s="277"/>
      <c r="P40" s="278"/>
      <c r="Q40" s="4"/>
      <c r="R40" s="1"/>
      <c r="S40" s="5"/>
      <c r="T40" s="52"/>
      <c r="U40" s="52"/>
      <c r="V40" s="52"/>
      <c r="W40" s="288" t="s">
        <v>302</v>
      </c>
      <c r="X40" s="288"/>
      <c r="Y40" s="288"/>
      <c r="Z40" s="288"/>
      <c r="AA40" s="288"/>
      <c r="AB40" s="288"/>
      <c r="AC40" s="288"/>
      <c r="AD40" s="288"/>
      <c r="AE40" s="49"/>
      <c r="AF40" s="49"/>
      <c r="AG40" s="49"/>
      <c r="AH40" s="50"/>
    </row>
    <row r="41" spans="1:36" x14ac:dyDescent="0.2">
      <c r="B41" s="5"/>
      <c r="C41" s="31" t="s">
        <v>2782</v>
      </c>
      <c r="D41" s="31"/>
      <c r="E41" s="31"/>
      <c r="F41" s="3" t="s">
        <v>0</v>
      </c>
      <c r="G41" s="27" t="str">
        <f>VLOOKUP($B34,'Base de datos'!$A$1:$AI$6616,24,FALSE)</f>
        <v>TRAINNER LIDER DE UNIDAD</v>
      </c>
      <c r="H41" s="12"/>
      <c r="I41" s="12"/>
      <c r="J41" s="12"/>
      <c r="K41" s="12"/>
      <c r="L41" s="12"/>
      <c r="M41" s="279"/>
      <c r="N41" s="280"/>
      <c r="O41" s="280"/>
      <c r="P41" s="281"/>
      <c r="Q41" s="4"/>
      <c r="R41" s="1"/>
      <c r="S41" s="5"/>
      <c r="T41" s="32"/>
      <c r="U41" s="32"/>
      <c r="V41" s="32"/>
      <c r="W41" s="32"/>
      <c r="X41" s="32"/>
      <c r="Y41" s="32"/>
      <c r="Z41" s="32"/>
      <c r="AA41" s="3"/>
      <c r="AB41" s="49"/>
      <c r="AC41" s="49"/>
      <c r="AD41" s="49"/>
      <c r="AE41" s="49"/>
      <c r="AF41" s="49"/>
      <c r="AG41" s="49"/>
      <c r="AH41" s="50"/>
    </row>
    <row r="42" spans="1:36" x14ac:dyDescent="0.2">
      <c r="B42" s="5"/>
      <c r="C42" s="239" t="s">
        <v>2024</v>
      </c>
      <c r="D42" s="239"/>
      <c r="E42" s="239"/>
      <c r="F42" s="3" t="s">
        <v>0</v>
      </c>
      <c r="G42" s="240">
        <f>VLOOKUP($B34,'Base de datos'!$A$1:$AI$6616,12,FALSE)</f>
        <v>44511</v>
      </c>
      <c r="H42" s="240" t="e">
        <f>VLOOKUP(#REF!,'Base de datos'!#REF!,4,FALSE)</f>
        <v>#REF!</v>
      </c>
      <c r="I42" s="240" t="e">
        <f>VLOOKUP(#REF!,'Base de datos'!#REF!,4,FALSE)</f>
        <v>#REF!</v>
      </c>
      <c r="J42" s="12"/>
      <c r="K42" s="12"/>
      <c r="L42" s="12"/>
      <c r="M42" s="12"/>
      <c r="N42" s="11"/>
      <c r="O42" s="11"/>
      <c r="P42" s="11"/>
      <c r="Q42" s="4"/>
      <c r="R42" s="1"/>
      <c r="S42" s="21"/>
      <c r="T42" s="22"/>
      <c r="U42" s="22"/>
      <c r="V42" s="22"/>
      <c r="W42" s="22"/>
      <c r="X42" s="22"/>
      <c r="Y42" s="22"/>
      <c r="Z42" s="22"/>
      <c r="AA42" s="22"/>
      <c r="AB42" s="241"/>
      <c r="AC42" s="241"/>
      <c r="AD42" s="241"/>
      <c r="AE42" s="241"/>
      <c r="AF42" s="241"/>
      <c r="AG42" s="241"/>
      <c r="AH42" s="242"/>
    </row>
    <row r="43" spans="1:36" x14ac:dyDescent="0.2">
      <c r="B43" s="5"/>
      <c r="C43" s="239" t="s">
        <v>2025</v>
      </c>
      <c r="D43" s="239"/>
      <c r="E43" s="239"/>
      <c r="F43" s="3" t="s">
        <v>0</v>
      </c>
      <c r="G43" s="240">
        <f>VLOOKUP($B34,'Base de datos'!$A$1:$AI$6616,13,FALSE)</f>
        <v>48163</v>
      </c>
      <c r="H43" s="240" t="e">
        <f>VLOOKUP(#REF!,'Base de datos'!#REF!,4,FALSE)</f>
        <v>#REF!</v>
      </c>
      <c r="I43" s="240" t="e">
        <f>VLOOKUP(#REF!,'Base de datos'!#REF!,4,FALSE)</f>
        <v>#REF!</v>
      </c>
      <c r="J43" s="10"/>
      <c r="K43" s="13"/>
      <c r="L43" s="47"/>
      <c r="M43" s="47"/>
      <c r="N43" s="47"/>
      <c r="O43" s="47"/>
      <c r="P43" s="47"/>
      <c r="Q43" s="48"/>
      <c r="R43" s="1"/>
      <c r="S43" s="243" t="str">
        <f>VLOOKUP($B34,'Base de datos'!$A$1:$AI$6525,17,FALSE)</f>
        <v>MANEJO DEFENSIVO - INDUCCIÓN DE SSMA</v>
      </c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244"/>
      <c r="AF43" s="244"/>
      <c r="AG43" s="244"/>
      <c r="AH43" s="245"/>
    </row>
    <row r="44" spans="1:36" x14ac:dyDescent="0.2">
      <c r="B44" s="5"/>
      <c r="C44" s="252" t="s">
        <v>2026</v>
      </c>
      <c r="D44" s="252"/>
      <c r="E44" s="252"/>
      <c r="F44" s="3" t="s">
        <v>0</v>
      </c>
      <c r="G44" s="253">
        <f ca="1">TODAY()</f>
        <v>46187</v>
      </c>
      <c r="H44" s="253"/>
      <c r="I44" s="253"/>
      <c r="J44" s="253"/>
      <c r="K44" s="254" t="str">
        <f>VLOOKUP($B34,'Base de datos'!$A$1:$AI$6616,18,FALSE)</f>
        <v>CON LENTES</v>
      </c>
      <c r="L44" s="254"/>
      <c r="M44" s="254"/>
      <c r="N44" s="254"/>
      <c r="O44" s="254"/>
      <c r="P44" s="254"/>
      <c r="Q44" s="255"/>
      <c r="R44" s="1"/>
      <c r="S44" s="246"/>
      <c r="T44" s="247"/>
      <c r="U44" s="247"/>
      <c r="V44" s="247"/>
      <c r="W44" s="247"/>
      <c r="X44" s="247"/>
      <c r="Y44" s="247"/>
      <c r="Z44" s="247"/>
      <c r="AA44" s="247"/>
      <c r="AB44" s="247"/>
      <c r="AC44" s="247"/>
      <c r="AD44" s="247"/>
      <c r="AE44" s="247"/>
      <c r="AF44" s="247"/>
      <c r="AG44" s="247"/>
      <c r="AH44" s="248"/>
    </row>
    <row r="45" spans="1:36" ht="19.5" customHeight="1" thickBot="1" x14ac:dyDescent="0.25">
      <c r="B45" s="256" t="s">
        <v>2784</v>
      </c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8"/>
      <c r="R45" s="1"/>
      <c r="S45" s="249"/>
      <c r="T45" s="250"/>
      <c r="U45" s="250"/>
      <c r="V45" s="250"/>
      <c r="W45" s="250"/>
      <c r="X45" s="250"/>
      <c r="Y45" s="250"/>
      <c r="Z45" s="250"/>
      <c r="AA45" s="250"/>
      <c r="AB45" s="250"/>
      <c r="AC45" s="250"/>
      <c r="AD45" s="250"/>
      <c r="AE45" s="250"/>
      <c r="AF45" s="250"/>
      <c r="AG45" s="250"/>
      <c r="AH45" s="251"/>
    </row>
    <row r="46" spans="1:36" ht="14.25" thickTop="1" thickBot="1" x14ac:dyDescent="0.25"/>
    <row r="47" spans="1:36" ht="14.25" thickTop="1" thickBot="1" x14ac:dyDescent="0.25">
      <c r="A47" s="57"/>
      <c r="B47" s="23"/>
      <c r="C47" s="24"/>
      <c r="D47" s="24"/>
      <c r="E47" s="24"/>
      <c r="F47" s="24"/>
      <c r="G47" s="259" t="s">
        <v>2783</v>
      </c>
      <c r="H47" s="259"/>
      <c r="I47" s="259"/>
      <c r="J47" s="259"/>
      <c r="K47" s="259"/>
      <c r="L47" s="259"/>
      <c r="M47" s="259"/>
      <c r="N47" s="259"/>
      <c r="O47" s="259"/>
      <c r="P47" s="259"/>
      <c r="Q47" s="260"/>
      <c r="R47" s="1"/>
      <c r="S47" s="263" t="str">
        <f>VLOOKUP($B49,'Base de datos'!$A$1:$AI$6616,16,FALSE)</f>
        <v>MIXER</v>
      </c>
      <c r="T47" s="264"/>
      <c r="U47" s="264"/>
      <c r="V47" s="264"/>
      <c r="W47" s="264"/>
      <c r="X47" s="264"/>
      <c r="Y47" s="264"/>
      <c r="Z47" s="264"/>
      <c r="AA47" s="264"/>
      <c r="AB47" s="264"/>
      <c r="AC47" s="264"/>
      <c r="AD47" s="264"/>
      <c r="AE47" s="264"/>
      <c r="AF47" s="264"/>
      <c r="AG47" s="264"/>
      <c r="AH47" s="265"/>
      <c r="AJ47" s="53">
        <v>1271</v>
      </c>
    </row>
    <row r="48" spans="1:36" ht="13.5" thickBot="1" x14ac:dyDescent="0.25">
      <c r="B48" s="25"/>
      <c r="C48" s="26"/>
      <c r="D48" s="26"/>
      <c r="E48" s="26"/>
      <c r="F48" s="26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2"/>
      <c r="R48" s="1"/>
      <c r="S48" s="266"/>
      <c r="T48" s="267"/>
      <c r="U48" s="267"/>
      <c r="V48" s="267"/>
      <c r="W48" s="267"/>
      <c r="X48" s="267"/>
      <c r="Y48" s="267"/>
      <c r="Z48" s="267"/>
      <c r="AA48" s="267"/>
      <c r="AB48" s="267"/>
      <c r="AC48" s="267"/>
      <c r="AD48" s="267"/>
      <c r="AE48" s="267"/>
      <c r="AF48" s="267"/>
      <c r="AG48" s="267"/>
      <c r="AH48" s="268"/>
    </row>
    <row r="49" spans="2:36" ht="13.5" thickTop="1" x14ac:dyDescent="0.2">
      <c r="B49" s="2">
        <f>+AJ47</f>
        <v>1271</v>
      </c>
      <c r="C49" s="269" t="s">
        <v>7</v>
      </c>
      <c r="D49" s="269"/>
      <c r="E49" s="269"/>
      <c r="F49" s="3" t="s">
        <v>0</v>
      </c>
      <c r="G49" s="270" t="str">
        <f>VLOOKUP($B49,'Base de datos'!$A$1:$AI$6616,4,FALSE)</f>
        <v>SUPERMIX1271</v>
      </c>
      <c r="H49" s="270"/>
      <c r="I49" s="270"/>
      <c r="J49" s="270"/>
      <c r="K49" s="35"/>
      <c r="L49" s="35"/>
      <c r="M49" s="35"/>
      <c r="N49" s="3"/>
      <c r="O49" s="3"/>
      <c r="P49" s="3"/>
      <c r="Q49" s="4"/>
      <c r="R49" s="1"/>
      <c r="S49" s="14"/>
      <c r="T49" s="15"/>
      <c r="U49" s="15"/>
      <c r="V49" s="15"/>
      <c r="W49" s="15"/>
      <c r="X49" s="16"/>
      <c r="Y49" s="15"/>
      <c r="Z49" s="15"/>
      <c r="AA49" s="29"/>
      <c r="AB49" s="15"/>
      <c r="AC49" s="15"/>
      <c r="AD49" s="15"/>
      <c r="AE49" s="15"/>
      <c r="AF49" s="17"/>
      <c r="AG49" s="16"/>
      <c r="AH49" s="30"/>
    </row>
    <row r="50" spans="2:36" x14ac:dyDescent="0.2">
      <c r="B50" s="28"/>
      <c r="C50" s="239" t="s">
        <v>1</v>
      </c>
      <c r="D50" s="239"/>
      <c r="E50" s="239"/>
      <c r="F50" s="3" t="s">
        <v>0</v>
      </c>
      <c r="G50" s="271" t="str">
        <f>VLOOKUP($B49,'Base de datos'!$A$1:$AI$6616,5,FALSE)</f>
        <v>SALAS PUMA</v>
      </c>
      <c r="H50" s="271" t="e">
        <f>VLOOKUP(#REF!,'Base de datos'!#REF!,4,FALSE)</f>
        <v>#REF!</v>
      </c>
      <c r="I50" s="271" t="e">
        <f>VLOOKUP(#REF!,'Base de datos'!#REF!,4,FALSE)</f>
        <v>#REF!</v>
      </c>
      <c r="J50" s="271" t="e">
        <f>VLOOKUP(#REF!,'Base de datos'!#REF!,4,FALSE)</f>
        <v>#REF!</v>
      </c>
      <c r="K50" s="271" t="e">
        <f>VLOOKUP(#REF!,'Base de datos'!#REF!,4,FALSE)</f>
        <v>#REF!</v>
      </c>
      <c r="L50" s="271" t="e">
        <f>VLOOKUP(#REF!,'Base de datos'!#REF!,4,FALSE)</f>
        <v>#REF!</v>
      </c>
      <c r="M50" s="271" t="e">
        <f>VLOOKUP(#REF!,'Base de datos'!#REF!,4,FALSE)</f>
        <v>#REF!</v>
      </c>
      <c r="O50" s="3"/>
      <c r="P50" s="1"/>
      <c r="Q50" s="4"/>
      <c r="R50" s="1"/>
      <c r="S50" s="5"/>
      <c r="T50" s="6"/>
      <c r="U50" s="6"/>
      <c r="V50" s="6"/>
      <c r="W50" s="6"/>
      <c r="X50" s="7"/>
      <c r="Y50" s="6"/>
      <c r="Z50" s="6"/>
      <c r="AA50" s="3"/>
      <c r="AB50" s="6"/>
      <c r="AC50" s="6"/>
      <c r="AD50" s="6"/>
      <c r="AE50" s="6"/>
      <c r="AF50" s="8"/>
      <c r="AG50" s="7"/>
      <c r="AH50" s="4"/>
    </row>
    <row r="51" spans="2:36" x14ac:dyDescent="0.2">
      <c r="B51" s="5"/>
      <c r="C51" s="239" t="s">
        <v>2</v>
      </c>
      <c r="D51" s="239"/>
      <c r="E51" s="239"/>
      <c r="F51" s="3" t="s">
        <v>0</v>
      </c>
      <c r="G51" s="272" t="str">
        <f>VLOOKUP($B49,'Base de datos'!$A$1:$AI$6616,6,FALSE)</f>
        <v>LUIS ANGELO</v>
      </c>
      <c r="H51" s="272"/>
      <c r="I51" s="272"/>
      <c r="J51" s="272"/>
      <c r="K51" s="272"/>
      <c r="L51" s="46"/>
      <c r="M51" s="273"/>
      <c r="N51" s="274"/>
      <c r="O51" s="274"/>
      <c r="P51" s="275"/>
      <c r="Q51" s="4"/>
      <c r="R51" s="1"/>
      <c r="S51" s="5"/>
      <c r="T51" s="6"/>
      <c r="U51" s="6"/>
      <c r="V51" s="6"/>
      <c r="W51" s="3"/>
      <c r="X51" s="9"/>
      <c r="Y51" s="80" t="s">
        <v>1436</v>
      </c>
      <c r="Z51" s="3"/>
      <c r="AA51" s="3"/>
      <c r="AB51" s="3"/>
      <c r="AC51" s="3"/>
      <c r="AD51" s="6"/>
      <c r="AE51" s="6"/>
      <c r="AF51" s="8"/>
      <c r="AG51" s="7"/>
      <c r="AH51" s="4"/>
    </row>
    <row r="52" spans="2:36" x14ac:dyDescent="0.2">
      <c r="B52" s="5"/>
      <c r="C52" s="239" t="s">
        <v>3</v>
      </c>
      <c r="D52" s="239"/>
      <c r="E52" s="239"/>
      <c r="F52" s="3" t="s">
        <v>0</v>
      </c>
      <c r="G52" s="282" t="str">
        <f>VLOOKUP($B49,'Base de datos'!$A$1:$AI$6616,7,FALSE)</f>
        <v>O POSITIVO</v>
      </c>
      <c r="H52" s="282"/>
      <c r="I52" s="282"/>
      <c r="J52" s="282"/>
      <c r="K52" s="282"/>
      <c r="L52" s="46"/>
      <c r="M52" s="276"/>
      <c r="N52" s="277"/>
      <c r="O52" s="277"/>
      <c r="P52" s="278"/>
      <c r="Q52" s="1"/>
      <c r="R52" s="18"/>
      <c r="S52" s="5"/>
      <c r="T52" s="19"/>
      <c r="U52" s="20"/>
      <c r="V52" s="20"/>
      <c r="W52" s="20"/>
      <c r="X52" s="7"/>
      <c r="Y52" s="20"/>
      <c r="Z52" s="20"/>
      <c r="AA52" s="3"/>
      <c r="AB52" s="3"/>
      <c r="AC52" s="3"/>
      <c r="AD52" s="6"/>
      <c r="AE52" s="6"/>
      <c r="AF52" s="8"/>
      <c r="AG52" s="7"/>
      <c r="AH52" s="4"/>
    </row>
    <row r="53" spans="2:36" x14ac:dyDescent="0.2">
      <c r="B53" s="283" t="s">
        <v>2908</v>
      </c>
      <c r="C53" s="239"/>
      <c r="D53" s="239"/>
      <c r="E53" s="239"/>
      <c r="F53" s="3" t="s">
        <v>0</v>
      </c>
      <c r="G53" s="284">
        <f>VLOOKUP($B49,'Base de datos'!$A$1:$AI$6616,8,FALSE)</f>
        <v>73107909</v>
      </c>
      <c r="H53" s="284"/>
      <c r="I53" s="284"/>
      <c r="J53" s="284"/>
      <c r="K53" s="284"/>
      <c r="L53" s="46"/>
      <c r="M53" s="276"/>
      <c r="N53" s="277"/>
      <c r="O53" s="277"/>
      <c r="P53" s="278"/>
      <c r="Q53" s="4"/>
      <c r="R53" s="1"/>
      <c r="S53" s="5"/>
      <c r="T53" s="285"/>
      <c r="U53" s="285"/>
      <c r="V53" s="285"/>
      <c r="W53" s="285"/>
      <c r="X53" s="285"/>
      <c r="Y53" s="285"/>
      <c r="Z53" s="285"/>
      <c r="AA53" s="3"/>
      <c r="AB53" s="3"/>
      <c r="AC53" s="3"/>
      <c r="AD53" s="6"/>
      <c r="AE53" s="6"/>
      <c r="AF53" s="8"/>
      <c r="AG53" s="7"/>
      <c r="AH53" s="4"/>
    </row>
    <row r="54" spans="2:36" ht="13.5" thickBot="1" x14ac:dyDescent="0.25">
      <c r="B54" s="5"/>
      <c r="C54" s="239" t="s">
        <v>3775</v>
      </c>
      <c r="D54" s="239"/>
      <c r="E54" s="239"/>
      <c r="F54" s="3" t="s">
        <v>0</v>
      </c>
      <c r="G54" s="286" t="str">
        <f>VLOOKUP($B49,'Base de datos'!$A$1:$AI$6616,10,FALSE)</f>
        <v>H73107909</v>
      </c>
      <c r="H54" s="286"/>
      <c r="I54" s="286"/>
      <c r="J54" s="286"/>
      <c r="K54" s="286"/>
      <c r="L54" s="46"/>
      <c r="M54" s="276"/>
      <c r="N54" s="277"/>
      <c r="O54" s="277"/>
      <c r="P54" s="278"/>
      <c r="Q54" s="4"/>
      <c r="R54" s="1"/>
      <c r="S54" s="5"/>
      <c r="T54" s="33"/>
      <c r="U54" s="33"/>
      <c r="V54" s="33"/>
      <c r="W54" s="51"/>
      <c r="X54" s="51"/>
      <c r="Y54" s="51"/>
      <c r="Z54" s="51"/>
      <c r="AA54" s="51"/>
      <c r="AB54" s="51"/>
      <c r="AC54" s="51"/>
      <c r="AD54" s="51"/>
      <c r="AE54" s="33"/>
      <c r="AF54" s="33"/>
      <c r="AG54" s="33"/>
      <c r="AH54" s="34"/>
    </row>
    <row r="55" spans="2:36" x14ac:dyDescent="0.2">
      <c r="B55" s="5"/>
      <c r="C55" s="239" t="s">
        <v>5</v>
      </c>
      <c r="D55" s="239"/>
      <c r="E55" s="239"/>
      <c r="F55" s="3" t="s">
        <v>0</v>
      </c>
      <c r="G55" s="287" t="str">
        <f>VLOOKUP($B49,'Base de datos'!$A$1:$AI$6616,11,FALSE)</f>
        <v>A IIIc</v>
      </c>
      <c r="H55" s="287"/>
      <c r="I55" s="287"/>
      <c r="J55" s="287"/>
      <c r="K55" s="287"/>
      <c r="L55" s="46"/>
      <c r="M55" s="276"/>
      <c r="N55" s="277"/>
      <c r="O55" s="277"/>
      <c r="P55" s="278"/>
      <c r="Q55" s="4"/>
      <c r="R55" s="1"/>
      <c r="S55" s="5"/>
      <c r="T55" s="52"/>
      <c r="U55" s="52"/>
      <c r="V55" s="52"/>
      <c r="W55" s="288" t="s">
        <v>302</v>
      </c>
      <c r="X55" s="288"/>
      <c r="Y55" s="288"/>
      <c r="Z55" s="288"/>
      <c r="AA55" s="288"/>
      <c r="AB55" s="288"/>
      <c r="AC55" s="288"/>
      <c r="AD55" s="288"/>
      <c r="AE55" s="49"/>
      <c r="AF55" s="49"/>
      <c r="AG55" s="49"/>
      <c r="AH55" s="50"/>
    </row>
    <row r="56" spans="2:36" x14ac:dyDescent="0.2">
      <c r="B56" s="5"/>
      <c r="C56" s="31" t="s">
        <v>2782</v>
      </c>
      <c r="D56" s="31"/>
      <c r="E56" s="31"/>
      <c r="F56" s="3" t="s">
        <v>0</v>
      </c>
      <c r="G56" s="27" t="str">
        <f>VLOOKUP($B49,'Base de datos'!$A$1:$AI$6616,24,FALSE)</f>
        <v>OPERADOR DE MIXER</v>
      </c>
      <c r="H56" s="12"/>
      <c r="I56" s="12"/>
      <c r="J56" s="12"/>
      <c r="K56" s="12"/>
      <c r="L56" s="12"/>
      <c r="M56" s="279"/>
      <c r="N56" s="280"/>
      <c r="O56" s="280"/>
      <c r="P56" s="281"/>
      <c r="Q56" s="4"/>
      <c r="R56" s="1"/>
      <c r="S56" s="5"/>
      <c r="T56" s="32"/>
      <c r="U56" s="32"/>
      <c r="V56" s="32"/>
      <c r="W56" s="32"/>
      <c r="X56" s="32"/>
      <c r="Y56" s="32"/>
      <c r="Z56" s="32"/>
      <c r="AA56" s="3"/>
      <c r="AB56" s="49"/>
      <c r="AC56" s="49"/>
      <c r="AD56" s="49"/>
      <c r="AE56" s="49"/>
      <c r="AF56" s="49"/>
      <c r="AG56" s="49"/>
      <c r="AH56" s="50"/>
    </row>
    <row r="57" spans="2:36" x14ac:dyDescent="0.2">
      <c r="B57" s="5"/>
      <c r="C57" s="239" t="s">
        <v>3773</v>
      </c>
      <c r="D57" s="239"/>
      <c r="E57" s="239"/>
      <c r="F57" s="3" t="s">
        <v>0</v>
      </c>
      <c r="G57" s="240">
        <f>VLOOKUP($B49,'Base de datos'!$A$1:$AI$6616,12,FALSE)</f>
        <v>45849</v>
      </c>
      <c r="H57" s="240"/>
      <c r="I57" s="240"/>
      <c r="J57" s="12"/>
      <c r="K57" s="12"/>
      <c r="L57" s="12"/>
      <c r="M57" s="12"/>
      <c r="N57" s="11"/>
      <c r="O57" s="11"/>
      <c r="P57" s="11"/>
      <c r="Q57" s="4"/>
      <c r="R57" s="1"/>
      <c r="S57" s="21"/>
      <c r="T57" s="22"/>
      <c r="U57" s="22"/>
      <c r="V57" s="22"/>
      <c r="W57" s="22"/>
      <c r="X57" s="22"/>
      <c r="Y57" s="22"/>
      <c r="Z57" s="22"/>
      <c r="AA57" s="22"/>
      <c r="AB57" s="241"/>
      <c r="AC57" s="241"/>
      <c r="AD57" s="241"/>
      <c r="AE57" s="241"/>
      <c r="AF57" s="241"/>
      <c r="AG57" s="241"/>
      <c r="AH57" s="242"/>
    </row>
    <row r="58" spans="2:36" x14ac:dyDescent="0.2">
      <c r="B58" s="5"/>
      <c r="C58" s="239" t="s">
        <v>3774</v>
      </c>
      <c r="D58" s="239"/>
      <c r="E58" s="239"/>
      <c r="F58" s="3" t="s">
        <v>0</v>
      </c>
      <c r="G58" s="240">
        <f>VLOOKUP($B49,'Base de datos'!$A$1:$AI$6616,13,FALSE)</f>
        <v>47675</v>
      </c>
      <c r="H58" s="240" t="e">
        <f>VLOOKUP(#REF!,'Base de datos'!#REF!,4,FALSE)</f>
        <v>#REF!</v>
      </c>
      <c r="I58" s="240" t="e">
        <f>VLOOKUP(#REF!,'Base de datos'!#REF!,4,FALSE)</f>
        <v>#REF!</v>
      </c>
      <c r="J58" s="10"/>
      <c r="K58" s="13"/>
      <c r="L58" s="47"/>
      <c r="M58" s="47"/>
      <c r="N58" s="47"/>
      <c r="O58" s="47"/>
      <c r="P58" s="47"/>
      <c r="Q58" s="48"/>
      <c r="R58" s="1"/>
      <c r="S58" s="243" t="str">
        <f>VLOOKUP($B49,'Base de datos'!$A$1:$AI$6525,17,FALSE)</f>
        <v>MANEJO DEFENSIVO - INDUCCIÓN DE SSMA</v>
      </c>
      <c r="T58" s="244"/>
      <c r="U58" s="244"/>
      <c r="V58" s="244"/>
      <c r="W58" s="244"/>
      <c r="X58" s="244"/>
      <c r="Y58" s="244"/>
      <c r="Z58" s="244"/>
      <c r="AA58" s="244"/>
      <c r="AB58" s="244"/>
      <c r="AC58" s="244"/>
      <c r="AD58" s="244"/>
      <c r="AE58" s="244"/>
      <c r="AF58" s="244"/>
      <c r="AG58" s="244"/>
      <c r="AH58" s="245"/>
    </row>
    <row r="59" spans="2:36" x14ac:dyDescent="0.2">
      <c r="B59" s="5"/>
      <c r="C59" s="252" t="s">
        <v>2026</v>
      </c>
      <c r="D59" s="252"/>
      <c r="E59" s="252"/>
      <c r="F59" s="3" t="s">
        <v>0</v>
      </c>
      <c r="G59" s="253">
        <f ca="1">TODAY()</f>
        <v>46187</v>
      </c>
      <c r="H59" s="253"/>
      <c r="I59" s="253"/>
      <c r="J59" s="253"/>
      <c r="K59" s="254" t="str">
        <f>VLOOKUP($B49,'Base de datos'!$A$1:$AI$6616,18,FALSE)</f>
        <v>SIN RESTRICCIONES</v>
      </c>
      <c r="L59" s="254"/>
      <c r="M59" s="254"/>
      <c r="N59" s="254"/>
      <c r="O59" s="254"/>
      <c r="P59" s="254"/>
      <c r="Q59" s="255"/>
      <c r="R59" s="1"/>
      <c r="S59" s="246"/>
      <c r="T59" s="247"/>
      <c r="U59" s="247"/>
      <c r="V59" s="247"/>
      <c r="W59" s="247"/>
      <c r="X59" s="247"/>
      <c r="Y59" s="247"/>
      <c r="Z59" s="247"/>
      <c r="AA59" s="247"/>
      <c r="AB59" s="247"/>
      <c r="AC59" s="247"/>
      <c r="AD59" s="247"/>
      <c r="AE59" s="247"/>
      <c r="AF59" s="247"/>
      <c r="AG59" s="247"/>
      <c r="AH59" s="248"/>
    </row>
    <row r="60" spans="2:36" ht="19.5" customHeight="1" thickBot="1" x14ac:dyDescent="0.25">
      <c r="B60" s="256" t="s">
        <v>2784</v>
      </c>
      <c r="C60" s="257"/>
      <c r="D60" s="257"/>
      <c r="E60" s="257"/>
      <c r="F60" s="257"/>
      <c r="G60" s="257"/>
      <c r="H60" s="257"/>
      <c r="I60" s="257"/>
      <c r="J60" s="257"/>
      <c r="K60" s="257"/>
      <c r="L60" s="257"/>
      <c r="M60" s="257"/>
      <c r="N60" s="257"/>
      <c r="O60" s="257"/>
      <c r="P60" s="257"/>
      <c r="Q60" s="258"/>
      <c r="R60" s="1"/>
      <c r="S60" s="249"/>
      <c r="T60" s="250"/>
      <c r="U60" s="250"/>
      <c r="V60" s="250"/>
      <c r="W60" s="250"/>
      <c r="X60" s="250"/>
      <c r="Y60" s="250"/>
      <c r="Z60" s="250"/>
      <c r="AA60" s="250"/>
      <c r="AB60" s="250"/>
      <c r="AC60" s="250"/>
      <c r="AD60" s="250"/>
      <c r="AE60" s="250"/>
      <c r="AF60" s="250"/>
      <c r="AG60" s="250"/>
      <c r="AH60" s="251"/>
    </row>
    <row r="61" spans="2:36" ht="13.5" customHeight="1" thickTop="1" thickBot="1" x14ac:dyDescent="0.25"/>
    <row r="62" spans="2:36" ht="14.25" thickTop="1" thickBot="1" x14ac:dyDescent="0.25">
      <c r="B62" s="23"/>
      <c r="C62" s="24"/>
      <c r="D62" s="24"/>
      <c r="E62" s="24"/>
      <c r="F62" s="24"/>
      <c r="G62" s="259" t="s">
        <v>2783</v>
      </c>
      <c r="H62" s="259"/>
      <c r="I62" s="259"/>
      <c r="J62" s="259"/>
      <c r="K62" s="259"/>
      <c r="L62" s="259"/>
      <c r="M62" s="259"/>
      <c r="N62" s="259"/>
      <c r="O62" s="259"/>
      <c r="P62" s="259"/>
      <c r="Q62" s="260"/>
      <c r="R62" s="1"/>
      <c r="S62" s="263" t="str">
        <f>VLOOKUP($B64,'Base de datos'!$A$1:$AI$6616,16,FALSE)</f>
        <v xml:space="preserve"> MIXER -  CAMIONETA</v>
      </c>
      <c r="T62" s="264"/>
      <c r="U62" s="264"/>
      <c r="V62" s="264"/>
      <c r="W62" s="264"/>
      <c r="X62" s="264"/>
      <c r="Y62" s="264"/>
      <c r="Z62" s="264"/>
      <c r="AA62" s="264"/>
      <c r="AB62" s="264"/>
      <c r="AC62" s="264"/>
      <c r="AD62" s="264"/>
      <c r="AE62" s="264"/>
      <c r="AF62" s="264"/>
      <c r="AG62" s="264"/>
      <c r="AH62" s="265"/>
      <c r="AJ62" s="53">
        <v>865</v>
      </c>
    </row>
    <row r="63" spans="2:36" ht="13.5" thickBot="1" x14ac:dyDescent="0.25">
      <c r="B63" s="25"/>
      <c r="C63" s="26"/>
      <c r="D63" s="26"/>
      <c r="E63" s="26"/>
      <c r="F63" s="26"/>
      <c r="G63" s="261"/>
      <c r="H63" s="261"/>
      <c r="I63" s="261"/>
      <c r="J63" s="261"/>
      <c r="K63" s="261"/>
      <c r="L63" s="261"/>
      <c r="M63" s="261"/>
      <c r="N63" s="261"/>
      <c r="O63" s="261"/>
      <c r="P63" s="261"/>
      <c r="Q63" s="262"/>
      <c r="R63" s="1"/>
      <c r="S63" s="266"/>
      <c r="T63" s="267"/>
      <c r="U63" s="267"/>
      <c r="V63" s="267"/>
      <c r="W63" s="267"/>
      <c r="X63" s="267"/>
      <c r="Y63" s="267"/>
      <c r="Z63" s="267"/>
      <c r="AA63" s="267"/>
      <c r="AB63" s="267"/>
      <c r="AC63" s="267"/>
      <c r="AD63" s="267"/>
      <c r="AE63" s="267"/>
      <c r="AF63" s="267"/>
      <c r="AG63" s="267"/>
      <c r="AH63" s="268"/>
    </row>
    <row r="64" spans="2:36" ht="13.5" thickTop="1" x14ac:dyDescent="0.2">
      <c r="B64" s="2">
        <f>+AJ62</f>
        <v>865</v>
      </c>
      <c r="C64" s="269" t="s">
        <v>7</v>
      </c>
      <c r="D64" s="269"/>
      <c r="E64" s="269"/>
      <c r="F64" s="3" t="s">
        <v>0</v>
      </c>
      <c r="G64" s="270" t="str">
        <f>VLOOKUP($B64,'Base de datos'!$A$1:$AI$6616,4,FALSE)</f>
        <v>SUPERMIX865</v>
      </c>
      <c r="H64" s="270"/>
      <c r="I64" s="270"/>
      <c r="J64" s="270"/>
      <c r="K64" s="35"/>
      <c r="L64" s="35"/>
      <c r="M64" s="35"/>
      <c r="N64" s="3"/>
      <c r="O64" s="3"/>
      <c r="P64" s="3"/>
      <c r="Q64" s="4"/>
      <c r="R64" s="1"/>
      <c r="S64" s="14"/>
      <c r="T64" s="15"/>
      <c r="U64" s="15"/>
      <c r="V64" s="15"/>
      <c r="W64" s="15"/>
      <c r="X64" s="16"/>
      <c r="Y64" s="15"/>
      <c r="Z64" s="15"/>
      <c r="AA64" s="29"/>
      <c r="AB64" s="15"/>
      <c r="AC64" s="15"/>
      <c r="AD64" s="15"/>
      <c r="AE64" s="15"/>
      <c r="AF64" s="17"/>
      <c r="AG64" s="16"/>
      <c r="AH64" s="30"/>
    </row>
    <row r="65" spans="2:36" x14ac:dyDescent="0.2">
      <c r="B65" s="28"/>
      <c r="C65" s="239" t="s">
        <v>1</v>
      </c>
      <c r="D65" s="239"/>
      <c r="E65" s="239"/>
      <c r="F65" s="3" t="s">
        <v>0</v>
      </c>
      <c r="G65" s="271" t="str">
        <f>VLOOKUP($B64,'Base de datos'!$A$1:$AI$6616,5,FALSE)</f>
        <v>MACHACA CACERES</v>
      </c>
      <c r="H65" s="271" t="e">
        <f>VLOOKUP(#REF!,'Base de datos'!#REF!,4,FALSE)</f>
        <v>#REF!</v>
      </c>
      <c r="I65" s="271" t="e">
        <f>VLOOKUP(#REF!,'Base de datos'!#REF!,4,FALSE)</f>
        <v>#REF!</v>
      </c>
      <c r="J65" s="271" t="e">
        <f>VLOOKUP(#REF!,'Base de datos'!#REF!,4,FALSE)</f>
        <v>#REF!</v>
      </c>
      <c r="K65" s="271" t="e">
        <f>VLOOKUP(#REF!,'Base de datos'!#REF!,4,FALSE)</f>
        <v>#REF!</v>
      </c>
      <c r="L65" s="271" t="e">
        <f>VLOOKUP(#REF!,'Base de datos'!#REF!,4,FALSE)</f>
        <v>#REF!</v>
      </c>
      <c r="M65" s="271" t="e">
        <f>VLOOKUP(#REF!,'Base de datos'!#REF!,4,FALSE)</f>
        <v>#REF!</v>
      </c>
      <c r="O65" s="3"/>
      <c r="P65" s="1"/>
      <c r="Q65" s="4"/>
      <c r="R65" s="1"/>
      <c r="S65" s="5"/>
      <c r="T65" s="6"/>
      <c r="U65" s="6"/>
      <c r="V65" s="6"/>
      <c r="W65" s="6"/>
      <c r="X65" s="7"/>
      <c r="Y65" s="6"/>
      <c r="Z65" s="6"/>
      <c r="AA65" s="3"/>
      <c r="AB65" s="6"/>
      <c r="AC65" s="6"/>
      <c r="AD65" s="6"/>
      <c r="AE65" s="6"/>
      <c r="AF65" s="8"/>
      <c r="AG65" s="7"/>
      <c r="AH65" s="4"/>
    </row>
    <row r="66" spans="2:36" x14ac:dyDescent="0.2">
      <c r="B66" s="5"/>
      <c r="C66" s="239" t="s">
        <v>2</v>
      </c>
      <c r="D66" s="239"/>
      <c r="E66" s="239"/>
      <c r="F66" s="3" t="s">
        <v>0</v>
      </c>
      <c r="G66" s="272" t="str">
        <f>VLOOKUP($B64,'Base de datos'!$A$1:$AI$6616,6,FALSE)</f>
        <v>GUILLERMO FELIX</v>
      </c>
      <c r="H66" s="272"/>
      <c r="I66" s="272"/>
      <c r="J66" s="272"/>
      <c r="K66" s="272"/>
      <c r="L66" s="46"/>
      <c r="M66" s="273"/>
      <c r="N66" s="274"/>
      <c r="O66" s="274"/>
      <c r="P66" s="275"/>
      <c r="Q66" s="4"/>
      <c r="R66" s="1"/>
      <c r="S66" s="5"/>
      <c r="T66" s="6"/>
      <c r="U66" s="6"/>
      <c r="V66" s="6"/>
      <c r="W66" s="3"/>
      <c r="X66" s="9"/>
      <c r="Y66" s="3"/>
      <c r="Z66" s="3"/>
      <c r="AA66" s="3"/>
      <c r="AB66" s="3"/>
      <c r="AC66" s="3"/>
      <c r="AD66" s="6"/>
      <c r="AE66" s="6"/>
      <c r="AF66" s="8"/>
      <c r="AG66" s="7"/>
      <c r="AH66" s="4"/>
    </row>
    <row r="67" spans="2:36" x14ac:dyDescent="0.2">
      <c r="B67" s="5"/>
      <c r="C67" s="239" t="s">
        <v>3</v>
      </c>
      <c r="D67" s="239"/>
      <c r="E67" s="239"/>
      <c r="F67" s="3" t="s">
        <v>0</v>
      </c>
      <c r="G67" s="282" t="str">
        <f>VLOOKUP($B64,'Base de datos'!$A$1:$AI$6616,7,FALSE)</f>
        <v>A POSITIVO</v>
      </c>
      <c r="H67" s="282"/>
      <c r="I67" s="282"/>
      <c r="J67" s="282"/>
      <c r="K67" s="282"/>
      <c r="L67" s="46"/>
      <c r="M67" s="276"/>
      <c r="N67" s="277"/>
      <c r="O67" s="277"/>
      <c r="P67" s="278"/>
      <c r="Q67" s="1"/>
      <c r="R67" s="18"/>
      <c r="S67" s="5"/>
      <c r="T67" s="19"/>
      <c r="U67" s="20"/>
      <c r="V67" s="20"/>
      <c r="W67" s="20"/>
      <c r="X67" s="7"/>
      <c r="Y67" s="20"/>
      <c r="Z67" s="20"/>
      <c r="AA67" s="3"/>
      <c r="AB67" s="3"/>
      <c r="AC67" s="3"/>
      <c r="AD67" s="6"/>
      <c r="AE67" s="6"/>
      <c r="AF67" s="8"/>
      <c r="AG67" s="7"/>
      <c r="AH67" s="4"/>
    </row>
    <row r="68" spans="2:36" x14ac:dyDescent="0.2">
      <c r="B68" s="283" t="s">
        <v>2908</v>
      </c>
      <c r="C68" s="239"/>
      <c r="D68" s="239"/>
      <c r="E68" s="239"/>
      <c r="F68" s="3" t="s">
        <v>0</v>
      </c>
      <c r="G68" s="284">
        <f>VLOOKUP($B64,'Base de datos'!$A$1:$AI$6616,8,FALSE)</f>
        <v>29412199</v>
      </c>
      <c r="H68" s="284"/>
      <c r="I68" s="284"/>
      <c r="J68" s="284"/>
      <c r="K68" s="284"/>
      <c r="L68" s="46"/>
      <c r="M68" s="276"/>
      <c r="N68" s="277"/>
      <c r="O68" s="277"/>
      <c r="P68" s="278"/>
      <c r="Q68" s="4"/>
      <c r="R68" s="1"/>
      <c r="S68" s="5"/>
      <c r="T68" s="285"/>
      <c r="U68" s="285"/>
      <c r="V68" s="285"/>
      <c r="W68" s="285"/>
      <c r="X68" s="285"/>
      <c r="Y68" s="285"/>
      <c r="Z68" s="285"/>
      <c r="AA68" s="3"/>
      <c r="AB68" s="3"/>
      <c r="AC68" s="3"/>
      <c r="AD68" s="6"/>
      <c r="AE68" s="6"/>
      <c r="AF68" s="8"/>
      <c r="AG68" s="7"/>
      <c r="AH68" s="4"/>
    </row>
    <row r="69" spans="2:36" ht="13.5" thickBot="1" x14ac:dyDescent="0.25">
      <c r="B69" s="5"/>
      <c r="C69" s="239" t="s">
        <v>3775</v>
      </c>
      <c r="D69" s="239"/>
      <c r="E69" s="239"/>
      <c r="F69" s="3" t="s">
        <v>0</v>
      </c>
      <c r="G69" s="286" t="str">
        <f>VLOOKUP($B64,'Base de datos'!$A$1:$AI$6616,10,FALSE)</f>
        <v>H29412199</v>
      </c>
      <c r="H69" s="286"/>
      <c r="I69" s="286"/>
      <c r="J69" s="286"/>
      <c r="K69" s="286"/>
      <c r="L69" s="46"/>
      <c r="M69" s="276"/>
      <c r="N69" s="277"/>
      <c r="O69" s="277"/>
      <c r="P69" s="278"/>
      <c r="Q69" s="4"/>
      <c r="R69" s="1"/>
      <c r="S69" s="5"/>
      <c r="T69" s="33"/>
      <c r="U69" s="33"/>
      <c r="V69" s="33"/>
      <c r="W69" s="51"/>
      <c r="X69" s="51"/>
      <c r="Y69" s="51"/>
      <c r="Z69" s="51"/>
      <c r="AA69" s="51"/>
      <c r="AB69" s="51"/>
      <c r="AC69" s="51"/>
      <c r="AD69" s="51"/>
      <c r="AE69" s="33"/>
      <c r="AF69" s="33"/>
      <c r="AG69" s="33"/>
      <c r="AH69" s="34"/>
    </row>
    <row r="70" spans="2:36" x14ac:dyDescent="0.2">
      <c r="B70" s="5"/>
      <c r="C70" s="239" t="s">
        <v>5</v>
      </c>
      <c r="D70" s="239"/>
      <c r="E70" s="239"/>
      <c r="F70" s="3" t="s">
        <v>0</v>
      </c>
      <c r="G70" s="287" t="str">
        <f>VLOOKUP($B64,'Base de datos'!$A$1:$AI$6616,11,FALSE)</f>
        <v>A3C PROFESIONAL</v>
      </c>
      <c r="H70" s="287"/>
      <c r="I70" s="287"/>
      <c r="J70" s="287"/>
      <c r="K70" s="287"/>
      <c r="L70" s="46"/>
      <c r="M70" s="276"/>
      <c r="N70" s="277"/>
      <c r="O70" s="277"/>
      <c r="P70" s="278"/>
      <c r="Q70" s="4"/>
      <c r="R70" s="1"/>
      <c r="S70" s="5"/>
      <c r="T70" s="52"/>
      <c r="U70" s="52"/>
      <c r="V70" s="52"/>
      <c r="W70" s="288" t="s">
        <v>302</v>
      </c>
      <c r="X70" s="288"/>
      <c r="Y70" s="288"/>
      <c r="Z70" s="288"/>
      <c r="AA70" s="288"/>
      <c r="AB70" s="288"/>
      <c r="AC70" s="288"/>
      <c r="AD70" s="288"/>
      <c r="AE70" s="49"/>
      <c r="AF70" s="49"/>
      <c r="AG70" s="49"/>
      <c r="AH70" s="50"/>
    </row>
    <row r="71" spans="2:36" x14ac:dyDescent="0.2">
      <c r="B71" s="5"/>
      <c r="C71" s="73" t="s">
        <v>2782</v>
      </c>
      <c r="D71" s="73"/>
      <c r="E71" s="73"/>
      <c r="F71" s="3" t="s">
        <v>0</v>
      </c>
      <c r="G71" s="27" t="str">
        <f>VLOOKUP($B64,'Base de datos'!$A$1:$AI$6616,24,FALSE)</f>
        <v>OPERADOR DE MIXER</v>
      </c>
      <c r="H71" s="12"/>
      <c r="I71" s="12"/>
      <c r="J71" s="12"/>
      <c r="K71" s="12"/>
      <c r="L71" s="12"/>
      <c r="M71" s="279"/>
      <c r="N71" s="280"/>
      <c r="O71" s="280"/>
      <c r="P71" s="281"/>
      <c r="Q71" s="4"/>
      <c r="R71" s="1"/>
      <c r="S71" s="5"/>
      <c r="T71" s="74"/>
      <c r="U71" s="74"/>
      <c r="V71" s="74"/>
      <c r="W71" s="74"/>
      <c r="X71" s="74"/>
      <c r="Y71" s="74"/>
      <c r="Z71" s="74"/>
      <c r="AA71" s="3"/>
      <c r="AB71" s="49"/>
      <c r="AC71" s="49"/>
      <c r="AD71" s="49"/>
      <c r="AE71" s="49"/>
      <c r="AF71" s="49"/>
      <c r="AG71" s="49"/>
      <c r="AH71" s="50"/>
    </row>
    <row r="72" spans="2:36" x14ac:dyDescent="0.2">
      <c r="B72" s="5"/>
      <c r="C72" s="239" t="s">
        <v>3773</v>
      </c>
      <c r="D72" s="239"/>
      <c r="E72" s="239"/>
      <c r="F72" s="3" t="s">
        <v>0</v>
      </c>
      <c r="G72" s="240">
        <f>VLOOKUP($B64,'Base de datos'!$A$1:$AI$6616,12,FALSE)</f>
        <v>36682</v>
      </c>
      <c r="H72" s="240" t="e">
        <f>VLOOKUP(#REF!,'Base de datos'!#REF!,4,FALSE)</f>
        <v>#REF!</v>
      </c>
      <c r="I72" s="240" t="e">
        <f>VLOOKUP(#REF!,'Base de datos'!#REF!,4,FALSE)</f>
        <v>#REF!</v>
      </c>
      <c r="J72" s="12"/>
      <c r="K72" s="12"/>
      <c r="L72" s="12"/>
      <c r="M72" s="12"/>
      <c r="N72" s="11"/>
      <c r="O72" s="11"/>
      <c r="P72" s="11"/>
      <c r="Q72" s="4"/>
      <c r="R72" s="1"/>
      <c r="S72" s="21"/>
      <c r="T72" s="22"/>
      <c r="U72" s="22"/>
      <c r="V72" s="22"/>
      <c r="W72" s="22"/>
      <c r="X72" s="22"/>
      <c r="Y72" s="22"/>
      <c r="Z72" s="22"/>
      <c r="AA72" s="22"/>
      <c r="AB72" s="241"/>
      <c r="AC72" s="241"/>
      <c r="AD72" s="241"/>
      <c r="AE72" s="241"/>
      <c r="AF72" s="241"/>
      <c r="AG72" s="241"/>
      <c r="AH72" s="242"/>
    </row>
    <row r="73" spans="2:36" x14ac:dyDescent="0.2">
      <c r="B73" s="5"/>
      <c r="C73" s="239" t="s">
        <v>3774</v>
      </c>
      <c r="D73" s="239"/>
      <c r="E73" s="239"/>
      <c r="F73" s="3" t="s">
        <v>0</v>
      </c>
      <c r="G73" s="240">
        <f>VLOOKUP($B64,'Base de datos'!$A$1:$AI$6616,13,FALSE)</f>
        <v>47924</v>
      </c>
      <c r="H73" s="240" t="e">
        <f>VLOOKUP(#REF!,'Base de datos'!#REF!,4,FALSE)</f>
        <v>#REF!</v>
      </c>
      <c r="I73" s="240" t="e">
        <f>VLOOKUP(#REF!,'Base de datos'!#REF!,4,FALSE)</f>
        <v>#REF!</v>
      </c>
      <c r="J73" s="10"/>
      <c r="K73" s="13"/>
      <c r="L73" s="47"/>
      <c r="M73" s="47"/>
      <c r="N73" s="47"/>
      <c r="O73" s="47"/>
      <c r="P73" s="47"/>
      <c r="Q73" s="48"/>
      <c r="R73" s="1"/>
      <c r="S73" s="243" t="str">
        <f>VLOOKUP($B64,'Base de datos'!$A$1:$AI$6525,17,FALSE)</f>
        <v>MANEJO DEFENSIVO - INDUCCIÓN DE SSMA</v>
      </c>
      <c r="T73" s="244"/>
      <c r="U73" s="244"/>
      <c r="V73" s="244"/>
      <c r="W73" s="244"/>
      <c r="X73" s="244"/>
      <c r="Y73" s="244"/>
      <c r="Z73" s="244"/>
      <c r="AA73" s="244"/>
      <c r="AB73" s="244"/>
      <c r="AC73" s="244"/>
      <c r="AD73" s="244"/>
      <c r="AE73" s="244"/>
      <c r="AF73" s="244"/>
      <c r="AG73" s="244"/>
      <c r="AH73" s="245"/>
    </row>
    <row r="74" spans="2:36" x14ac:dyDescent="0.2">
      <c r="B74" s="5"/>
      <c r="C74" s="252" t="s">
        <v>2026</v>
      </c>
      <c r="D74" s="252"/>
      <c r="E74" s="252"/>
      <c r="F74" s="3" t="s">
        <v>0</v>
      </c>
      <c r="G74" s="253">
        <f ca="1">TODAY()</f>
        <v>46187</v>
      </c>
      <c r="H74" s="253"/>
      <c r="I74" s="253"/>
      <c r="J74" s="253"/>
      <c r="K74" s="254" t="str">
        <f>VLOOKUP($B64,'Base de datos'!$A$1:$AI$6616,18,FALSE)</f>
        <v>CON LENTES</v>
      </c>
      <c r="L74" s="254"/>
      <c r="M74" s="254"/>
      <c r="N74" s="254"/>
      <c r="O74" s="254"/>
      <c r="P74" s="254"/>
      <c r="Q74" s="255"/>
      <c r="R74" s="1"/>
      <c r="S74" s="246"/>
      <c r="T74" s="247"/>
      <c r="U74" s="247"/>
      <c r="V74" s="247"/>
      <c r="W74" s="247"/>
      <c r="X74" s="247"/>
      <c r="Y74" s="247"/>
      <c r="Z74" s="247"/>
      <c r="AA74" s="247"/>
      <c r="AB74" s="247"/>
      <c r="AC74" s="247"/>
      <c r="AD74" s="247"/>
      <c r="AE74" s="247"/>
      <c r="AF74" s="247"/>
      <c r="AG74" s="247"/>
      <c r="AH74" s="248"/>
    </row>
    <row r="75" spans="2:36" ht="19.5" customHeight="1" thickBot="1" x14ac:dyDescent="0.25">
      <c r="B75" s="256" t="s">
        <v>2784</v>
      </c>
      <c r="C75" s="257"/>
      <c r="D75" s="257"/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58"/>
      <c r="R75" s="1"/>
      <c r="S75" s="249"/>
      <c r="T75" s="250"/>
      <c r="U75" s="250"/>
      <c r="V75" s="250"/>
      <c r="W75" s="250"/>
      <c r="X75" s="250"/>
      <c r="Y75" s="250"/>
      <c r="Z75" s="250"/>
      <c r="AA75" s="250"/>
      <c r="AB75" s="250"/>
      <c r="AC75" s="250"/>
      <c r="AD75" s="250"/>
      <c r="AE75" s="250"/>
      <c r="AF75" s="250"/>
      <c r="AG75" s="250"/>
      <c r="AH75" s="251"/>
    </row>
    <row r="76" spans="2:36" ht="18" customHeight="1" thickTop="1" thickBot="1" x14ac:dyDescent="0.25"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1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</row>
    <row r="77" spans="2:36" ht="13.5" customHeight="1" thickTop="1" thickBot="1" x14ac:dyDescent="0.25">
      <c r="B77" s="23"/>
      <c r="C77" s="24"/>
      <c r="D77" s="24"/>
      <c r="E77" s="24"/>
      <c r="F77" s="24"/>
      <c r="G77" s="259" t="s">
        <v>2783</v>
      </c>
      <c r="H77" s="259"/>
      <c r="I77" s="259"/>
      <c r="J77" s="259"/>
      <c r="K77" s="259"/>
      <c r="L77" s="259"/>
      <c r="M77" s="259"/>
      <c r="N77" s="259"/>
      <c r="O77" s="259"/>
      <c r="P77" s="259"/>
      <c r="Q77" s="260"/>
      <c r="R77" s="1"/>
      <c r="S77" s="263" t="str">
        <f>VLOOKUP($B79,'Base de datos'!$A$1:$AI$6616,16,FALSE)</f>
        <v>VOLQUETE</v>
      </c>
      <c r="T77" s="264"/>
      <c r="U77" s="264"/>
      <c r="V77" s="264"/>
      <c r="W77" s="264"/>
      <c r="X77" s="264"/>
      <c r="Y77" s="264"/>
      <c r="Z77" s="264"/>
      <c r="AA77" s="264"/>
      <c r="AB77" s="264"/>
      <c r="AC77" s="264"/>
      <c r="AD77" s="264"/>
      <c r="AE77" s="264"/>
      <c r="AF77" s="264"/>
      <c r="AG77" s="264"/>
      <c r="AH77" s="265"/>
      <c r="AJ77" s="53">
        <v>1264</v>
      </c>
    </row>
    <row r="78" spans="2:36" ht="13.5" thickBot="1" x14ac:dyDescent="0.25">
      <c r="B78" s="25"/>
      <c r="C78" s="26"/>
      <c r="D78" s="26"/>
      <c r="E78" s="26"/>
      <c r="F78" s="26"/>
      <c r="G78" s="261"/>
      <c r="H78" s="261"/>
      <c r="I78" s="261"/>
      <c r="J78" s="261"/>
      <c r="K78" s="261"/>
      <c r="L78" s="261"/>
      <c r="M78" s="261"/>
      <c r="N78" s="261"/>
      <c r="O78" s="261"/>
      <c r="P78" s="261"/>
      <c r="Q78" s="262"/>
      <c r="R78" s="1"/>
      <c r="S78" s="266"/>
      <c r="T78" s="267"/>
      <c r="U78" s="267"/>
      <c r="V78" s="267"/>
      <c r="W78" s="267"/>
      <c r="X78" s="267"/>
      <c r="Y78" s="267"/>
      <c r="Z78" s="267"/>
      <c r="AA78" s="267"/>
      <c r="AB78" s="267"/>
      <c r="AC78" s="267"/>
      <c r="AD78" s="267"/>
      <c r="AE78" s="267"/>
      <c r="AF78" s="267"/>
      <c r="AG78" s="267"/>
      <c r="AH78" s="268"/>
    </row>
    <row r="79" spans="2:36" ht="13.5" thickTop="1" x14ac:dyDescent="0.2">
      <c r="B79" s="2">
        <f>AJ77</f>
        <v>1264</v>
      </c>
      <c r="C79" s="269" t="s">
        <v>7</v>
      </c>
      <c r="D79" s="269"/>
      <c r="E79" s="269"/>
      <c r="F79" s="3" t="s">
        <v>0</v>
      </c>
      <c r="G79" s="270" t="str">
        <f>VLOOKUP($B79,'Base de datos'!$A$1:$AI$6616,4,FALSE)</f>
        <v>SUPERMIX1264</v>
      </c>
      <c r="H79" s="270"/>
      <c r="I79" s="270"/>
      <c r="J79" s="270"/>
      <c r="K79" s="35"/>
      <c r="L79" s="35"/>
      <c r="M79" s="35"/>
      <c r="N79" s="3"/>
      <c r="O79" s="3"/>
      <c r="P79" s="3"/>
      <c r="Q79" s="4"/>
      <c r="R79" s="1"/>
      <c r="S79" s="14"/>
      <c r="T79" s="15"/>
      <c r="U79" s="15"/>
      <c r="V79" s="15"/>
      <c r="W79" s="15"/>
      <c r="X79" s="16"/>
      <c r="Y79" s="15"/>
      <c r="Z79" s="15"/>
      <c r="AA79" s="29"/>
      <c r="AB79" s="15"/>
      <c r="AC79" s="15"/>
      <c r="AD79" s="15"/>
      <c r="AE79" s="15"/>
      <c r="AF79" s="17"/>
      <c r="AG79" s="16"/>
      <c r="AH79" s="30"/>
    </row>
    <row r="80" spans="2:36" x14ac:dyDescent="0.2">
      <c r="B80" s="28"/>
      <c r="C80" s="239" t="s">
        <v>1</v>
      </c>
      <c r="D80" s="239"/>
      <c r="E80" s="239"/>
      <c r="F80" s="3" t="s">
        <v>0</v>
      </c>
      <c r="G80" s="76" t="str">
        <f>VLOOKUP($B79,'Base de datos'!$A$1:$AI$6616,5,FALSE)</f>
        <v>TEJADA MALAGA</v>
      </c>
      <c r="H80" s="76"/>
      <c r="I80" s="76"/>
      <c r="J80" s="76"/>
      <c r="K80" s="76"/>
      <c r="L80" s="76"/>
      <c r="M80" s="76"/>
      <c r="O80" s="3"/>
      <c r="P80" s="1"/>
      <c r="Q80" s="4"/>
      <c r="R80" s="1"/>
      <c r="S80" s="5"/>
      <c r="T80" s="6"/>
      <c r="U80" s="6"/>
      <c r="V80" s="6"/>
      <c r="W80" s="6"/>
      <c r="X80" s="7"/>
      <c r="Y80" s="6"/>
      <c r="Z80" s="6"/>
      <c r="AA80" s="3"/>
      <c r="AB80" s="6"/>
      <c r="AC80" s="6"/>
      <c r="AD80" s="6"/>
      <c r="AE80" s="6"/>
      <c r="AF80" s="8"/>
      <c r="AG80" s="7"/>
      <c r="AH80" s="4"/>
    </row>
    <row r="81" spans="2:34" x14ac:dyDescent="0.2">
      <c r="B81" s="5"/>
      <c r="C81" s="239" t="s">
        <v>2</v>
      </c>
      <c r="D81" s="239"/>
      <c r="E81" s="239"/>
      <c r="F81" s="3" t="s">
        <v>0</v>
      </c>
      <c r="G81" s="272" t="str">
        <f>VLOOKUP($B79,'Base de datos'!$A$1:$AI$6616,6,FALSE)</f>
        <v>EDWIN JOHN</v>
      </c>
      <c r="H81" s="272"/>
      <c r="I81" s="272"/>
      <c r="J81" s="272"/>
      <c r="K81" s="272"/>
      <c r="L81" s="46"/>
      <c r="M81" s="273"/>
      <c r="N81" s="274"/>
      <c r="O81" s="274"/>
      <c r="P81" s="275"/>
      <c r="Q81" s="4"/>
      <c r="R81" s="1"/>
      <c r="S81" s="5"/>
      <c r="T81" s="6"/>
      <c r="U81" s="6"/>
      <c r="V81" s="6"/>
      <c r="W81" s="3"/>
      <c r="X81" s="9"/>
      <c r="Y81" s="3"/>
      <c r="Z81" s="3"/>
      <c r="AA81" s="3"/>
      <c r="AB81" s="3"/>
      <c r="AC81" s="3"/>
      <c r="AD81" s="6"/>
      <c r="AE81" s="6"/>
      <c r="AF81" s="8"/>
      <c r="AG81" s="7"/>
      <c r="AH81" s="4"/>
    </row>
    <row r="82" spans="2:34" x14ac:dyDescent="0.2">
      <c r="B82" s="5"/>
      <c r="C82" s="239" t="s">
        <v>3</v>
      </c>
      <c r="D82" s="239"/>
      <c r="E82" s="239"/>
      <c r="F82" s="3" t="s">
        <v>0</v>
      </c>
      <c r="G82" s="282" t="str">
        <f>VLOOKUP($B79,'Base de datos'!$A$1:$AI$6616,7,FALSE)</f>
        <v>B POSITIVO</v>
      </c>
      <c r="H82" s="282"/>
      <c r="I82" s="282"/>
      <c r="J82" s="282"/>
      <c r="K82" s="282"/>
      <c r="L82" s="46"/>
      <c r="M82" s="276"/>
      <c r="N82" s="277"/>
      <c r="O82" s="277"/>
      <c r="P82" s="278"/>
      <c r="Q82" s="1"/>
      <c r="R82" s="18"/>
      <c r="S82" s="5"/>
      <c r="T82" s="19"/>
      <c r="U82" s="20"/>
      <c r="V82" s="20"/>
      <c r="W82" s="20"/>
      <c r="X82" s="7"/>
      <c r="Y82" s="20"/>
      <c r="Z82" s="20"/>
      <c r="AA82" s="3"/>
      <c r="AB82" s="3"/>
      <c r="AC82" s="3"/>
      <c r="AD82" s="6"/>
      <c r="AE82" s="6"/>
      <c r="AF82" s="8"/>
      <c r="AG82" s="7"/>
      <c r="AH82" s="4"/>
    </row>
    <row r="83" spans="2:34" x14ac:dyDescent="0.2">
      <c r="B83" s="283" t="s">
        <v>2908</v>
      </c>
      <c r="C83" s="239"/>
      <c r="D83" s="239"/>
      <c r="E83" s="239"/>
      <c r="F83" s="3" t="s">
        <v>0</v>
      </c>
      <c r="G83" s="284">
        <f>VLOOKUP($B79,'Base de datos'!$A$1:$AI$6616,8,FALSE)</f>
        <v>44071456</v>
      </c>
      <c r="H83" s="284"/>
      <c r="I83" s="284"/>
      <c r="J83" s="284"/>
      <c r="K83" s="284"/>
      <c r="L83" s="46"/>
      <c r="M83" s="276"/>
      <c r="N83" s="277"/>
      <c r="O83" s="277"/>
      <c r="P83" s="278"/>
      <c r="Q83" s="4"/>
      <c r="R83" s="1"/>
      <c r="S83" s="5"/>
      <c r="T83" s="285"/>
      <c r="U83" s="285"/>
      <c r="V83" s="285"/>
      <c r="W83" s="285"/>
      <c r="X83" s="285"/>
      <c r="Y83" s="285"/>
      <c r="Z83" s="285"/>
      <c r="AA83" s="3"/>
      <c r="AB83" s="3"/>
      <c r="AC83" s="3"/>
      <c r="AD83" s="6"/>
      <c r="AE83" s="6"/>
      <c r="AF83" s="8"/>
      <c r="AG83" s="7"/>
      <c r="AH83" s="4"/>
    </row>
    <row r="84" spans="2:34" ht="13.5" thickBot="1" x14ac:dyDescent="0.25">
      <c r="B84" s="5"/>
      <c r="C84" s="239" t="s">
        <v>3775</v>
      </c>
      <c r="D84" s="239"/>
      <c r="E84" s="239"/>
      <c r="F84" s="3" t="s">
        <v>0</v>
      </c>
      <c r="G84" s="286" t="str">
        <f>VLOOKUP($B79,'Base de datos'!$A$1:$AI$6616,10,FALSE)</f>
        <v>H44071456</v>
      </c>
      <c r="H84" s="286"/>
      <c r="I84" s="286"/>
      <c r="J84" s="286"/>
      <c r="K84" s="286"/>
      <c r="L84" s="46"/>
      <c r="M84" s="276"/>
      <c r="N84" s="277"/>
      <c r="O84" s="277"/>
      <c r="P84" s="278"/>
      <c r="Q84" s="4"/>
      <c r="R84" s="1"/>
      <c r="S84" s="5"/>
      <c r="T84" s="33"/>
      <c r="U84" s="33"/>
      <c r="V84" s="33"/>
      <c r="W84" s="51"/>
      <c r="X84" s="51"/>
      <c r="Y84" s="51"/>
      <c r="Z84" s="51"/>
      <c r="AA84" s="51"/>
      <c r="AB84" s="51"/>
      <c r="AC84" s="51"/>
      <c r="AD84" s="51"/>
      <c r="AE84" s="33"/>
      <c r="AF84" s="33"/>
      <c r="AG84" s="33"/>
      <c r="AH84" s="34"/>
    </row>
    <row r="85" spans="2:34" x14ac:dyDescent="0.2">
      <c r="B85" s="5"/>
      <c r="C85" s="239" t="s">
        <v>5</v>
      </c>
      <c r="D85" s="239"/>
      <c r="E85" s="239"/>
      <c r="F85" s="3" t="s">
        <v>0</v>
      </c>
      <c r="G85" s="287" t="str">
        <f>VLOOKUP($B79,'Base de datos'!$A$1:$AI$6616,11,FALSE)</f>
        <v>A 3C</v>
      </c>
      <c r="H85" s="287"/>
      <c r="I85" s="287"/>
      <c r="J85" s="287"/>
      <c r="K85" s="287"/>
      <c r="L85" s="46"/>
      <c r="M85" s="276"/>
      <c r="N85" s="277"/>
      <c r="O85" s="277"/>
      <c r="P85" s="278"/>
      <c r="Q85" s="4"/>
      <c r="R85" s="1"/>
      <c r="S85" s="5"/>
      <c r="T85" s="52"/>
      <c r="U85" s="52"/>
      <c r="V85" s="52"/>
      <c r="W85" s="288" t="s">
        <v>302</v>
      </c>
      <c r="X85" s="288"/>
      <c r="Y85" s="288"/>
      <c r="Z85" s="288"/>
      <c r="AA85" s="288"/>
      <c r="AB85" s="288"/>
      <c r="AC85" s="288"/>
      <c r="AD85" s="288"/>
      <c r="AE85" s="49"/>
      <c r="AF85" s="49"/>
      <c r="AG85" s="49"/>
      <c r="AH85" s="50"/>
    </row>
    <row r="86" spans="2:34" x14ac:dyDescent="0.2">
      <c r="B86" s="5"/>
      <c r="C86" s="75" t="s">
        <v>2782</v>
      </c>
      <c r="D86" s="75"/>
      <c r="E86" s="75"/>
      <c r="F86" s="3" t="s">
        <v>0</v>
      </c>
      <c r="G86" s="27" t="str">
        <f>VLOOKUP($B79,'Base de datos'!$A$1:$AI$6616,24,FALSE)</f>
        <v>OPERADOR DE VOLQUETE</v>
      </c>
      <c r="H86" s="12"/>
      <c r="I86" s="12"/>
      <c r="J86" s="12"/>
      <c r="K86" s="12"/>
      <c r="L86" s="12"/>
      <c r="M86" s="279"/>
      <c r="N86" s="280"/>
      <c r="O86" s="280"/>
      <c r="P86" s="281"/>
      <c r="Q86" s="4"/>
      <c r="R86" s="1"/>
      <c r="S86" s="5"/>
      <c r="T86" s="77"/>
      <c r="U86" s="77"/>
      <c r="V86" s="77"/>
      <c r="W86" s="77"/>
      <c r="X86" s="77"/>
      <c r="Y86" s="77"/>
      <c r="Z86" s="77"/>
      <c r="AA86" s="3"/>
      <c r="AB86" s="49"/>
      <c r="AC86" s="49"/>
      <c r="AD86" s="49"/>
      <c r="AE86" s="49"/>
      <c r="AF86" s="49"/>
      <c r="AG86" s="49"/>
      <c r="AH86" s="50"/>
    </row>
    <row r="87" spans="2:34" x14ac:dyDescent="0.2">
      <c r="B87" s="5"/>
      <c r="C87" s="239" t="s">
        <v>3773</v>
      </c>
      <c r="D87" s="239"/>
      <c r="E87" s="239"/>
      <c r="F87" s="3" t="s">
        <v>0</v>
      </c>
      <c r="G87" s="240">
        <f>VLOOKUP($B79,'Base de datos'!$A$1:$AI$6616,12,FALSE)</f>
        <v>41858</v>
      </c>
      <c r="H87" s="240" t="e">
        <f>VLOOKUP(#REF!,'Base de datos'!#REF!,4,FALSE)</f>
        <v>#REF!</v>
      </c>
      <c r="I87" s="240" t="e">
        <f>VLOOKUP(#REF!,'Base de datos'!#REF!,4,FALSE)</f>
        <v>#REF!</v>
      </c>
      <c r="J87" s="12"/>
      <c r="K87" s="12"/>
      <c r="L87" s="12"/>
      <c r="M87" s="12"/>
      <c r="N87" s="11"/>
      <c r="O87" s="11"/>
      <c r="P87" s="11"/>
      <c r="Q87" s="4"/>
      <c r="R87" s="1"/>
      <c r="S87" s="21"/>
      <c r="T87" s="22"/>
      <c r="U87" s="22"/>
      <c r="V87" s="22"/>
      <c r="W87" s="22"/>
      <c r="X87" s="22"/>
      <c r="Y87" s="22"/>
      <c r="Z87" s="22"/>
      <c r="AA87" s="22"/>
      <c r="AB87" s="241"/>
      <c r="AC87" s="241"/>
      <c r="AD87" s="241"/>
      <c r="AE87" s="241"/>
      <c r="AF87" s="241"/>
      <c r="AG87" s="241"/>
      <c r="AH87" s="242"/>
    </row>
    <row r="88" spans="2:34" ht="12.75" customHeight="1" x14ac:dyDescent="0.2">
      <c r="B88" s="5"/>
      <c r="C88" s="239" t="s">
        <v>3774</v>
      </c>
      <c r="D88" s="239"/>
      <c r="E88" s="239"/>
      <c r="F88" s="3" t="s">
        <v>0</v>
      </c>
      <c r="G88" s="240">
        <f>VLOOKUP($B79,'Base de datos'!$A$1:$AI$6616,13,FALSE)</f>
        <v>46757</v>
      </c>
      <c r="H88" s="240" t="e">
        <f>VLOOKUP(#REF!,'Base de datos'!#REF!,4,FALSE)</f>
        <v>#REF!</v>
      </c>
      <c r="I88" s="240" t="e">
        <f>VLOOKUP(#REF!,'Base de datos'!#REF!,4,FALSE)</f>
        <v>#REF!</v>
      </c>
      <c r="J88" s="10"/>
      <c r="K88" s="13"/>
      <c r="L88" s="47"/>
      <c r="M88" s="47"/>
      <c r="N88" s="47"/>
      <c r="O88" s="47"/>
      <c r="P88" s="47"/>
      <c r="Q88" s="48"/>
      <c r="R88" s="1"/>
      <c r="S88" s="243" t="str">
        <f>VLOOKUP($B79,'Base de datos'!$A$1:$AI$6525,17,FALSE)</f>
        <v>MANEJO DEFENSIVO - INDUCCIÓN DE SSMA</v>
      </c>
      <c r="T88" s="244"/>
      <c r="U88" s="244"/>
      <c r="V88" s="244"/>
      <c r="W88" s="244"/>
      <c r="X88" s="244"/>
      <c r="Y88" s="244"/>
      <c r="Z88" s="244"/>
      <c r="AA88" s="244"/>
      <c r="AB88" s="244"/>
      <c r="AC88" s="244"/>
      <c r="AD88" s="244"/>
      <c r="AE88" s="244"/>
      <c r="AF88" s="244"/>
      <c r="AG88" s="244"/>
      <c r="AH88" s="245"/>
    </row>
    <row r="89" spans="2:34" x14ac:dyDescent="0.2">
      <c r="B89" s="5"/>
      <c r="C89" s="252" t="s">
        <v>2026</v>
      </c>
      <c r="D89" s="252"/>
      <c r="E89" s="252"/>
      <c r="F89" s="3" t="s">
        <v>0</v>
      </c>
      <c r="G89" s="253">
        <f ca="1">TODAY()</f>
        <v>46187</v>
      </c>
      <c r="H89" s="253"/>
      <c r="I89" s="253"/>
      <c r="J89" s="253"/>
      <c r="K89" s="254" t="str">
        <f>VLOOKUP($B79,'Base de datos'!$A$1:$AI$6616,18,FALSE)</f>
        <v>SIN RESTRICCIONES</v>
      </c>
      <c r="L89" s="254"/>
      <c r="M89" s="254"/>
      <c r="N89" s="254"/>
      <c r="O89" s="254"/>
      <c r="P89" s="254"/>
      <c r="Q89" s="255"/>
      <c r="R89" s="1"/>
      <c r="S89" s="246"/>
      <c r="T89" s="247"/>
      <c r="U89" s="247"/>
      <c r="V89" s="247"/>
      <c r="W89" s="247"/>
      <c r="X89" s="247"/>
      <c r="Y89" s="247"/>
      <c r="Z89" s="247"/>
      <c r="AA89" s="247"/>
      <c r="AB89" s="247"/>
      <c r="AC89" s="247"/>
      <c r="AD89" s="247"/>
      <c r="AE89" s="247"/>
      <c r="AF89" s="247"/>
      <c r="AG89" s="247"/>
      <c r="AH89" s="248"/>
    </row>
    <row r="90" spans="2:34" ht="19.5" customHeight="1" thickBot="1" x14ac:dyDescent="0.25">
      <c r="B90" s="256" t="s">
        <v>2784</v>
      </c>
      <c r="C90" s="257"/>
      <c r="D90" s="257"/>
      <c r="E90" s="257"/>
      <c r="F90" s="257"/>
      <c r="G90" s="257"/>
      <c r="H90" s="257"/>
      <c r="I90" s="257"/>
      <c r="J90" s="257"/>
      <c r="K90" s="257"/>
      <c r="L90" s="257"/>
      <c r="M90" s="257"/>
      <c r="N90" s="257"/>
      <c r="O90" s="257"/>
      <c r="P90" s="257"/>
      <c r="Q90" s="258"/>
      <c r="R90" s="1"/>
      <c r="S90" s="249"/>
      <c r="T90" s="250"/>
      <c r="U90" s="250"/>
      <c r="V90" s="250"/>
      <c r="W90" s="250"/>
      <c r="X90" s="250"/>
      <c r="Y90" s="250"/>
      <c r="Z90" s="250"/>
      <c r="AA90" s="250"/>
      <c r="AB90" s="250"/>
      <c r="AC90" s="250"/>
      <c r="AD90" s="250"/>
      <c r="AE90" s="250"/>
      <c r="AF90" s="250"/>
      <c r="AG90" s="250"/>
      <c r="AH90" s="251"/>
    </row>
    <row r="91" spans="2:34" ht="13.5" thickTop="1" x14ac:dyDescent="0.2"/>
  </sheetData>
  <dataConsolidate/>
  <mergeCells count="175">
    <mergeCell ref="C87:E87"/>
    <mergeCell ref="G87:I87"/>
    <mergeCell ref="AB87:AH87"/>
    <mergeCell ref="C88:E88"/>
    <mergeCell ref="G88:I88"/>
    <mergeCell ref="S88:AH90"/>
    <mergeCell ref="C89:E89"/>
    <mergeCell ref="G89:J89"/>
    <mergeCell ref="K89:Q89"/>
    <mergeCell ref="B90:Q90"/>
    <mergeCell ref="G77:Q78"/>
    <mergeCell ref="S77:AH78"/>
    <mergeCell ref="C79:E79"/>
    <mergeCell ref="G79:J79"/>
    <mergeCell ref="C80:E80"/>
    <mergeCell ref="C81:E81"/>
    <mergeCell ref="G81:K81"/>
    <mergeCell ref="M81:P86"/>
    <mergeCell ref="C82:E82"/>
    <mergeCell ref="G82:K82"/>
    <mergeCell ref="B83:E83"/>
    <mergeCell ref="G83:K83"/>
    <mergeCell ref="T83:Z83"/>
    <mergeCell ref="C84:E84"/>
    <mergeCell ref="G84:K84"/>
    <mergeCell ref="C85:E85"/>
    <mergeCell ref="G85:K85"/>
    <mergeCell ref="W85:AD85"/>
    <mergeCell ref="C54:E54"/>
    <mergeCell ref="G54:K54"/>
    <mergeCell ref="C55:E55"/>
    <mergeCell ref="G55:K55"/>
    <mergeCell ref="W55:AD55"/>
    <mergeCell ref="G47:Q48"/>
    <mergeCell ref="S47:AH48"/>
    <mergeCell ref="C49:E49"/>
    <mergeCell ref="C50:E50"/>
    <mergeCell ref="G50:M50"/>
    <mergeCell ref="C51:E51"/>
    <mergeCell ref="G51:K51"/>
    <mergeCell ref="M51:P56"/>
    <mergeCell ref="C52:E52"/>
    <mergeCell ref="G52:K52"/>
    <mergeCell ref="C57:E57"/>
    <mergeCell ref="G57:I57"/>
    <mergeCell ref="AB57:AH57"/>
    <mergeCell ref="C58:E58"/>
    <mergeCell ref="G58:I58"/>
    <mergeCell ref="S58:AH60"/>
    <mergeCell ref="C59:E59"/>
    <mergeCell ref="G59:J59"/>
    <mergeCell ref="K59:Q59"/>
    <mergeCell ref="B60:Q60"/>
    <mergeCell ref="C42:E42"/>
    <mergeCell ref="G42:I42"/>
    <mergeCell ref="G49:J49"/>
    <mergeCell ref="B53:E53"/>
    <mergeCell ref="G53:K53"/>
    <mergeCell ref="AB42:AH42"/>
    <mergeCell ref="C43:E43"/>
    <mergeCell ref="G43:I43"/>
    <mergeCell ref="S43:AH45"/>
    <mergeCell ref="C44:E44"/>
    <mergeCell ref="G44:J44"/>
    <mergeCell ref="K44:Q44"/>
    <mergeCell ref="B45:Q45"/>
    <mergeCell ref="T53:Z53"/>
    <mergeCell ref="B38:E38"/>
    <mergeCell ref="G38:K38"/>
    <mergeCell ref="T38:Z38"/>
    <mergeCell ref="C39:E39"/>
    <mergeCell ref="G39:K39"/>
    <mergeCell ref="C40:E40"/>
    <mergeCell ref="G40:K40"/>
    <mergeCell ref="W40:AD40"/>
    <mergeCell ref="G32:Q33"/>
    <mergeCell ref="S32:AH33"/>
    <mergeCell ref="C34:E34"/>
    <mergeCell ref="C35:E35"/>
    <mergeCell ref="G35:M35"/>
    <mergeCell ref="C36:E36"/>
    <mergeCell ref="G36:K36"/>
    <mergeCell ref="M36:P41"/>
    <mergeCell ref="C37:E37"/>
    <mergeCell ref="G37:K37"/>
    <mergeCell ref="G34:L34"/>
    <mergeCell ref="C27:E27"/>
    <mergeCell ref="G27:I27"/>
    <mergeCell ref="AB27:AH27"/>
    <mergeCell ref="C28:E28"/>
    <mergeCell ref="G28:I28"/>
    <mergeCell ref="S28:AH30"/>
    <mergeCell ref="C29:E29"/>
    <mergeCell ref="G29:J29"/>
    <mergeCell ref="K29:Q29"/>
    <mergeCell ref="B30:Q30"/>
    <mergeCell ref="T23:Z23"/>
    <mergeCell ref="C24:E24"/>
    <mergeCell ref="G24:K24"/>
    <mergeCell ref="C25:E25"/>
    <mergeCell ref="G25:K25"/>
    <mergeCell ref="W25:AD25"/>
    <mergeCell ref="G21:K21"/>
    <mergeCell ref="M21:P26"/>
    <mergeCell ref="C22:E22"/>
    <mergeCell ref="G22:K22"/>
    <mergeCell ref="B23:E23"/>
    <mergeCell ref="G23:K23"/>
    <mergeCell ref="C21:E21"/>
    <mergeCell ref="G26:K26"/>
    <mergeCell ref="G17:Q18"/>
    <mergeCell ref="S17:AH18"/>
    <mergeCell ref="C19:E19"/>
    <mergeCell ref="C20:E20"/>
    <mergeCell ref="G20:M20"/>
    <mergeCell ref="G7:K7"/>
    <mergeCell ref="G8:K8"/>
    <mergeCell ref="G9:K9"/>
    <mergeCell ref="G19:K19"/>
    <mergeCell ref="S12:AH12"/>
    <mergeCell ref="C14:E14"/>
    <mergeCell ref="G14:J14"/>
    <mergeCell ref="K14:Q14"/>
    <mergeCell ref="B15:Q15"/>
    <mergeCell ref="C10:E10"/>
    <mergeCell ref="C12:E12"/>
    <mergeCell ref="G12:I12"/>
    <mergeCell ref="C7:E7"/>
    <mergeCell ref="B8:E8"/>
    <mergeCell ref="C9:E9"/>
    <mergeCell ref="G10:K10"/>
    <mergeCell ref="M6:P11"/>
    <mergeCell ref="G2:Q3"/>
    <mergeCell ref="S2:AH3"/>
    <mergeCell ref="C4:E4"/>
    <mergeCell ref="C5:E5"/>
    <mergeCell ref="G5:M5"/>
    <mergeCell ref="C6:E6"/>
    <mergeCell ref="G4:J4"/>
    <mergeCell ref="C13:E13"/>
    <mergeCell ref="G13:I13"/>
    <mergeCell ref="T8:Z8"/>
    <mergeCell ref="G6:K6"/>
    <mergeCell ref="W10:AD10"/>
    <mergeCell ref="S13:AH15"/>
    <mergeCell ref="G11:K11"/>
    <mergeCell ref="G62:Q63"/>
    <mergeCell ref="S62:AH63"/>
    <mergeCell ref="C64:E64"/>
    <mergeCell ref="G64:J64"/>
    <mergeCell ref="C65:E65"/>
    <mergeCell ref="G65:M65"/>
    <mergeCell ref="C66:E66"/>
    <mergeCell ref="G66:K66"/>
    <mergeCell ref="M66:P71"/>
    <mergeCell ref="C67:E67"/>
    <mergeCell ref="G67:K67"/>
    <mergeCell ref="B68:E68"/>
    <mergeCell ref="G68:K68"/>
    <mergeCell ref="T68:Z68"/>
    <mergeCell ref="C69:E69"/>
    <mergeCell ref="G69:K69"/>
    <mergeCell ref="C70:E70"/>
    <mergeCell ref="G70:K70"/>
    <mergeCell ref="W70:AD70"/>
    <mergeCell ref="C72:E72"/>
    <mergeCell ref="G72:I72"/>
    <mergeCell ref="AB72:AH72"/>
    <mergeCell ref="C73:E73"/>
    <mergeCell ref="G73:I73"/>
    <mergeCell ref="S73:AH75"/>
    <mergeCell ref="C74:E74"/>
    <mergeCell ref="G74:J74"/>
    <mergeCell ref="K74:Q74"/>
    <mergeCell ref="B75:Q75"/>
  </mergeCells>
  <printOptions horizontalCentered="1"/>
  <pageMargins left="0.23622047244094491" right="0.23622047244094491" top="0.39370078740157483" bottom="0.39370078740157483" header="0.31496062992125984" footer="0.31496062992125984"/>
  <pageSetup paperSize="9" scale="70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UARDAR2">
                <anchor moveWithCells="1" sizeWithCells="1">
                  <from>
                    <xdr:col>36</xdr:col>
                    <xdr:colOff>200025</xdr:colOff>
                    <xdr:row>6</xdr:row>
                    <xdr:rowOff>9525</xdr:rowOff>
                  </from>
                  <to>
                    <xdr:col>38</xdr:col>
                    <xdr:colOff>57150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Base de datos</vt:lpstr>
      <vt:lpstr>fotochek</vt:lpstr>
      <vt:lpstr>'Base de datos'!Área_de_impresión</vt:lpstr>
      <vt:lpstr>fotochek!Área_de_impresión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2017-08-10T21:15:35Z</dcterms:created>
  <dcterms:modified xsi:type="dcterms:W3CDTF">2026-06-14T18:58:30Z</dcterms:modified>
</cp:coreProperties>
</file>